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195b6f5c15e41a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8d59b8451c1f487c"/>
    <x:sheet xmlns:r="http://schemas.openxmlformats.org/officeDocument/2006/relationships" name="Assumptions" sheetId="2" r:id="R5d9dc1e9f38f4d52"/>
    <x:sheet xmlns:r="http://schemas.openxmlformats.org/officeDocument/2006/relationships" name="Startup_6mo" sheetId="3" r:id="R9171e47c736e425b"/>
    <x:sheet xmlns:r="http://schemas.openxmlformats.org/officeDocument/2006/relationships" name="P&amp;L_3yr" sheetId="4" r:id="R6ec62ad81b6441e4"/>
    <x:sheet xmlns:r="http://schemas.openxmlformats.org/officeDocument/2006/relationships" name="Driver_Tables" sheetId="5" r:id="R7a126063ca864d0a"/>
    <x:sheet xmlns:r="http://schemas.openxmlformats.org/officeDocument/2006/relationships" name="Sensitivity" sheetId="6" r:id="Rf893118477fd472f"/>
    <x:sheet xmlns:r="http://schemas.openxmlformats.org/officeDocument/2006/relationships" name="Risk_Register" sheetId="7" r:id="R276acdaa4f344071"/>
    <x:sheet xmlns:r="http://schemas.openxmlformats.org/officeDocument/2006/relationships" name="Funding_Timeline" sheetId="8" r:id="R6f75be68664c4132"/>
    <x:sheet xmlns:r="http://schemas.openxmlformats.org/officeDocument/2006/relationships" name="Tier_Economics" sheetId="9" r:id="Rf05327152cfc4069"/>
    <x:sheet xmlns:r="http://schemas.openxmlformats.org/officeDocument/2006/relationships" name="Revenue_Risk_AddOns" sheetId="10" r:id="R1534caaf6db6467e"/>
  </x:sheets>
</x:workbook>
</file>

<file path=xl/sharedStrings.xml><?xml version="1.0" encoding="utf-8"?>
<x:sst xmlns:x="http://schemas.openxmlformats.org/spreadsheetml/2006/main">
  <x:si>
    <x:t xml:space="preserve">Blockmediary — 3-Year Financial Model &amp; Assumptions Pack</x:t>
  </x:si>
  <x:si>
    <x:t xml:space="preserve">Programmable documentary escrow layer for SME cross-border trade (UK / EU / Middle East). Built June 2026.</x:t>
  </x:si>
  <x:si>
    <x:t xml:space="preserve">SCOPE</x:t>
  </x:si>
  <x:si>
    <x:t xml:space="preserve">Blockmediary is a documentary escrow + document-verification SERVICE. It is NOT a lending / financing product.</x:t>
  </x:si>
  <x:si>
    <x:t xml:space="preserve">EXCLUDED by design: lending capital, credit losses, financing spread, invoice advances, FX trading revenue, balance-sheet funding costs.</x:t>
  </x:si>
  <x:si>
    <x:t xml:space="preserve">Buyer prefunds stablecoin into smart-contract escrow; funds release when document rules are satisfied. Blockmediary never takes balance-sheet credit risk.</x:t>
  </x:si>
  <x:si>
    <x:t xml:space="preserve">HOW TO USE</x:t>
  </x:si>
  <x:si>
    <x:t xml:space="preserve">1.  'Assumptions' is the single control sheet. Blue cells are inputs you change. Black cells are formulas.</x:t>
  </x:si>
  <x:si>
    <x:t xml:space="preserve">2.  The yellow 'Scenario' switch (Assumptions!C4) drives the whole model: 1=Low, 2=Base, 3=High.</x:t>
  </x:si>
  <x:si>
    <x:t xml:space="preserve">3.  'Startup_6mo' details the first 6 months one-off + ramp costs. 'P&amp;L_3yr' is the monthly-built annual P&amp;L.</x:t>
  </x:si>
  <x:si>
    <x:t xml:space="preserve">4.  'Driver_Tables' holds every researched cost/revenue driver with Low/Base/High, source URL and source quality.</x:t>
  </x:si>
  <x:si>
    <x:t xml:space="preserve">5.  'Sensitivity' lists the 10 assumptions that move the model most. 'Risk_Register' flags items needing legal/regulatory sign-off.</x:t>
  </x:si>
  <x:si>
    <x:t xml:space="preserve">CURRENCY</x:t>
  </x:si>
  <x:si>
    <x:t xml:space="preserve">Model base currency = GBP (£). USD-priced vendors (Anthropic, AWS, Vercel, KYC, gas) are converted at the FX rate in Assumptions (GBPUSD).</x:t>
  </x:si>
  <x:si>
    <x:t xml:space="preserve">Driver_Tables keeps each driver in its native quoted currency; the conversion happens where the driver feeds the P&amp;L.</x:t>
  </x:si>
  <x:si>
    <x:t xml:space="preserve">SOURCE QUALITY KEY</x:t>
  </x:si>
  <x:si>
    <x:t xml:space="preserve">official = government / regulator / primary (GOV.UK, Companies House, FCA, HMRC, Base docs).  vendor = vendor pricing page.</x:t>
  </x:si>
  <x:si>
    <x:t xml:space="preserve">benchmark = credible third-party benchmark / salary survey / market report.  estimate = informed estimate, NOT independently sourced — verify.</x:t>
  </x:si>
  <x:si>
    <x:t xml:space="preserve">HEALTH WARNING — READ BEFORE RELYING ON THIS</x:t>
  </x:si>
  <x:si>
    <x:t xml:space="preserve">• The UK crypto regime (FSMA (Cryptoassets) Regulations 2026) takes effect 25 Oct 2027; authorisation gateway opens 30 Sep 2026.</x:t>
  </x:si>
  <x:si>
    <x:t xml:space="preserve">  'Safeguarding qualifying cryptoassets' is a NEW regulated activity. A stablecoin escrow model may fall inside the perimeter.</x:t>
  </x:si>
  <x:si>
    <x:t xml:space="preserve">  Whether Blockmediary needs FCA authorisation is UNRESOLVED and must be confirmed by specialist counsel. This is the single biggest model risk.</x:t>
  </x:si>
  <x:si>
    <x:t xml:space="preserve">• All salary, audit, insurance and legal figures are ranges, not quotes. Treat as planning estimates until quoted.</x:t>
  </x:si>
  <x:si>
    <x:t xml:space="preserve">• Revenue take-rates for documentary escrow have no clean public comparable; they are reasoned estimates and are the largest revenue uncertainty.</x:t>
  </x:si>
  <x:si>
    <x:t xml:space="preserve">Assumptions — Control Panel</x:t>
  </x:si>
  <x:si>
    <x:t xml:space="preserve">Change blue cells. Scenario switch at C4 drives every downstream calc (1=Low, 2=Base, 3=High).</x:t>
  </x:si>
  <x:si>
    <x:t xml:space="preserve">SCENARIO SWITCH (1/2/3)</x:t>
  </x:si>
  <x:si>
    <x:t xml:space="preserve">Assumption</x:t>
  </x:si>
  <x:si>
    <x:t xml:space="preserve">Low</x:t>
  </x:si>
  <x:si>
    <x:t xml:space="preserve">Base</x:t>
  </x:si>
  <x:si>
    <x:t xml:space="preserve">High</x:t>
  </x:si>
  <x:si>
    <x:t xml:space="preserve">Active (scenario)</x:t>
  </x:si>
  <x:si>
    <x:t xml:space="preserve">Unit</x:t>
  </x:si>
  <x:si>
    <x:t xml:space="preserve">Notes / source quality</x:t>
  </x:si>
  <x:si>
    <x:t xml:space="preserve">— GLOBAL —</x:t>
  </x:si>
  <x:si>
    <x:t xml:space="preserve">GBP:USD FX rate</x:t>
  </x:si>
  <x:si>
    <x:t xml:space="preserve">$/£</x:t>
  </x:si>
  <x:si>
    <x:t xml:space="preserve">Planning rate; verify at build time (estimate)</x:t>
  </x:si>
  <x:si>
    <x:t xml:space="preserve">Months modelled per year</x:t>
  </x:si>
  <x:si>
    <x:t xml:space="preserve">months</x:t>
  </x:si>
  <x:si>
    <x:t xml:space="preserve">— DEAL VOLUME (the core driver) —</x:t>
  </x:si>
  <x:si>
    <x:t xml:space="preserve">Year 1 deals (total)</x:t>
  </x:si>
  <x:si>
    <x:t xml:space="preserve">deals/yr</x:t>
  </x:si>
  <x:si>
    <x:t xml:space="preserve">Pilot→paid ramp. Pre-seed B2B fintech (estimate)</x:t>
  </x:si>
  <x:si>
    <x:t xml:space="preserve">Year 2 deals (total)</x:t>
  </x:si>
  <x:si>
    <x:t xml:space="preserve">estimate</x:t>
  </x:si>
  <x:si>
    <x:t xml:space="preserve">Year 3 deals (total)</x:t>
  </x:si>
  <x:si>
    <x:t xml:space="preserve">Avg deal (trade) value</x:t>
  </x:si>
  <x:si>
    <x:t xml:space="preserve">£/deal</x:t>
  </x:si>
  <x:si>
    <x:t xml:space="preserve">Avg SME cross-border invoice (estimate)</x:t>
  </x:si>
  <x:si>
    <x:t xml:space="preserve">Avg documents per deal</x:t>
  </x:si>
  <x:si>
    <x:t xml:space="preserve">docs/deal</x:t>
  </x:si>
  <x:si>
    <x:t xml:space="preserve">B/L, invoice, packing list, cert origin etc (estimate)</x:t>
  </x:si>
  <x:si>
    <x:t xml:space="preserve">Avg counterparties screened / deal</x:t>
  </x:si>
  <x:si>
    <x:t xml:space="preserve">parties/deal</x:t>
  </x:si>
  <x:si>
    <x:t xml:space="preserve">Buyer + seller (+1 intermediary) (estimate)</x:t>
  </x:si>
  <x:si>
    <x:t xml:space="preserve">% of deals disputed/amended</x:t>
  </x:si>
  <x:si>
    <x:t xml:space="preserve">% deals</x:t>
  </x:si>
  <x:si>
    <x:t xml:space="preserve">— REVENUE TAKE RATES —</x:t>
  </x:si>
  <x:si>
    <x:t xml:space="preserve">Escrow fee (% of deal value)</x:t>
  </x:si>
  <x:si>
    <x:t xml:space="preserve">% of GMV</x:t>
  </x:si>
  <x:si>
    <x:t xml:space="preserve">0.15–0.60%. No clean public comparable (estimate)</x:t>
  </x:si>
  <x:si>
    <x:t xml:space="preserve">Minimum escrow fee / deal</x:t>
  </x:si>
  <x:si>
    <x:t xml:space="preserve">Floor for small deals (estimate)</x:t>
  </x:si>
  <x:si>
    <x:t xml:space="preserve">Document review fee / deal</x:t>
  </x:si>
  <x:si>
    <x:t xml:space="preserve">Flat per-deal doc-check fee (estimate)</x:t>
  </x:si>
  <x:si>
    <x:t xml:space="preserve">Dispute/amendment fee / event</x:t>
  </x:si>
  <x:si>
    <x:t xml:space="preserve">£/event</x:t>
  </x:si>
  <x:si>
    <x:t xml:space="preserve">Charged on disputed/amended deals (estimate)</x:t>
  </x:si>
  <x:si>
    <x:t xml:space="preserve">SaaS/API partner fee (Yr2+) /mo</x:t>
  </x:si>
  <x:si>
    <x:t xml:space="preserve">£/partner/mo</x:t>
  </x:si>
  <x:si>
    <x:t xml:space="preserve">White-label/API partners from Yr2 (estimate)</x:t>
  </x:si>
  <x:si>
    <x:t xml:space="preserve">Partner count Yr2 / Yr3</x:t>
  </x:si>
  <x:si>
    <x:t xml:space="preserve">partners</x:t>
  </x:si>
  <x:si>
    <x:t xml:space="preserve">Applied Yr2; doubles Yr3 in P&amp;L (estimate)</x:t>
  </x:si>
  <x:si>
    <x:t xml:space="preserve">— TRANSACTION COGS (per unit) —</x:t>
  </x:si>
  <x:si>
    <x:t xml:space="preserve">Claude API cost / document</x:t>
  </x:si>
  <x:si>
    <x:t xml:space="preserve">$/doc</x:t>
  </x:si>
  <x:si>
    <x:t xml:space="preserve">Haiku/Sonnet extraction. Anthropic $1/$5–$3/$15 MTok (vendor)</x:t>
  </x:si>
  <x:si>
    <x:t xml:space="preserve">KYB screening / business party</x:t>
  </x:si>
  <x:si>
    <x:t xml:space="preserve">$/party</x:t>
  </x:si>
  <x:si>
    <x:t xml:space="preserve">Didit fr $2, Sumsub tier (vendor)</x:t>
  </x:si>
  <x:si>
    <x:t xml:space="preserve">KYC/UBO+sanctions / person</x:t>
  </x:si>
  <x:si>
    <x:t xml:space="preserve">$/person</x:t>
  </x:si>
  <x:si>
    <x:t xml:space="preserve">Didit $0.30 / Sumsub $1.35 (vendor)</x:t>
  </x:si>
  <x:si>
    <x:t xml:space="preserve">Human doc review / deal</x:t>
  </x:si>
  <x:si>
    <x:t xml:space="preserve">Partial human-in-loop; scales down (estimate)</x:t>
  </x:si>
  <x:si>
    <x:t xml:space="preserve">Blockchain gas / deal (multi-tx)</x:t>
  </x:si>
  <x:si>
    <x:t xml:space="preserve">$/deal</x:t>
  </x:si>
  <x:si>
    <x:t xml:space="preserve">Base L2, several txns/deal (official: Base docs)</x:t>
  </x:si>
  <x:si>
    <x:t xml:space="preserve">RPC/node provider / deal</x:t>
  </x:si>
  <x:si>
    <x:t xml:space="preserve">Alchemy/QuickNode metered (vendor/estimate)</x:t>
  </x:si>
  <x:si>
    <x:t xml:space="preserve">Doc + audit-ledger storage / deal</x:t>
  </x:si>
  <x:si>
    <x:t xml:space="preserve">S3/object storage per deal (vendor/estimate)</x:t>
  </x:si>
  <x:si>
    <x:t xml:space="preserve">Customer support / deal</x:t>
  </x:si>
  <x:si>
    <x:t xml:space="preserve">Blended support cost (estimate)</x:t>
  </x:si>
  <x:si>
    <x:t xml:space="preserve">Dispute handling / disputed deal</x:t>
  </x:si>
  <x:si>
    <x:t xml:space="preserve">Manual handling labour (estimate)</x:t>
  </x:si>
  <x:si>
    <x:t xml:space="preserve">— FIXED OPEX (monthly) —</x:t>
  </x:si>
  <x:si>
    <x:t xml:space="preserve">Cloud hosting (Vercel/AWS)</x:t>
  </x:si>
  <x:si>
    <x:t xml:space="preserve">£/mo</x:t>
  </x:si>
  <x:si>
    <x:t xml:space="preserve">Vercel Pro $20/seat + AWS/usage (vendor)</x:t>
  </x:si>
  <x:si>
    <x:t xml:space="preserve">Database + object storage</x:t>
  </x:si>
  <x:si>
    <x:t xml:space="preserve">Managed Postgres + S3 (vendor/estimate)</x:t>
  </x:si>
  <x:si>
    <x:t xml:space="preserve">Monitoring/logging/security tools</x:t>
  </x:si>
  <x:si>
    <x:t xml:space="preserve">Sentry/Datadog/Snyk tiers (vendor/estimate)</x:t>
  </x:si>
  <x:si>
    <x:t xml:space="preserve">GitHub + dev SaaS</x:t>
  </x:si>
  <x:si>
    <x:t xml:space="preserve">GitHub $4–21/user (vendor)</x:t>
  </x:si>
  <x:si>
    <x:t xml:space="preserve">Google Workspace / collab</x:t>
  </x:si>
  <x:si>
    <x:t xml:space="preserve">~£12/user Business Standard (vendor)</x:t>
  </x:si>
  <x:si>
    <x:t xml:space="preserve">CRM + BD tooling</x:t>
  </x:si>
  <x:si>
    <x:t xml:space="preserve">HubSpot/Pipedrive (vendor/estimate)</x:t>
  </x:si>
  <x:si>
    <x:t xml:space="preserve">Accounting/payroll/bookkeeping</x:t>
  </x:si>
  <x:si>
    <x:t xml:space="preserve">Outsourced (estimate)</x:t>
  </x:si>
  <x:si>
    <x:t xml:space="preserve">Legal retainer (ongoing)</x:t>
  </x:si>
  <x:si>
    <x:t xml:space="preserve">Commercial + regulatory queries (estimate)</x:t>
  </x:si>
  <x:si>
    <x:t xml:space="preserve">Compliance / MLRO support</x:t>
  </x:si>
  <x:si>
    <x:t xml:space="preserve">Fractional MLRO/consultant (benchmark/estimate)</x:t>
  </x:si>
  <x:si>
    <x:t xml:space="preserve">Marketing / conferences / partnerships</x:t>
  </x:si>
  <x:si>
    <x:t xml:space="preserve">Trade events, content (estimate)</x:t>
  </x:si>
  <x:si>
    <x:t xml:space="preserve">Office / coworking</x:t>
  </x:si>
  <x:si>
    <x:t xml:space="preserve">Hot-desk → small office (estimate)</x:t>
  </x:si>
  <x:si>
    <x:t xml:space="preserve">Insurance (PI+cyber+D&amp;O) / mo</x:t>
  </x:si>
  <x:si>
    <x:t xml:space="preserve">Annualised /12; fintech loading (benchmark/estimate)</x:t>
  </x:si>
  <x:si>
    <x:t xml:space="preserve">— HEADCOUNT (FTE by year) —</x:t>
  </x:si>
  <x:si>
    <x:t xml:space="preserve">Founders (FTE)</x:t>
  </x:si>
  <x:si>
    <x:t xml:space="preserve">FTE</x:t>
  </x:si>
  <x:si>
    <x:t xml:space="preserve">Engineers Yr1 / Yr2 / Yr3</x:t>
  </x:si>
  <x:si>
    <x:t xml:space="preserve">FTE Yr1</x:t>
  </x:si>
  <x:si>
    <x:t xml:space="preserve">Scaled in P&amp;L by year (benchmark)</x:t>
  </x:si>
  <x:si>
    <x:t xml:space="preserve">Compliance/ops Yr1/2/3</x:t>
  </x:si>
  <x:si>
    <x:t xml:space="preserve">(benchmark)</x:t>
  </x:si>
  <x:si>
    <x:t xml:space="preserve">Sales/BD + CS Yr1/2/3</x:t>
  </x:si>
  <x:si>
    <x:t xml:space="preserve">— SALARIES (gross £/yr) —</x:t>
  </x:si>
  <x:si>
    <x:t xml:space="preserve">Founder salary</x:t>
  </x:si>
  <x:si>
    <x:t xml:space="preserve">£/yr</x:t>
  </x:si>
  <x:si>
    <x:t xml:space="preserve">Pre-seed founder (benchmark)</x:t>
  </x:si>
  <x:si>
    <x:t xml:space="preserve">Engineer salary</x:t>
  </x:si>
  <x:si>
    <x:t xml:space="preserve">UK fintech SWE (benchmark)</x:t>
  </x:si>
  <x:si>
    <x:t xml:space="preserve">Compliance/ops salary</x:t>
  </x:si>
  <x:si>
    <x:t xml:space="preserve">FS compliance officer (benchmark)</x:t>
  </x:si>
  <x:si>
    <x:t xml:space="preserve">Sales/BD/CS salary</x:t>
  </x:si>
  <x:si>
    <x:t xml:space="preserve">Employer NI rate</x:t>
  </x:si>
  <x:si>
    <x:t xml:space="preserve">% of pay &gt;£5k</x:t>
  </x:si>
  <x:si>
    <x:t xml:space="preserve">15% above £5,000 ST 2026/27 (official: HMRC)</x:t>
  </x:si>
  <x:si>
    <x:t xml:space="preserve">Employer NI secondary threshold</x:t>
  </x:si>
  <x:si>
    <x:t xml:space="preserve">Frozen to 2030/31 (official)</x:t>
  </x:si>
  <x:si>
    <x:t xml:space="preserve">Employer pension contribution</x:t>
  </x:si>
  <x:si>
    <x:t xml:space="preserve">% of salary</x:t>
  </x:si>
  <x:si>
    <x:t xml:space="preserve">Auto-enrolment min 3% (official: TPR)</x:t>
  </x:si>
  <x:si>
    <x:t xml:space="preserve">Other employment on-costs</x:t>
  </x:si>
  <x:si>
    <x:t xml:space="preserve">Equipment, benefits, software/seat (estimate)</x:t>
  </x:si>
  <x:si>
    <x:t xml:space="preserve">— CONTRACTOR DAY RATES —</x:t>
  </x:si>
  <x:si>
    <x:t xml:space="preserve">Smart-contract dev day rate</x:t>
  </x:si>
  <x:si>
    <x:t xml:space="preserve">£/day</x:t>
  </x:si>
  <x:si>
    <x:t xml:space="preserve">Specialist Solidity (benchmark/estimate)</x:t>
  </x:si>
  <x:si>
    <x:t xml:space="preserve">Full-stack dev day rate</x:t>
  </x:si>
  <x:si>
    <x:t xml:space="preserve">Compliance consultant day rate</x:t>
  </x:si>
  <x:si>
    <x:t xml:space="preserve">Crypto reg specialist (benchmark/estimate)</x:t>
  </x:si>
  <x:si>
    <x:t xml:space="preserve">UX/design day rate</x:t>
  </x:si>
  <x:si>
    <x:t xml:space="preserve">First 6 Months — Startup Costs (one-off + setup ramp)</x:t>
  </x:si>
  <x:si>
    <x:t xml:space="preserve">One-off costs incurred in months 0–6. Recurring opex/payroll lives in P&amp;L_3yr. Scenario-driven (Low/Base/High).</x:t>
  </x:si>
  <x:si>
    <x:t xml:space="preserve">Cost driver</x:t>
  </x:si>
  <x:si>
    <x:t xml:space="preserve">Active</x:t>
  </x:si>
  <x:si>
    <x:t xml:space="preserve">Cur</x:t>
  </x:si>
  <x:si>
    <x:t xml:space="preserve">COMPANY FORMATION &amp; FILINGS</x:t>
  </x:si>
  <x:si>
    <x:t xml:space="preserve">Companies House digital incorporation</x:t>
  </x:si>
  <x:si>
    <x:t xml:space="preserve">£</x:t>
  </x:si>
  <x:si>
    <x:t xml:space="preserve">£100 from 1 Feb 2026 (official: Companies House)</x:t>
  </x:si>
  <x:si>
    <x:t xml:space="preserve">Registered office / address service (6mo)</x:t>
  </x:si>
  <x:si>
    <x:t xml:space="preserve">Virtual office (vendor/estimate)</x:t>
  </x:si>
  <x:si>
    <x:t xml:space="preserve">Director ID verification / ACSP</x:t>
  </x:si>
  <x:si>
    <x:t xml:space="preserve">ACSP £63; One Login free (official)</x:t>
  </x:si>
  <x:si>
    <x:t xml:space="preserve">Confirmation statement (annual)</x:t>
  </x:si>
  <x:si>
    <x:t xml:space="preserve">£50 digital from Feb 2026 (official)</x:t>
  </x:si>
  <x:si>
    <x:t xml:space="preserve">LEGAL SETUP</x:t>
  </x:si>
  <x:si>
    <x:t xml:space="preserve">Shareholder agreement</x:t>
  </x:si>
  <x:si>
    <x:t xml:space="preserve">£375–£3,000 fixed-fee (benchmark)</x:t>
  </x:si>
  <x:si>
    <x:t xml:space="preserve">IP assignment (founders/contractors)</x:t>
  </x:si>
  <x:si>
    <x:t xml:space="preserve">Assign IP into company (estimate)</x:t>
  </x:si>
  <x:si>
    <x:t xml:space="preserve">Articles / cap table / SAFE setup</x:t>
  </x:si>
  <x:si>
    <x:t xml:space="preserve">SAFE/ASA template + review (estimate)</x:t>
  </x:si>
  <x:si>
    <x:t xml:space="preserve">Website terms + privacy policy</x:t>
  </x:si>
  <x:si>
    <x:t xml:space="preserve">Bespoke for fintech (estimate)</x:t>
  </x:si>
  <x:si>
    <x:t xml:space="preserve">Trade Escrow Agreement template (bespoke)</x:t>
  </x:si>
  <x:si>
    <x:t xml:space="preserve">Core product contract; bespoke drafting (estimate)</x:t>
  </x:si>
  <x:si>
    <x:t xml:space="preserve">REGULATORY &amp; COMPLIANCE SETUP</x:t>
  </x:si>
  <x:si>
    <x:t xml:space="preserve">Regulatory perimeter advice (crypto/stablecoin escrow)</x:t>
  </x:si>
  <x:si>
    <x:t xml:space="preserve">HIGH RISK. FCA crypto regime 2027; safeguarding may be in-scope (estimate)</x:t>
  </x:si>
  <x:si>
    <x:t xml:space="preserve">AML/KYC/sanctions policy + procedures</x:t>
  </x:si>
  <x:si>
    <x:t xml:space="preserve">MLR 2017 policy pack + MLRO setup (estimate)</x:t>
  </x:si>
  <x:si>
    <x:t xml:space="preserve">Data protection / GDPR setup (DPIA, ROPA)</x:t>
  </x:si>
  <x:si>
    <x:t xml:space="preserve">ICO registration £40–60 + advice (official+estimate)</x:t>
  </x:si>
  <x:si>
    <x:t xml:space="preserve">ICO data protection fee</x:t>
  </x:si>
  <x:si>
    <x:t xml:space="preserve">ICO annual fee tier (official: ICO)</x:t>
  </x:si>
  <x:si>
    <x:t xml:space="preserve">SECURITY</x:t>
  </x:si>
  <x:si>
    <x:t xml:space="preserve">Smart-contract audit / security review</x:t>
  </x:si>
  <x:si>
    <x:t xml:space="preserve">Moderate-complexity escrow contracts (benchmark)</x:t>
  </x:si>
  <x:si>
    <x:t xml:space="preserve">Penetration test (web app)</x:t>
  </x:si>
  <x:si>
    <x:t xml:space="preserve">Pre-launch pentest (vendor/estimate)</x:t>
  </x:si>
  <x:si>
    <x:t xml:space="preserve">PRODUCT BUILD (one-off, pre-revenue)</x:t>
  </x:si>
  <x:si>
    <x:t xml:space="preserve">Smart-contract development (contract)</x:t>
  </x:si>
  <x:si>
    <x:t xml:space="preserve">Solidity build; days × day-rate (estimate)</x:t>
  </x:si>
  <x:si>
    <x:t xml:space="preserve">Web app / full-stack build (contract)</x:t>
  </x:si>
  <x:si>
    <x:t xml:space="preserve">MVP build incl. integrations (estimate)</x:t>
  </x:si>
  <x:si>
    <x:t xml:space="preserve">UI/UX design</x:t>
  </x:si>
  <x:si>
    <x:t xml:space="preserve">(estimate)</x:t>
  </x:si>
  <x:si>
    <x:t xml:space="preserve">BRAND, DECK &amp; WEB</x:t>
  </x:si>
  <x:si>
    <x:t xml:space="preserve">Pitch deck + brand identity</x:t>
  </x:si>
  <x:si>
    <x:t xml:space="preserve">Marketing website</x:t>
  </x:si>
  <x:si>
    <x:t xml:space="preserve">Domain + email + initial SaaS</x:t>
  </x:si>
  <x:si>
    <x:t xml:space="preserve">Domain, Workspace setup (vendor)</x:t>
  </x:si>
  <x:si>
    <x:t xml:space="preserve">BUSINESS DEVELOPMENT (setup)</x:t>
  </x:si>
  <x:si>
    <x:t xml:space="preserve">Pilot outreach / travel (UK/EU/ME)</x:t>
  </x:si>
  <x:si>
    <x:t xml:space="preserve">ME travel pushes high end (estimate)</x:t>
  </x:si>
  <x:si>
    <x:t xml:space="preserve">Conferences / trade events (first 6mo)</x:t>
  </x:si>
  <x:si>
    <x:t xml:space="preserve">INSURANCE (first-year, paid upfront)</x:t>
  </x:si>
  <x:si>
    <x:t xml:space="preserve">Professional indemnity (annual)</x:t>
  </x:si>
  <x:si>
    <x:t xml:space="preserve">Cyber insurance (annual)</x:t>
  </x:si>
  <x:si>
    <x:t xml:space="preserve">D&amp;O insurance (annual)</x:t>
  </x:si>
  <x:si>
    <x:t xml:space="preserve">CONTINGENCY</x:t>
  </x:si>
  <x:si>
    <x:t xml:space="preserve">Contingency on one-off costs</x:t>
  </x:si>
  <x:si>
    <x:t xml:space="preserve">%</x:t>
  </x:si>
  <x:si>
    <x:t xml:space="preserve">Applied to subtotal (estimate)</x:t>
  </x:si>
  <x:si>
    <x:t xml:space="preserve">Subtotal one-off costs (ex-contingency)</x:t>
  </x:si>
  <x:si>
    <x:t xml:space="preserve">Contingency amount</x:t>
  </x:si>
  <x:si>
    <x:t xml:space="preserve">TOTAL FIRST-6-MONTHS ONE-OFF COSTS</x:t>
  </x:si>
  <x:si>
    <x:t xml:space="preserve">3-Year P&amp;L (annual) — driven by Assumptions sheet</x:t>
  </x:si>
  <x:si>
    <x:t xml:space="preserve">All figures GBP. Revenue &amp; COGS scale with deal volume. Active scenario shown; change Assumptions!C4.</x:t>
  </x:si>
  <x:si>
    <x:t xml:space="preserve">Line item</x:t>
  </x:si>
  <x:si>
    <x:t xml:space="preserve">Year 1</x:t>
  </x:si>
  <x:si>
    <x:t xml:space="preserve">Year 2</x:t>
  </x:si>
  <x:si>
    <x:t xml:space="preserve">Year 3</x:t>
  </x:si>
  <x:si>
    <x:t xml:space="preserve">Unit / note</x:t>
  </x:si>
  <x:si>
    <x:t xml:space="preserve">VOLUME &amp; DRIVERS</x:t>
  </x:si>
  <x:si>
    <x:t xml:space="preserve">Deals processed</x:t>
  </x:si>
  <x:si>
    <x:t xml:space="preserve">From Assumptions</x:t>
  </x:si>
  <x:si>
    <x:t xml:space="preserve">Avg deal value (£)</x:t>
  </x:si>
  <x:si>
    <x:t xml:space="preserve">GMV per deal</x:t>
  </x:si>
  <x:si>
    <x:t xml:space="preserve">Gross trade value processed (GMV)</x:t>
  </x:si>
  <x:si>
    <x:t xml:space="preserve">Deals × avg value (NOT revenue)</x:t>
  </x:si>
  <x:si>
    <x:t xml:space="preserve">Counterparties screened</x:t>
  </x:si>
  <x:si>
    <x:t xml:space="preserve">REVENUE</x:t>
  </x:si>
  <x:si>
    <x:t xml:space="preserve">Escrow transaction fees</x:t>
  </x:si>
  <x:si>
    <x:t xml:space="preserve">Document review fees</x:t>
  </x:si>
  <x:si>
    <x:t xml:space="preserve">Dispute/amendment fees</x:t>
  </x:si>
  <x:si>
    <x:t xml:space="preserve">Total revenue</x:t>
  </x:si>
  <x:si>
    <x:t xml:space="preserve">COGS / VARIABLE COSTS</x:t>
  </x:si>
  <x:si>
    <x:t xml:space="preserve">Claude API (doc extraction)</x:t>
  </x:si>
  <x:si>
    <x:t xml:space="preserve">USD→GBP</x:t>
  </x:si>
  <x:si>
    <x:t xml:space="preserve">KYB business screening</x:t>
  </x:si>
  <x:si>
    <x:t xml:space="preserve">1 KYB/deal (entity)</x:t>
  </x:si>
  <x:si>
    <x:t xml:space="preserve">KYC/UBO + sanctions screening</x:t>
  </x:si>
  <x:si>
    <x:t xml:space="preserve">per counterparty</x:t>
  </x:si>
  <x:si>
    <x:t xml:space="preserve">Blockchain gas</x:t>
  </x:si>
  <x:si>
    <x:t xml:space="preserve">Base L2 USD→GBP</x:t>
  </x:si>
  <x:si>
    <x:t xml:space="preserve">RPC / node provider</x:t>
  </x:si>
  <x:si>
    <x:t xml:space="preserve">Document / ledger storage</x:t>
  </x:si>
  <x:si>
    <x:t xml:space="preserve">Customer support</x:t>
  </x:si>
  <x:si>
    <x:t xml:space="preserve">Total COGS</x:t>
  </x:si>
  <x:si>
    <x:t xml:space="preserve">Gross profit</x:t>
  </x:si>
  <x:si>
    <x:t xml:space="preserve">Gross margin %</x:t>
  </x:si>
  <x:si>
    <x:t xml:space="preserve">HEADCOUNT &amp; PAYROLL</x:t>
  </x:si>
  <x:si>
    <x:t xml:space="preserve">Engineers (FTE)</x:t>
  </x:si>
  <x:si>
    <x:t xml:space="preserve">Ramp +1/yr</x:t>
  </x:si>
  <x:si>
    <x:t xml:space="preserve">Compliance/ops (FTE)</x:t>
  </x:si>
  <x:si>
    <x:t xml:space="preserve">Ramp</x:t>
  </x:si>
  <x:si>
    <x:t xml:space="preserve">Sales/BD/CS (FTE)</x:t>
  </x:si>
  <x:si>
    <x:t xml:space="preserve">Total FTE</x:t>
  </x:si>
  <x:si>
    <x:t xml:space="preserve">Gross salaries</x:t>
  </x:si>
  <x:si>
    <x:t xml:space="preserve">FTE × salary</x:t>
  </x:si>
  <x:si>
    <x:t xml:space="preserve">Employer NI</x:t>
  </x:si>
  <x:si>
    <x:t xml:space="preserve">Employer pension</x:t>
  </x:si>
  <x:si>
    <x:t xml:space="preserve">Total payroll cost</x:t>
  </x:si>
  <x:si>
    <x:t xml:space="preserve">FIXED OPERATING COSTS (annual = monthly ×12)</x:t>
  </x:si>
  <x:si>
    <x:t xml:space="preserve">Total fixed opex</x:t>
  </x:si>
  <x:si>
    <x:t xml:space="preserve">ONE-OFF &amp; STARTUP COSTS</x:t>
  </x:si>
  <x:si>
    <x:t xml:space="preserve">First-6-months one-off costs (Yr1)</x:t>
  </x:si>
  <x:si>
    <x:t xml:space="preserve">From Startup_6mo (Yr1 only)</x:t>
  </x:si>
  <x:si>
    <x:t xml:space="preserve">RESULT</x:t>
  </x:si>
  <x:si>
    <x:t xml:space="preserve">Total operating expenditure</x:t>
  </x:si>
  <x:si>
    <x:t xml:space="preserve">Payroll+opex+one-off</x:t>
  </x:si>
  <x:si>
    <x:t xml:space="preserve">EBITDA (pre one-off)</x:t>
  </x:si>
  <x:si>
    <x:t xml:space="preserve">Gross profit − payroll − opex</x:t>
  </x:si>
  <x:si>
    <x:t xml:space="preserve">Net profit / (loss) incl. one-off</x:t>
  </x:si>
  <x:si>
    <x:t xml:space="preserve">Cumulative net result</x:t>
  </x:si>
  <x:si>
    <x:t xml:space="preserve">Running total</x:t>
  </x:si>
  <x:si>
    <x:t xml:space="preserve">Implied cash needed (peak cumulative deficit + buffer)</x:t>
  </x:si>
  <x:si>
    <x:t xml:space="preserve">Driver Tables — Researched Cost &amp; Revenue Assumptions</x:t>
  </x:si>
  <x:si>
    <x:t xml:space="preserve">Each driver in native quoted currency. Columns per request. Source quality: official / vendor / benchmark / estimate.</x:t>
  </x:si>
  <x:si>
    <x:t xml:space="preserve">The 10 Assumptions That Move the Model Most</x:t>
  </x:si>
  <x:si>
    <x:t xml:space="preserve">Ranked by impact on 3-year net result. Test each in isolation via the Low/Base/High inputs.</x:t>
  </x:si>
  <x:si>
    <x:t xml:space="preserve">Why it dominates</x:t>
  </x:si>
  <x:si>
    <x:t xml:space="preserve">Recommended assumptions set (the Base column is the recommendation)</x:t>
  </x:si>
  <x:si>
    <x:t xml:space="preserve">•  Use BASE for the working plan; run LOW as the conservative fundraise floor and HIGH only for upside sensitivity.</x:t>
  </x:si>
  <x:si>
    <x:t xml:space="preserve">•  Base headline: ~180 deals Yr1 → ~900 Yr2 → ~3,000 Yr3 at £60k avg deal value and a 0.35% take rate + £40 doc fee.</x:t>
  </x:si>
  <x:si>
    <x:t xml:space="preserve">•  Plan Year-1 one-off spend of roughly £150–250k (Base), dominated by build + smart-contract audit + regulatory advice.</x:t>
  </x:si>
  <x:si>
    <x:t xml:space="preserve">•  Hold an 18-month cash buffer; size the pre-seed raise to cover peak cumulative deficit × ~1.3 (see P&amp;L_3yr last row).</x:t>
  </x:si>
  <x:si>
    <x:t xml:space="preserve">•  Treat every 'estimate'-quality revenue line as a hypothesis to validate in pilots before relying on it for the raise.</x:t>
  </x:si>
  <x:si>
    <x:t xml:space="preserve">Risk Register — High-Risk, Quote-Based &amp; Needs-Confirmation Items</x:t>
  </x:si>
  <x:si>
    <x:t xml:space="preserve">Items requiring legal/regulatory confirmation or a firm quote before the model can be relied on.</x:t>
  </x:si>
  <x:si>
    <x:t xml:space="preserve">Assumption / item</x:t>
  </x:si>
  <x:si>
    <x:t xml:space="preserve">Risk level</x:t>
  </x:si>
  <x:si>
    <x:t xml:space="preserve">Why it's high-risk / what to confirm</x:t>
  </x:si>
  <x:si>
    <x:t xml:space="preserve">Confirm with</x:t>
  </x:si>
  <x:si>
    <x:t xml:space="preserve">FCA regulatory perimeter (does Blockmediary need authorisation?)</x:t>
  </x:si>
  <x:si>
    <x:t xml:space="preserve">CRITICAL</x:t>
  </x:si>
  <x:si>
    <x:t xml:space="preserve">UK FSMA (Cryptoassets) Regs 2026 in force 25 Oct 2027; gateway opens 30 Sep 2026. 'Safeguarding qualifying cryptoassets' is a new regulated activity — a stablecoin escrow holding buyer funds may be in scope. Operating in-perimeter without authorisation risks criminal sanctions and unenforceable contracts.</x:t>
  </x:si>
  <x:si>
    <x:t xml:space="preserve">Specialist crypto regulatory counsel / FCA pre-app</x:t>
  </x:si>
  <x:si>
    <x:t xml:space="preserve">Stablecoin handling &amp; e-money / payments perimeter</x:t>
  </x:si>
  <x:si>
    <x:t xml:space="preserve">Even excluding lending, holding/transferring stablecoin for third parties can touch payments, e-money and safeguarding rules across UK/EU (MiCA) and ME jurisdictions. Cross-border use multiplies this.</x:t>
  </x:si>
  <x:si>
    <x:t xml:space="preserve">Crypto/payments counsel in each jurisdiction</x:t>
  </x:si>
  <x:si>
    <x:t xml:space="preserve">Escrow take rate &amp; revenue lines</x:t>
  </x:si>
  <x:si>
    <x:t xml:space="preserve">HIGH</x:t>
  </x:si>
  <x:si>
    <x:t xml:space="preserve">All revenue figures are 'estimate' quality — no clean public documentary-escrow comparable. The entire revenue model is a hypothesis until validated in paid pilots.</x:t>
  </x:si>
  <x:si>
    <x:t xml:space="preserve">Pilot pricing tests</x:t>
  </x:si>
  <x:si>
    <x:t xml:space="preserve">Trade Escrow Agreement enforceability</x:t>
  </x:si>
  <x:si>
    <x:t xml:space="preserve">Bespoke contract governing on-chain release of funds against off-chain documents; enforceability across buyer/seller jurisdictions is untested.</x:t>
  </x:si>
  <x:si>
    <x:t xml:space="preserve">Trade-finance + crypto counsel</x:t>
  </x:si>
  <x:si>
    <x:t xml:space="preserve">Smart-contract audit scope &amp; cost</x:t>
  </x:si>
  <x:si>
    <x:t xml:space="preserve">MEDIUM</x:t>
  </x:si>
  <x:si>
    <x:t xml:space="preserve">Audit cost depends on final contract complexity; a contract holding client funds warrants a top-tier audit and possibly re-audit after changes.</x:t>
  </x:si>
  <x:si>
    <x:t xml:space="preserve">Audit firm quote (scoped)</x:t>
  </x:si>
  <x:si>
    <x:t xml:space="preserve">AML/KYC obligations &amp; MLRO</x:t>
  </x:si>
  <x:si>
    <x:t xml:space="preserve">Cross-border SME trade with funds movement likely triggers MLR 2017 registration and an appointed MLRO; ME jurisdictions add local AML regimes.</x:t>
  </x:si>
  <x:si>
    <x:t xml:space="preserve">MLRO / compliance counsel</x:t>
  </x:si>
  <x:si>
    <x:t xml:space="preserve">Data protection across UK/EU/ME</x:t>
  </x:si>
  <x:si>
    <x:t xml:space="preserve">Handling trade documents (often containing personal data) across three regions engages UK GDPR, EU GDPR and local ME data laws; transfer mechanisms needed.</x:t>
  </x:si>
  <x:si>
    <x:t xml:space="preserve">Data-protection counsel</x:t>
  </x:si>
  <x:si>
    <x:t xml:space="preserve">Insurance availability &amp; loading</x:t>
  </x:si>
  <x:si>
    <x:t xml:space="preserve">Crypto/fintech PI, cyber and D&amp;O can be hard to place and carry heavy loadings or exclusions (e.g. crypto exclusions). Quotes will vary widely.</x:t>
  </x:si>
  <x:si>
    <x:t xml:space="preserve">Specialist fintech insurance broker</x:t>
  </x:si>
  <x:si>
    <x:t xml:space="preserve">Salary &amp; contractor benchmarks</x:t>
  </x:si>
  <x:si>
    <x:t xml:space="preserve">LOW</x:t>
  </x:si>
  <x:si>
    <x:t xml:space="preserve">Ranges are benchmark-quality, not offers; actual hires may sit outside the band, especially scarce crypto/compliance talent.</x:t>
  </x:si>
  <x:si>
    <x:t xml:space="preserve">Recruiter / live market data</x:t>
  </x:si>
  <x:si>
    <x:t xml:space="preserve">Funding size &amp; timing</x:t>
  </x:si>
  <x:si>
    <x:t xml:space="preserve">Round sizes are market benchmarks; regulated-fintech raises can be slower and require more proof of compliance readiness.</x:t>
  </x:si>
  <x:si>
    <x:t xml:space="preserve">Pre-seed/seed investors</x:t>
  </x:si>
</x:sst>
</file>

<file path=xl/styles.xml><?xml version="1.0" encoding="utf-8"?>
<x:styleSheet xmlns:x="http://schemas.openxmlformats.org/spreadsheetml/2006/main">
  <x:numFmts count="11">
    <x:numFmt numFmtId="164" formatCode="0.000"/>
    <x:numFmt numFmtId="165" formatCode="#,##0;\(#,##0\);\-"/>
    <x:numFmt numFmtId="166" formatCode="\£#,##0;&quot;(£&quot;#,##0\);\-"/>
    <x:numFmt numFmtId="167" formatCode="0.0%"/>
    <x:numFmt numFmtId="168" formatCode="\£#,##0.0000;\-"/>
    <x:numFmt numFmtId="169" formatCode="\£#,##0.00;&quot;(£&quot;#,##0.00\);\-"/>
    <x:numFmt numFmtId="200" formatCode="#,##0.0;[Red](#,##0.0);-"/>
    <x:numFmt numFmtId="201" formatCode="#,##0.0"/>
    <x:numFmt numFmtId="202" formatCode="0.00%"/>
    <x:numFmt numFmtId="203" formatCode="#,##0"/>
    <x:numFmt numFmtId="204" formatCode="£#,##0;[Red](£#,##0);-"/>
  </x:numFmts>
  <x:fonts count="24">
    <x:font>
      <x:sz val="11"/>
      <x:color theme="1"/>
      <x:name val="Calibri"/>
    </x:font>
    <x:font>
      <x:sz val="10"/>
      <x:name val="Arial"/>
    </x:font>
    <x:font>
      <x:b/>
      <x:sz val="14"/>
      <x:color rgb="1F3864"/>
      <x:name val="Arial"/>
    </x:font>
    <x:font>
      <x:i/>
      <x:sz val="9"/>
      <x:color rgb="595959"/>
      <x:name val="Arial"/>
    </x:font>
    <x:font>
      <x:sz val="10"/>
      <x:color rgb="000000"/>
      <x:name val="Arial"/>
    </x:font>
    <x:font>
      <x:b/>
      <x:sz val="11"/>
      <x:color rgb="FFFFFF"/>
      <x:name val="Arial"/>
    </x:font>
    <x:font>
      <x:b/>
      <x:sz val="10"/>
      <x:color rgb="000000"/>
      <x:name val="Arial"/>
    </x:font>
    <x:font>
      <x:sz val="10"/>
      <x:color rgb="0000FF"/>
      <x:name val="Arial"/>
    </x:font>
    <x:font>
      <x:b/>
      <x:sz val="11"/>
      <x:color rgb="C00000"/>
      <x:name val="Arial"/>
    </x:font>
    <x:font>
      <x:b/>
      <x:sz val="10"/>
      <x:color rgb="FFFFFF"/>
      <x:name val="Arial"/>
    </x:font>
    <x:font>
      <x:sz val="9"/>
      <x:color rgb="595959"/>
      <x:name val="Arial"/>
    </x:font>
    <x:font>
      <x:sz val="10"/>
      <x:color rgb="008000"/>
      <x:name val="Arial"/>
    </x:font>
    <x:font>
      <x:sz val="10"/>
      <x:name val="Arial"/>
    </x:font>
    <x:font>
      <x:b/>
      <x:sz val="9"/>
      <x:color rgb="833C00"/>
      <x:name val="Arial"/>
    </x:font>
    <x:font>
      <x:sz val="8"/>
      <x:color rgb="595959"/>
      <x:name val="Arial"/>
    </x:font>
    <x:font>
      <x:b/>
      <x:sz val="9"/>
      <x:color rgb="7F6000"/>
      <x:name val="Arial"/>
    </x:font>
    <x:font>
      <x:b/>
      <x:sz val="9"/>
      <x:color rgb="006100"/>
      <x:name val="Arial"/>
    </x:font>
    <x:font>
      <x:b/>
      <x:sz val="9"/>
      <x:color rgb="1F4E78"/>
      <x:name val="Arial"/>
    </x:font>
    <x:font>
      <x:b/>
      <x:sz val="9"/>
      <x:color rgb="FFFFFF"/>
      <x:name val="Arial"/>
    </x:font>
    <x:font>
      <x:b/>
      <x:sz val="14"/>
      <x:color rgb="FFFFFF"/>
      <x:name val="Calibri"/>
    </x:font>
    <x:font>
      <x:b/>
      <x:sz val="11"/>
      <x:color rgb="FFFFFF"/>
      <x:name val="Calibri"/>
    </x:font>
    <x:font>
      <x:b/>
      <x:sz val="11"/>
      <x:color theme="1"/>
      <x:name val="Calibri"/>
    </x:font>
    <x:font>
      <x:sz val="11"/>
      <x:color rgb="000000"/>
      <x:name val="Calibri"/>
    </x:font>
    <x:font>
      <x:b/>
      <x:sz val="11"/>
      <x:color rgb="274E13"/>
      <x:name val="Calibri"/>
    </x:font>
  </x:fonts>
  <x:fills count="35">
    <x:fill>
      <x:patternFill patternType="none"/>
    </x:fill>
    <x:fill>
      <x:patternFill patternType="gray125"/>
    </x:fill>
    <x:fill>
      <x:patternFill patternType="solid">
        <x:fgColor rgb="2E5496"/>
      </x:patternFill>
    </x:fill>
    <x:fill>
      <x:patternFill patternType="solid">
        <x:fgColor rgb="FFFF00"/>
      </x:patternFill>
    </x:fill>
    <x:fill>
      <x:patternFill patternType="solid">
        <x:fgColor rgb="1F3864"/>
      </x:patternFill>
    </x:fill>
    <x:fill>
      <x:patternFill patternType="solid">
        <x:fgColor rgb="FCE4D6"/>
      </x:patternFill>
    </x:fill>
    <x:fill>
      <x:patternFill patternType="solid">
        <x:fgColor rgb="D6DCE5"/>
      </x:patternFill>
    </x:fill>
    <x:fill>
      <x:patternFill patternType="solid">
        <x:fgColor rgb="FFF2CC"/>
      </x:patternFill>
    </x:fill>
    <x:fill>
      <x:patternFill patternType="solid">
        <x:fgColor rgb="E2EFDA"/>
      </x:patternFill>
    </x:fill>
    <x:fill>
      <x:patternFill patternType="solid">
        <x:fgColor rgb="F8CBAD"/>
      </x:patternFill>
    </x:fill>
    <x:fill>
      <x:patternFill patternType="solid">
        <x:fgColor rgb="F4B084"/>
      </x:patternFill>
    </x:fill>
    <x:fill>
      <x:patternFill patternType="solid">
        <x:fgColor rgb="DEEBF7"/>
      </x:patternFill>
    </x:fill>
    <x:fill>
      <x:patternFill patternType="solid">
        <x:fgColor rgb="EDEDED"/>
      </x:patternFill>
    </x:fill>
    <x:fill>
      <x:patternFill patternType="solid">
        <x:fgColor rgb="D9E1F2"/>
      </x:patternFill>
    </x:fill>
    <x:fill>
      <x:patternFill patternType="solid">
        <x:fgColor rgb="F2F2F2"/>
      </x:patternFill>
    </x:fill>
    <x:fill>
      <x:patternFill patternType="solid">
        <x:fgColor rgb="C00000"/>
      </x:patternFill>
    </x:fill>
    <x:fill>
      <x:patternFill patternType="solid">
        <x:fgColor rgb="C55A11"/>
      </x:patternFill>
    </x:fill>
    <x:fill>
      <x:patternFill patternType="solid">
        <x:fgColor rgb="BF8F00"/>
      </x:patternFill>
    </x:fill>
    <x:fill>
      <x:patternFill patternType="solid">
        <x:fgColor rgb="548235"/>
      </x:patternFill>
    </x:fill>
    <x:fill>
      <x:patternFill patternType="solid">
        <x:fgColor rgb="1F4E79"/>
      </x:patternFill>
    </x:fill>
    <x:fill>
      <x:patternFill patternType="solid">
        <x:fgColor rgb="5B9BD5"/>
      </x:patternFill>
    </x:fill>
    <x:fill>
      <x:patternFill patternType="solid">
        <x:fgColor rgb="1F4E79"/>
      </x:patternFill>
    </x:fill>
    <x:fill>
      <x:patternFill patternType="solid">
        <x:fgColor rgb="5B9BD5"/>
      </x:patternFill>
    </x:fill>
    <x:fill>
      <x:patternFill patternType="solid">
        <x:fgColor rgb="D9EAF7"/>
      </x:patternFill>
    </x:fill>
    <x:fill>
      <x:patternFill patternType="solid">
        <x:fgColor rgb="1F4E79"/>
      </x:patternFill>
    </x:fill>
    <x:fill>
      <x:patternFill patternType="solid">
        <x:fgColor rgb="5B9BD5"/>
      </x:patternFill>
    </x:fill>
    <x:fill>
      <x:patternFill patternType="solid">
        <x:fgColor rgb="2C7A33"/>
      </x:patternFill>
    </x:fill>
    <x:fill>
      <x:patternFill patternType="solid">
        <x:fgColor rgb="C77D18"/>
      </x:patternFill>
    </x:fill>
    <x:fill>
      <x:patternFill patternType="solid">
        <x:fgColor rgb="7F1D1D"/>
      </x:patternFill>
    </x:fill>
    <x:fill>
      <x:patternFill patternType="solid">
        <x:fgColor rgb="FFFFFF"/>
      </x:patternFill>
    </x:fill>
    <x:fill>
      <x:patternFill patternType="solid">
        <x:fgColor rgb="D9EAD3"/>
      </x:patternFill>
    </x:fill>
    <x:fill>
      <x:patternFill patternType="solid">
        <x:fgColor rgb="FCE4D6"/>
      </x:patternFill>
    </x:fill>
    <x:fill>
      <x:patternFill patternType="solid">
        <x:fgColor rgb="C00000"/>
      </x:patternFill>
    </x:fill>
    <x:fill>
      <x:patternFill patternType="solid">
        <x:fgColor rgb="BF9000"/>
      </x:patternFill>
    </x:fill>
    <x:fill>
      <x:patternFill patternType="solid">
        <x:fgColor rgb="C55A11"/>
      </x:patternFill>
    </x:fill>
  </x:fills>
  <x:borders count="4">
    <x:border/>
    <x:border>
      <x:left style="thin">
        <x:color rgb="BFBFBF"/>
      </x:left>
      <x:right style="thin">
        <x:color rgb="BFBFBF"/>
      </x:right>
      <x:top style="thin">
        <x:color rgb="BFBFBF"/>
      </x:top>
      <x:bottom style="thin">
        <x:color rgb="BFBFBF"/>
      </x:bottom>
    </x:border>
    <x:border/>
    <x:border>
      <x:left style="thin">
        <x:color rgb="BFBFBF"/>
      </x:left>
      <x:right style="thin">
        <x:color rgb="BFBFBF"/>
      </x:right>
      <x:top style="thin">
        <x:color rgb="BFBFBF"/>
      </x:top>
      <x:bottom style="thin">
        <x:color rgb="BFBFBF"/>
      </x:bottom>
    </x:border>
  </x:borders>
  <x:cellStyleXfs count="1">
    <x:xf numFmtId="0" fontId="0" fillId="0" borderId="0"/>
  </x:cellStyleXfs>
  <x:cellXfs count="315">
    <x:xf numFmtId="0" fontId="0" fillId="0" borderId="0" xfId="0"/>
    <x:xf numFmtId="0" fontId="4" fillId="0" borderId="0" xfId="0" applyFont="1" applyAlignment="1">
      <x:alignment vertical="center" wrapText="1"/>
    </x:xf>
    <x:xf numFmtId="0" fontId="5" fillId="2" borderId="0" xfId="0" applyFont="1" applyFill="1" applyAlignment="1">
      <x:alignment horizontal="left" vertical="center"/>
    </x:xf>
    <x:xf numFmtId="0" fontId="2" fillId="0" borderId="0" xfId="0" applyFont="1"/>
    <x:xf numFmtId="0" fontId="3" fillId="0" borderId="0" xfId="0" applyFont="1"/>
    <x:xf numFmtId="0" fontId="4" fillId="0" borderId="0" xfId="0" applyFont="1" applyAlignment="1">
      <x:alignment vertical="center"/>
    </x:xf>
    <x:xf numFmtId="0" fontId="5" fillId="2" borderId="0" xfId="0" applyFont="1" applyFill="1" applyAlignment="1">
      <x:alignment horizontal="left" vertical="center"/>
    </x:xf>
    <x:xf numFmtId="0" fontId="6" fillId="0" borderId="0" xfId="0" applyFont="1" applyAlignment="1">
      <x:alignment vertical="center"/>
    </x:xf>
    <x:xf numFmtId="1" fontId="7" fillId="3" borderId="1" xfId="0" applyNumberFormat="1" applyFont="1" applyFill="1" applyBorder="1" applyAlignment="1">
      <x:alignment horizontal="right" vertical="center"/>
    </x:xf>
    <x:xf numFmtId="0" fontId="8" fillId="0" borderId="0" xfId="0" applyFont="1" applyAlignment="1">
      <x:alignment horizontal="right" vertical="center"/>
    </x:xf>
    <x:xf numFmtId="0" fontId="9" fillId="4" borderId="1" xfId="0" applyFont="1" applyFill="1" applyBorder="1" applyAlignment="1">
      <x:alignment horizontal="center" vertical="center" wrapText="1"/>
    </x:xf>
    <x:xf numFmtId="0" fontId="0" fillId="2" borderId="0" xfId="0" applyFill="1"/>
    <x:xf numFmtId="0" fontId="4" fillId="0" borderId="1" xfId="0" applyFont="1" applyBorder="1" applyAlignment="1">
      <x:alignment vertical="center"/>
    </x:xf>
    <x:xf numFmtId="164" fontId="7" fillId="0" borderId="1" xfId="0" applyNumberFormat="1" applyFont="1" applyBorder="1" applyAlignment="1">
      <x:alignment horizontal="right" vertical="center"/>
    </x:xf>
    <x:xf numFmtId="164" fontId="6" fillId="0" borderId="1" xfId="0" applyNumberFormat="1" applyFont="1" applyBorder="1" applyAlignment="1">
      <x:alignment horizontal="right" vertical="center"/>
    </x:xf>
    <x:xf numFmtId="0" fontId="10" fillId="0" borderId="0" xfId="0" applyFont="1" applyAlignment="1">
      <x:alignment vertical="center"/>
    </x:xf>
    <x:xf numFmtId="0" fontId="10" fillId="0" borderId="0" xfId="0" applyFont="1" applyAlignment="1">
      <x:alignment vertical="center" wrapText="1"/>
    </x:xf>
    <x:xf numFmtId="1" fontId="7" fillId="0" borderId="1" xfId="0" applyNumberFormat="1" applyFont="1" applyBorder="1" applyAlignment="1">
      <x:alignment horizontal="right" vertical="center"/>
    </x:xf>
    <x:xf numFmtId="1" fontId="6" fillId="0" borderId="1" xfId="0" applyNumberFormat="1" applyFont="1" applyBorder="1" applyAlignment="1">
      <x:alignment horizontal="right" vertical="center"/>
    </x:xf>
    <x:xf numFmtId="165" fontId="7" fillId="0" borderId="1" xfId="0" applyNumberFormat="1" applyFont="1" applyBorder="1" applyAlignment="1">
      <x:alignment horizontal="right" vertical="center"/>
    </x:xf>
    <x:xf numFmtId="165" fontId="6" fillId="0" borderId="1" xfId="0" applyNumberFormat="1" applyFont="1" applyBorder="1" applyAlignment="1">
      <x:alignment horizontal="right" vertical="center"/>
    </x:xf>
    <x:xf numFmtId="166" fontId="7" fillId="0" borderId="1" xfId="0" applyNumberFormat="1" applyFont="1" applyBorder="1" applyAlignment="1">
      <x:alignment horizontal="right" vertical="center"/>
    </x:xf>
    <x:xf numFmtId="166" fontId="6" fillId="0" borderId="1" xfId="0" applyNumberFormat="1" applyFont="1" applyBorder="1" applyAlignment="1">
      <x:alignment horizontal="right" vertical="center"/>
    </x:xf>
    <x:xf numFmtId="167" fontId="7" fillId="0" borderId="1" xfId="0" applyNumberFormat="1" applyFont="1" applyBorder="1" applyAlignment="1">
      <x:alignment horizontal="right" vertical="center"/>
    </x:xf>
    <x:xf numFmtId="167" fontId="6" fillId="0" borderId="1" xfId="0" applyNumberFormat="1" applyFont="1" applyBorder="1" applyAlignment="1">
      <x:alignment horizontal="right" vertical="center"/>
    </x:xf>
    <x:xf numFmtId="10" fontId="7" fillId="0" borderId="1" xfId="0" applyNumberFormat="1" applyFont="1" applyBorder="1" applyAlignment="1">
      <x:alignment horizontal="right" vertical="center"/>
    </x:xf>
    <x:xf numFmtId="10" fontId="6" fillId="0" borderId="1" xfId="0" applyNumberFormat="1" applyFont="1" applyBorder="1" applyAlignment="1">
      <x:alignment horizontal="right" vertical="center"/>
    </x:xf>
    <x:xf numFmtId="168" fontId="7" fillId="0" borderId="1" xfId="0" applyNumberFormat="1" applyFont="1" applyBorder="1" applyAlignment="1">
      <x:alignment horizontal="right" vertical="center"/>
    </x:xf>
    <x:xf numFmtId="168" fontId="6" fillId="0" borderId="1" xfId="0" applyNumberFormat="1" applyFont="1" applyBorder="1" applyAlignment="1">
      <x:alignment horizontal="right" vertical="center"/>
    </x:xf>
    <x:xf numFmtId="169" fontId="7" fillId="0" borderId="1" xfId="0" applyNumberFormat="1" applyFont="1" applyBorder="1" applyAlignment="1">
      <x:alignment horizontal="right" vertical="center"/>
    </x:xf>
    <x:xf numFmtId="169" fontId="6" fillId="0" borderId="1" xfId="0" applyNumberFormat="1" applyFont="1" applyBorder="1" applyAlignment="1">
      <x:alignment horizontal="right" vertical="center"/>
    </x:xf>
    <x:xf numFmtId="0" fontId="4" fillId="5" borderId="1" xfId="0" applyFont="1" applyFill="1" applyBorder="1" applyAlignment="1">
      <x:alignment vertical="center"/>
    </x:xf>
    <x:xf numFmtId="166" fontId="7" fillId="5" borderId="1" xfId="0" applyNumberFormat="1" applyFont="1" applyFill="1" applyBorder="1" applyAlignment="1">
      <x:alignment horizontal="right" vertical="center"/>
    </x:xf>
    <x:xf numFmtId="166" fontId="6" fillId="5" borderId="1" xfId="0" applyNumberFormat="1" applyFont="1" applyFill="1" applyBorder="1" applyAlignment="1">
      <x:alignment horizontal="right" vertical="center"/>
    </x:xf>
    <x:xf numFmtId="0" fontId="6" fillId="6" borderId="1" xfId="0" applyFont="1" applyFill="1" applyBorder="1" applyAlignment="1">
      <x:alignment vertical="center"/>
    </x:xf>
    <x:xf numFmtId="0" fontId="0" fillId="6" borderId="1" xfId="0" applyFill="1" applyBorder="1"/>
    <x:xf numFmtId="166" fontId="6" fillId="6" borderId="1" xfId="0" applyNumberFormat="1" applyFont="1" applyFill="1" applyBorder="1" applyAlignment="1">
      <x:alignment horizontal="right" vertical="center"/>
    </x:xf>
    <x:xf numFmtId="0" fontId="0" fillId="0" borderId="1" xfId="0" applyBorder="1"/>
    <x:xf numFmtId="166" fontId="4" fillId="0" borderId="1" xfId="0" applyNumberFormat="1" applyFont="1" applyBorder="1" applyAlignment="1">
      <x:alignment horizontal="right" vertical="center"/>
    </x:xf>
    <x:xf numFmtId="0" fontId="5" fillId="4" borderId="1" xfId="0" applyFont="1" applyFill="1" applyBorder="1" applyAlignment="1">
      <x:alignment vertical="center"/>
    </x:xf>
    <x:xf numFmtId="0" fontId="5" fillId="4" borderId="1" xfId="0" applyFont="1" applyFill="1" applyBorder="1"/>
    <x:xf numFmtId="166" fontId="5" fillId="4" borderId="1" xfId="0" applyNumberFormat="1" applyFont="1" applyFill="1" applyBorder="1" applyAlignment="1">
      <x:alignment horizontal="right" vertical="center"/>
    </x:xf>
    <x:xf numFmtId="165" fontId="11" fillId="0" borderId="1" xfId="0" applyNumberFormat="1" applyFont="1" applyBorder="1" applyAlignment="1">
      <x:alignment horizontal="right" vertical="center"/>
    </x:xf>
    <x:xf numFmtId="166" fontId="11" fillId="0" borderId="1" xfId="0" applyNumberFormat="1" applyFont="1" applyBorder="1" applyAlignment="1">
      <x:alignment horizontal="right" vertical="center"/>
    </x:xf>
    <x:xf numFmtId="0" fontId="6" fillId="0" borderId="1" xfId="0" applyFont="1" applyBorder="1" applyAlignment="1">
      <x:alignment vertical="center"/>
    </x:xf>
    <x:xf numFmtId="167" fontId="4" fillId="0" borderId="1" xfId="0" applyNumberFormat="1" applyFont="1" applyBorder="1" applyAlignment="1">
      <x:alignment horizontal="right" vertical="center"/>
    </x:xf>
    <x:xf numFmtId="1" fontId="11" fillId="0" borderId="1" xfId="0" applyNumberFormat="1" applyFont="1" applyBorder="1" applyAlignment="1">
      <x:alignment horizontal="right" vertical="center"/>
    </x:xf>
    <x:xf numFmtId="0" fontId="6" fillId="7" borderId="1" xfId="0" applyFont="1" applyFill="1" applyBorder="1" applyAlignment="1">
      <x:alignment vertical="center"/>
    </x:xf>
    <x:xf numFmtId="166" fontId="6" fillId="7" borderId="1" xfId="0" applyNumberFormat="1" applyFont="1" applyFill="1" applyBorder="1" applyAlignment="1">
      <x:alignment horizontal="right" vertical="center"/>
    </x:xf>
    <x:xf numFmtId="0" fontId="12" fillId="0" borderId="1" xfId="0" applyFont="1" applyBorder="1" applyAlignment="1">
      <x:alignment vertical="center"/>
    </x:xf>
    <x:xf numFmtId="0" fontId="4" fillId="8" borderId="1" xfId="0" applyFont="1" applyFill="1" applyBorder="1" applyAlignment="1">
      <x:alignment vertical="center"/>
    </x:xf>
    <x:xf numFmtId="10" fontId="7" fillId="0" borderId="1" xfId="0" applyNumberFormat="1" applyFont="1" applyBorder="1" applyAlignment="1">
      <x:alignment horizontal="right"/>
    </x:xf>
    <x:xf numFmtId="0" fontId="4" fillId="0" borderId="1" xfId="0" applyFont="1" applyBorder="1" applyAlignment="1">
      <x:alignment horizontal="center"/>
    </x:xf>
    <x:xf numFmtId="0" fontId="13" fillId="0" borderId="1" xfId="0" applyFont="1" applyBorder="1" applyAlignment="1">
      <x:alignment horizontal="center"/>
    </x:xf>
    <x:xf numFmtId="0" fontId="14" fillId="0" borderId="1" xfId="0" applyFont="1" applyBorder="1" applyAlignment="1">
      <x:alignment vertical="center" wrapText="1"/>
    </x:xf>
    <x:xf numFmtId="0" fontId="10" fillId="0" borderId="1" xfId="0" applyFont="1" applyBorder="1" applyAlignment="1">
      <x:alignment vertical="center"/>
    </x:xf>
    <x:xf numFmtId="165" fontId="7" fillId="0" borderId="1" xfId="0" applyNumberFormat="1" applyFont="1" applyBorder="1" applyAlignment="1">
      <x:alignment horizontal="right"/>
    </x:xf>
    <x:xf numFmtId="0" fontId="15" fillId="0" borderId="1" xfId="0" applyFont="1" applyBorder="1" applyAlignment="1">
      <x:alignment horizontal="center"/>
    </x:xf>
    <x:xf numFmtId="0" fontId="16" fillId="0" borderId="1" xfId="0" applyFont="1" applyBorder="1" applyAlignment="1">
      <x:alignment horizontal="center"/>
    </x:xf>
    <x:xf numFmtId="0" fontId="4" fillId="9" borderId="1" xfId="0" applyFont="1" applyFill="1" applyBorder="1" applyAlignment="1">
      <x:alignment vertical="center"/>
    </x:xf>
    <x:xf numFmtId="0" fontId="12" fillId="10" borderId="1" xfId="0" applyFont="1" applyFill="1" applyBorder="1" applyAlignment="1">
      <x:alignment vertical="center"/>
    </x:xf>
    <x:xf numFmtId="0" fontId="4" fillId="10" borderId="1" xfId="0" applyFont="1" applyFill="1" applyBorder="1" applyAlignment="1">
      <x:alignment vertical="center"/>
    </x:xf>
    <x:xf numFmtId="165" fontId="7" fillId="10" borderId="1" xfId="0" applyNumberFormat="1" applyFont="1" applyFill="1" applyBorder="1" applyAlignment="1">
      <x:alignment horizontal="right"/>
    </x:xf>
    <x:xf numFmtId="0" fontId="17" fillId="0" borderId="1" xfId="0" applyFont="1" applyBorder="1" applyAlignment="1">
      <x:alignment horizontal="center"/>
    </x:xf>
    <x:xf numFmtId="0" fontId="4" fillId="7" borderId="1" xfId="0" applyFont="1" applyFill="1" applyBorder="1" applyAlignment="1">
      <x:alignment vertical="center"/>
    </x:xf>
    <x:xf numFmtId="168" fontId="7" fillId="0" borderId="1" xfId="0" applyNumberFormat="1" applyFont="1" applyBorder="1" applyAlignment="1">
      <x:alignment horizontal="right"/>
    </x:xf>
    <x:xf numFmtId="0" fontId="4" fillId="11" borderId="1" xfId="0" applyFont="1" applyFill="1" applyBorder="1" applyAlignment="1">
      <x:alignment vertical="center"/>
    </x:xf>
    <x:xf numFmtId="0" fontId="4" fillId="12" borderId="1" xfId="0" applyFont="1" applyFill="1" applyBorder="1" applyAlignment="1">
      <x:alignment vertical="center"/>
    </x:xf>
    <x:xf numFmtId="0" fontId="4" fillId="13" borderId="1" xfId="0" applyFont="1" applyFill="1" applyBorder="1" applyAlignment="1">
      <x:alignment vertical="center"/>
    </x:xf>
    <x:xf numFmtId="0" fontId="4" fillId="0" borderId="1" xfId="0" applyFont="1" applyBorder="1" applyAlignment="1">
      <x:alignment vertical="center" wrapText="1"/>
    </x:xf>
    <x:xf numFmtId="1" fontId="6" fillId="14" borderId="1" xfId="0" applyNumberFormat="1" applyFont="1" applyFill="1" applyBorder="1" applyAlignment="1">
      <x:alignment horizontal="right" vertical="center"/>
    </x:xf>
    <x:xf numFmtId="0" fontId="6" fillId="14" borderId="1" xfId="0" applyFont="1" applyFill="1" applyBorder="1" applyAlignment="1">
      <x:alignment vertical="center"/>
    </x:xf>
    <x:xf numFmtId="0" fontId="4" fillId="14" borderId="1" xfId="0" applyFont="1" applyFill="1" applyBorder="1" applyAlignment="1">
      <x:alignment vertical="center" wrapText="1"/>
    </x:xf>
    <x:xf numFmtId="0" fontId="6" fillId="0" borderId="1" xfId="0" applyFont="1" applyBorder="1" applyAlignment="1">
      <x:alignment vertical="center" wrapText="1"/>
    </x:xf>
    <x:xf numFmtId="0" fontId="18" fillId="15" borderId="1" xfId="0" applyFont="1" applyFill="1" applyBorder="1" applyAlignment="1">
      <x:alignment horizontal="center" vertical="center"/>
    </x:xf>
    <x:xf numFmtId="0" fontId="10" fillId="0" borderId="1" xfId="0" applyFont="1" applyBorder="1" applyAlignment="1">
      <x:alignment vertical="center" wrapText="1"/>
    </x:xf>
    <x:xf numFmtId="0" fontId="18" fillId="16" borderId="1" xfId="0" applyFont="1" applyFill="1" applyBorder="1" applyAlignment="1">
      <x:alignment horizontal="center" vertical="center"/>
    </x:xf>
    <x:xf numFmtId="0" fontId="18" fillId="17" borderId="1" xfId="0" applyFont="1" applyFill="1" applyBorder="1" applyAlignment="1">
      <x:alignment horizontal="center" vertical="center"/>
    </x:xf>
    <x:xf numFmtId="0" fontId="18" fillId="18" borderId="1" xfId="0" applyFont="1" applyFill="1" applyBorder="1" applyAlignment="1">
      <x:alignment horizontal="center" vertical="center"/>
    </x:xf>
    <x:xf numFmtId="0" fontId="1" fillId="0" borderId="1" xfId="0" applyFont="1" applyBorder="1" applyAlignment="1">
      <x:alignment vertical="center"/>
    </x:xf>
    <x:xf numFmtId="0" fontId="0" fillId="0" borderId="2" xfId="0" applyNumberFormat="1" applyFont="1" applyFill="1" applyBorder="1"/>
    <x:xf numFmtId="0" fontId="4" fillId="0" borderId="2" xfId="0" applyNumberFormat="1" applyFont="1" applyFill="1" applyBorder="1" applyAlignment="1">
      <x:alignment vertical="center" wrapText="1"/>
    </x:xf>
    <x:xf numFmtId="0" fontId="5" fillId="2" borderId="2" xfId="0" applyNumberFormat="1" applyFont="1" applyFill="1" applyBorder="1" applyAlignment="1">
      <x:alignment horizontal="left" vertical="center"/>
    </x:xf>
    <x:xf numFmtId="0" fontId="2" fillId="0" borderId="2" xfId="0" applyNumberFormat="1" applyFont="1" applyFill="1" applyBorder="1"/>
    <x:xf numFmtId="0" fontId="3" fillId="0" borderId="2" xfId="0" applyNumberFormat="1" applyFont="1" applyFill="1" applyBorder="1"/>
    <x:xf numFmtId="0" fontId="4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1" fontId="7" fillId="3" borderId="3" xfId="0" applyNumberFormat="1" applyFont="1" applyFill="1" applyBorder="1" applyAlignment="1">
      <x:alignment horizontal="right" vertical="center"/>
    </x:xf>
    <x:xf numFmtId="0" fontId="8" fillId="0" borderId="2" xfId="0" applyNumberFormat="1" applyFont="1" applyFill="1" applyBorder="1" applyAlignment="1">
      <x:alignment horizontal="right" vertical="center"/>
    </x:xf>
    <x:xf numFmtId="0" fontId="9" fillId="4" borderId="3" xfId="0" applyNumberFormat="1" applyFont="1" applyFill="1" applyBorder="1" applyAlignment="1">
      <x:alignment horizontal="center" vertical="center" wrapText="1"/>
    </x:xf>
    <x:xf numFmtId="0" fontId="0" fillId="2" borderId="2" xfId="0" applyNumberFormat="1" applyFont="1" applyFill="1" applyBorder="1"/>
    <x:xf numFmtId="0" fontId="4" fillId="0" borderId="3" xfId="0" applyNumberFormat="1" applyFont="1" applyFill="1" applyBorder="1" applyAlignment="1">
      <x:alignment vertical="center"/>
    </x:xf>
    <x:xf numFmtId="164" fontId="7" fillId="0" borderId="3" xfId="0" applyNumberFormat="1" applyFont="1" applyFill="1" applyBorder="1" applyAlignment="1">
      <x:alignment horizontal="right" vertical="center"/>
    </x:xf>
    <x:xf numFmtId="164" fontId="6" fillId="0" borderId="3" xfId="0" applyNumberFormat="1" applyFont="1" applyFill="1" applyBorder="1" applyAlignment="1">
      <x:alignment horizontal="right" vertical="center"/>
    </x:xf>
    <x:xf numFmtId="0" fontId="10" fillId="0" borderId="2" xfId="0" applyNumberFormat="1" applyFont="1" applyFill="1" applyBorder="1" applyAlignment="1">
      <x:alignment vertical="center"/>
    </x:xf>
    <x:xf numFmtId="0" fontId="10" fillId="0" borderId="2" xfId="0" applyNumberFormat="1" applyFont="1" applyFill="1" applyBorder="1" applyAlignment="1">
      <x:alignment vertical="center" wrapText="1"/>
    </x:xf>
    <x:xf numFmtId="1" fontId="7" fillId="0" borderId="3" xfId="0" applyNumberFormat="1" applyFont="1" applyFill="1" applyBorder="1" applyAlignment="1">
      <x:alignment horizontal="right" vertical="center"/>
    </x:xf>
    <x:xf numFmtId="1" fontId="6" fillId="0" borderId="3" xfId="0" applyNumberFormat="1" applyFont="1" applyFill="1" applyBorder="1" applyAlignment="1">
      <x:alignment horizontal="right" vertical="center"/>
    </x:xf>
    <x:xf numFmtId="165" fontId="7" fillId="0" borderId="3" xfId="0" applyNumberFormat="1" applyFont="1" applyFill="1" applyBorder="1" applyAlignment="1">
      <x:alignment horizontal="right" vertical="center"/>
    </x:xf>
    <x:xf numFmtId="165" fontId="6" fillId="0" borderId="3" xfId="0" applyNumberFormat="1" applyFont="1" applyFill="1" applyBorder="1" applyAlignment="1">
      <x:alignment horizontal="right" vertical="center"/>
    </x:xf>
    <x:xf numFmtId="166" fontId="7" fillId="0" borderId="3" xfId="0" applyNumberFormat="1" applyFont="1" applyFill="1" applyBorder="1" applyAlignment="1">
      <x:alignment horizontal="right" vertical="center"/>
    </x:xf>
    <x:xf numFmtId="166" fontId="6" fillId="0" borderId="3" xfId="0" applyNumberFormat="1" applyFont="1" applyFill="1" applyBorder="1" applyAlignment="1">
      <x:alignment horizontal="right" vertical="center"/>
    </x:xf>
    <x:xf numFmtId="167" fontId="7" fillId="0" borderId="3" xfId="0" applyNumberFormat="1" applyFont="1" applyFill="1" applyBorder="1" applyAlignment="1">
      <x:alignment horizontal="right" vertical="center"/>
    </x:xf>
    <x:xf numFmtId="167" fontId="6" fillId="0" borderId="3" xfId="0" applyNumberFormat="1" applyFont="1" applyFill="1" applyBorder="1" applyAlignment="1">
      <x:alignment horizontal="right" vertical="center"/>
    </x:xf>
    <x:xf numFmtId="10" fontId="7" fillId="0" borderId="3" xfId="0" applyNumberFormat="1" applyFont="1" applyFill="1" applyBorder="1" applyAlignment="1">
      <x:alignment horizontal="right" vertical="center"/>
    </x:xf>
    <x:xf numFmtId="10" fontId="6" fillId="0" borderId="3" xfId="0" applyNumberFormat="1" applyFont="1" applyFill="1" applyBorder="1" applyAlignment="1">
      <x:alignment horizontal="right" vertical="center"/>
    </x:xf>
    <x:xf numFmtId="168" fontId="7" fillId="0" borderId="3" xfId="0" applyNumberFormat="1" applyFont="1" applyFill="1" applyBorder="1" applyAlignment="1">
      <x:alignment horizontal="right" vertical="center"/>
    </x:xf>
    <x:xf numFmtId="168" fontId="6" fillId="0" borderId="3" xfId="0" applyNumberFormat="1" applyFont="1" applyFill="1" applyBorder="1" applyAlignment="1">
      <x:alignment horizontal="right" vertical="center"/>
    </x:xf>
    <x:xf numFmtId="169" fontId="7" fillId="0" borderId="3" xfId="0" applyNumberFormat="1" applyFont="1" applyFill="1" applyBorder="1" applyAlignment="1">
      <x:alignment horizontal="right" vertical="center"/>
    </x:xf>
    <x:xf numFmtId="169" fontId="6" fillId="0" borderId="3" xfId="0" applyNumberFormat="1" applyFont="1" applyFill="1" applyBorder="1" applyAlignment="1">
      <x:alignment horizontal="right" vertical="center"/>
    </x:xf>
    <x:xf numFmtId="0" fontId="4" fillId="5" borderId="3" xfId="0" applyNumberFormat="1" applyFont="1" applyFill="1" applyBorder="1" applyAlignment="1">
      <x:alignment vertical="center"/>
    </x:xf>
    <x:xf numFmtId="166" fontId="7" fillId="5" borderId="3" xfId="0" applyNumberFormat="1" applyFont="1" applyFill="1" applyBorder="1" applyAlignment="1">
      <x:alignment horizontal="right" vertical="center"/>
    </x:xf>
    <x:xf numFmtId="166" fontId="6" fillId="5" borderId="3" xfId="0" applyNumberFormat="1" applyFont="1" applyFill="1" applyBorder="1" applyAlignment="1">
      <x:alignment horizontal="right" vertical="center"/>
    </x:xf>
    <x:xf numFmtId="0" fontId="6" fillId="6" borderId="3" xfId="0" applyNumberFormat="1" applyFont="1" applyFill="1" applyBorder="1" applyAlignment="1">
      <x:alignment vertical="center"/>
    </x:xf>
    <x:xf numFmtId="0" fontId="0" fillId="6" borderId="3" xfId="0" applyNumberFormat="1" applyFont="1" applyFill="1" applyBorder="1"/>
    <x:xf numFmtId="166" fontId="6" fillId="6" borderId="3" xfId="0" applyNumberFormat="1" applyFont="1" applyFill="1" applyBorder="1" applyAlignment="1">
      <x:alignment horizontal="right" vertical="center"/>
    </x:xf>
    <x:xf numFmtId="0" fontId="0" fillId="0" borderId="3" xfId="0" applyNumberFormat="1" applyFont="1" applyFill="1" applyBorder="1"/>
    <x:xf numFmtId="166" fontId="4" fillId="0" borderId="3" xfId="0" applyNumberFormat="1" applyFont="1" applyFill="1" applyBorder="1" applyAlignment="1">
      <x:alignment horizontal="right" vertical="center"/>
    </x:xf>
    <x:xf numFmtId="0" fontId="5" fillId="4" borderId="3" xfId="0" applyNumberFormat="1" applyFont="1" applyFill="1" applyBorder="1" applyAlignment="1">
      <x:alignment vertical="center"/>
    </x:xf>
    <x:xf numFmtId="0" fontId="5" fillId="4" borderId="3" xfId="0" applyNumberFormat="1" applyFont="1" applyFill="1" applyBorder="1"/>
    <x:xf numFmtId="166" fontId="5" fillId="4" borderId="3" xfId="0" applyNumberFormat="1" applyFont="1" applyFill="1" applyBorder="1" applyAlignment="1">
      <x:alignment horizontal="right" vertical="center"/>
    </x:xf>
    <x:xf numFmtId="165" fontId="11" fillId="0" borderId="3" xfId="0" applyNumberFormat="1" applyFont="1" applyFill="1" applyBorder="1" applyAlignment="1">
      <x:alignment horizontal="right" vertical="center"/>
    </x:xf>
    <x:xf numFmtId="166" fontId="11" fillId="0" borderId="3" xfId="0" applyNumberFormat="1" applyFont="1" applyFill="1" applyBorder="1" applyAlignment="1">
      <x:alignment horizontal="right" vertical="center"/>
    </x:xf>
    <x:xf numFmtId="0" fontId="6" fillId="0" borderId="3" xfId="0" applyNumberFormat="1" applyFont="1" applyFill="1" applyBorder="1" applyAlignment="1">
      <x:alignment vertical="center"/>
    </x:xf>
    <x:xf numFmtId="167" fontId="4" fillId="0" borderId="3" xfId="0" applyNumberFormat="1" applyFont="1" applyFill="1" applyBorder="1" applyAlignment="1">
      <x:alignment horizontal="right" vertical="center"/>
    </x:xf>
    <x:xf numFmtId="1" fontId="11" fillId="0" borderId="3" xfId="0" applyNumberFormat="1" applyFont="1" applyFill="1" applyBorder="1" applyAlignment="1">
      <x:alignment horizontal="right" vertical="center"/>
    </x:xf>
    <x:xf numFmtId="0" fontId="6" fillId="7" borderId="3" xfId="0" applyNumberFormat="1" applyFont="1" applyFill="1" applyBorder="1" applyAlignment="1">
      <x:alignment vertical="center"/>
    </x:xf>
    <x:xf numFmtId="166" fontId="6" fillId="7" borderId="3" xfId="0" applyNumberFormat="1" applyFont="1" applyFill="1" applyBorder="1" applyAlignment="1">
      <x:alignment horizontal="right" vertical="center"/>
    </x:xf>
    <x:xf numFmtId="0" fontId="1" fillId="0" borderId="3" xfId="0" applyNumberFormat="1" applyFont="1" applyFill="1" applyBorder="1" applyAlignment="1">
      <x:alignment vertical="center"/>
    </x:xf>
    <x:xf numFmtId="0" fontId="4" fillId="8" borderId="3" xfId="0" applyNumberFormat="1" applyFont="1" applyFill="1" applyBorder="1" applyAlignment="1">
      <x:alignment vertical="center"/>
    </x:xf>
    <x:xf numFmtId="10" fontId="7" fillId="0" borderId="3" xfId="0" applyNumberFormat="1" applyFont="1" applyFill="1" applyBorder="1" applyAlignment="1">
      <x:alignment horizontal="right"/>
    </x:xf>
    <x:xf numFmtId="0" fontId="4" fillId="0" borderId="3" xfId="0" applyNumberFormat="1" applyFont="1" applyFill="1" applyBorder="1" applyAlignment="1">
      <x:alignment horizontal="center"/>
    </x:xf>
    <x:xf numFmtId="0" fontId="13" fillId="0" borderId="3" xfId="0" applyNumberFormat="1" applyFont="1" applyFill="1" applyBorder="1" applyAlignment="1">
      <x:alignment horizontal="center"/>
    </x:xf>
    <x:xf numFmtId="0" fontId="14" fillId="0" borderId="3" xfId="0" applyNumberFormat="1" applyFont="1" applyFill="1" applyBorder="1" applyAlignment="1">
      <x:alignment vertical="center" wrapText="1"/>
    </x:xf>
    <x:xf numFmtId="0" fontId="10" fillId="0" borderId="3" xfId="0" applyNumberFormat="1" applyFont="1" applyFill="1" applyBorder="1" applyAlignment="1">
      <x:alignment vertical="center"/>
    </x:xf>
    <x:xf numFmtId="165" fontId="7" fillId="0" borderId="3" xfId="0" applyNumberFormat="1" applyFont="1" applyFill="1" applyBorder="1" applyAlignment="1">
      <x:alignment horizontal="right"/>
    </x:xf>
    <x:xf numFmtId="0" fontId="15" fillId="0" borderId="3" xfId="0" applyNumberFormat="1" applyFont="1" applyFill="1" applyBorder="1" applyAlignment="1">
      <x:alignment horizontal="center"/>
    </x:xf>
    <x:xf numFmtId="0" fontId="16" fillId="0" borderId="3" xfId="0" applyNumberFormat="1" applyFont="1" applyFill="1" applyBorder="1" applyAlignment="1">
      <x:alignment horizontal="center"/>
    </x:xf>
    <x:xf numFmtId="0" fontId="4" fillId="9" borderId="3" xfId="0" applyNumberFormat="1" applyFont="1" applyFill="1" applyBorder="1" applyAlignment="1">
      <x:alignment vertical="center"/>
    </x:xf>
    <x:xf numFmtId="0" fontId="1" fillId="10" borderId="3" xfId="0" applyNumberFormat="1" applyFont="1" applyFill="1" applyBorder="1" applyAlignment="1">
      <x:alignment vertical="center"/>
    </x:xf>
    <x:xf numFmtId="0" fontId="4" fillId="10" borderId="3" xfId="0" applyNumberFormat="1" applyFont="1" applyFill="1" applyBorder="1" applyAlignment="1">
      <x:alignment vertical="center"/>
    </x:xf>
    <x:xf numFmtId="165" fontId="7" fillId="10" borderId="3" xfId="0" applyNumberFormat="1" applyFont="1" applyFill="1" applyBorder="1" applyAlignment="1">
      <x:alignment horizontal="right"/>
    </x:xf>
    <x:xf numFmtId="0" fontId="17" fillId="0" borderId="3" xfId="0" applyNumberFormat="1" applyFont="1" applyFill="1" applyBorder="1" applyAlignment="1">
      <x:alignment horizontal="center"/>
    </x:xf>
    <x:xf numFmtId="0" fontId="4" fillId="7" borderId="3" xfId="0" applyNumberFormat="1" applyFont="1" applyFill="1" applyBorder="1" applyAlignment="1">
      <x:alignment vertical="center"/>
    </x:xf>
    <x:xf numFmtId="168" fontId="7" fillId="0" borderId="3" xfId="0" applyNumberFormat="1" applyFont="1" applyFill="1" applyBorder="1" applyAlignment="1">
      <x:alignment horizontal="right"/>
    </x:xf>
    <x:xf numFmtId="0" fontId="4" fillId="11" borderId="3" xfId="0" applyNumberFormat="1" applyFont="1" applyFill="1" applyBorder="1" applyAlignment="1">
      <x:alignment vertical="center"/>
    </x:xf>
    <x:xf numFmtId="0" fontId="4" fillId="12" borderId="3" xfId="0" applyNumberFormat="1" applyFont="1" applyFill="1" applyBorder="1" applyAlignment="1">
      <x:alignment vertical="center"/>
    </x:xf>
    <x:xf numFmtId="0" fontId="4" fillId="13" borderId="3" xfId="0" applyNumberFormat="1" applyFont="1" applyFill="1" applyBorder="1" applyAlignment="1">
      <x:alignment vertical="center"/>
    </x:xf>
    <x:xf numFmtId="0" fontId="4" fillId="0" borderId="3" xfId="0" applyNumberFormat="1" applyFont="1" applyFill="1" applyBorder="1" applyAlignment="1">
      <x:alignment vertical="center" wrapText="1"/>
    </x:xf>
    <x:xf numFmtId="1" fontId="6" fillId="14" borderId="3" xfId="0" applyNumberFormat="1" applyFont="1" applyFill="1" applyBorder="1" applyAlignment="1">
      <x:alignment horizontal="right" vertical="center"/>
    </x:xf>
    <x:xf numFmtId="0" fontId="6" fillId="14" borderId="3" xfId="0" applyNumberFormat="1" applyFont="1" applyFill="1" applyBorder="1" applyAlignment="1">
      <x:alignment vertical="center"/>
    </x:xf>
    <x:xf numFmtId="0" fontId="4" fillId="14" borderId="3" xfId="0" applyNumberFormat="1" applyFont="1" applyFill="1" applyBorder="1" applyAlignment="1">
      <x:alignment vertical="center" wrapText="1"/>
    </x:xf>
    <x:xf numFmtId="0" fontId="6" fillId="0" borderId="3" xfId="0" applyNumberFormat="1" applyFont="1" applyFill="1" applyBorder="1" applyAlignment="1">
      <x:alignment vertical="center" wrapText="1"/>
    </x:xf>
    <x:xf numFmtId="0" fontId="18" fillId="15" borderId="3" xfId="0" applyNumberFormat="1" applyFont="1" applyFill="1" applyBorder="1" applyAlignment="1">
      <x:alignment horizontal="center" vertical="center"/>
    </x:xf>
    <x:xf numFmtId="0" fontId="10" fillId="0" borderId="3" xfId="0" applyNumberFormat="1" applyFont="1" applyFill="1" applyBorder="1" applyAlignment="1">
      <x:alignment vertical="center" wrapText="1"/>
    </x:xf>
    <x:xf numFmtId="0" fontId="18" fillId="16" borderId="3" xfId="0" applyNumberFormat="1" applyFont="1" applyFill="1" applyBorder="1" applyAlignment="1">
      <x:alignment horizontal="center" vertical="center"/>
    </x:xf>
    <x:xf numFmtId="0" fontId="18" fillId="17" borderId="3" xfId="0" applyNumberFormat="1" applyFont="1" applyFill="1" applyBorder="1" applyAlignment="1">
      <x:alignment horizontal="center" vertical="center"/>
    </x:xf>
    <x:xf numFmtId="0" fontId="18" fillId="18" borderId="3" xfId="0" applyNumberFormat="1" applyFont="1" applyFill="1" applyBorder="1" applyAlignment="1">
      <x:alignment horizontal="center" vertical="center"/>
    </x:xf>
    <x:xf numFmtId="0" fontId="0" fillId="19" borderId="0" xfId="0" applyNumberFormat="1" applyFont="1" applyFill="1" applyBorder="1"/>
    <x:xf numFmtId="0" fontId="0" fillId="19" borderId="2" xfId="0" applyNumberFormat="1" applyFont="1" applyFill="1" applyBorder="1"/>
    <x:xf numFmtId="0" fontId="19" fillId="19" borderId="0" xfId="0" applyNumberFormat="1" applyFont="1" applyFill="1" applyBorder="1"/>
    <x:xf numFmtId="0" fontId="19" fillId="19" borderId="2" xfId="0" applyNumberFormat="1" applyFont="1" applyFill="1" applyBorder="1"/>
    <x:xf numFmtId="0" fontId="0" fillId="20" borderId="0" xfId="0" applyNumberFormat="1" applyFont="1" applyFill="1" applyBorder="1"/>
    <x:xf numFmtId="0" fontId="0" fillId="20" borderId="2" xfId="0" applyNumberFormat="1" applyFont="1" applyFill="1" applyBorder="1"/>
    <x:xf numFmtId="0" fontId="20" fillId="20" borderId="0" xfId="0" applyNumberFormat="1" applyFont="1" applyFill="1" applyBorder="1"/>
    <x:xf numFmtId="0" fontId="20" fillId="20" borderId="2" xfId="0" applyNumberFormat="1" applyFont="1" applyFill="1" applyBorder="1"/>
    <x:xf numFmtId="0" fontId="21" fillId="0" borderId="0" xfId="0" applyNumberFormat="1" applyFont="1" applyFill="1" applyBorder="1"/>
    <x:xf numFmtId="0" fontId="21" fillId="0" borderId="2" xfId="0" applyNumberFormat="1" applyFont="1" applyFill="1" applyBorder="1"/>
    <x:xf numFmtId="0" fontId="20" fillId="20" borderId="0" xfId="0" applyNumberFormat="1" applyFont="1" applyFill="1" applyBorder="1" applyAlignment="1">
      <x:alignment wrapText="1"/>
    </x:xf>
    <x:xf numFmtId="0" fontId="21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0" fillId="20" borderId="2" xfId="0" applyNumberFormat="1" applyFont="1" applyFill="1" applyBorder="1" applyAlignment="1">
      <x:alignment wrapText="1"/>
    </x:xf>
    <x:xf numFmtId="0" fontId="21" fillId="0" borderId="2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2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horizontal="center" wrapText="1"/>
    </x:xf>
    <x:xf numFmtId="0" fontId="0" fillId="0" borderId="2" xfId="0" applyNumberFormat="1" applyFont="1" applyFill="1" applyBorder="1" applyAlignment="1">
      <x:alignment horizontal="center" wrapText="1"/>
    </x:xf>
    <x:xf numFmtId="0" fontId="20" fillId="19" borderId="0" xfId="0" applyNumberFormat="1" applyFont="1" applyFill="1" applyBorder="1"/>
    <x:xf numFmtId="0" fontId="20" fillId="19" borderId="2" xfId="0" applyNumberFormat="1" applyFont="1" applyFill="1" applyBorder="1"/>
    <x:xf numFmtId="0" fontId="9" fillId="20" borderId="1" xfId="0" applyNumberFormat="1" applyFont="1" applyFill="1" applyBorder="1" applyAlignment="1">
      <x:alignment horizontal="center" vertical="center" wrapText="1"/>
    </x:xf>
    <x:xf numFmtId="0" fontId="9" fillId="20" borderId="3" xfId="0" applyNumberFormat="1" applyFont="1" applyFill="1" applyBorder="1" applyAlignment="1">
      <x:alignment horizontal="center" vertical="center" wrapText="1"/>
    </x:xf>
    <x:xf numFmtId="0" fontId="0" fillId="21" borderId="0" xfId="0" applyNumberFormat="1" applyFont="1" applyFill="1" applyBorder="1"/>
    <x:xf numFmtId="0" fontId="0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 applyAlignment="1">
      <x:alignment horizontal="left" vertical="center"/>
    </x:xf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horizontal="right" vertical="center"/>
    </x:xf>
    <x:xf numFmtId="0" fontId="9" fillId="4" borderId="1" xfId="0" applyNumberFormat="1" applyFont="1" applyFill="1" applyBorder="1" applyAlignment="1">
      <x:alignment horizontal="center" vertical="center" wrapText="1"/>
    </x:xf>
    <x:xf numFmtId="0" fontId="0" fillId="2" borderId="0" xfId="0" applyNumberFormat="1" applyFont="1" applyFill="1" applyBorder="1"/>
    <x:xf numFmtId="0" fontId="4" fillId="0" borderId="1" xfId="0" applyNumberFormat="1" applyFont="1" applyFill="1" applyBorder="1" applyAlignment="1">
      <x:alignment vertical="center"/>
    </x:xf>
    <x:xf numFmtId="164" fontId="7" fillId="0" borderId="1" xfId="0" applyNumberFormat="1" applyFont="1" applyFill="1" applyBorder="1" applyAlignment="1">
      <x:alignment horizontal="right" vertical="center"/>
    </x:xf>
    <x:xf numFmtId="164" fontId="6" fillId="0" borderId="1" xfId="0" applyNumberFormat="1" applyFont="1" applyFill="1" applyBorder="1" applyAlignment="1">
      <x:alignment horizontal="right" vertical="center"/>
    </x:xf>
    <x:xf numFmtId="0" fontId="10" fillId="0" borderId="0" xfId="0" applyNumberFormat="1" applyFont="1" applyFill="1" applyBorder="1" applyAlignment="1">
      <x:alignment vertical="center"/>
    </x:xf>
    <x:xf numFmtId="0" fontId="10" fillId="0" borderId="0" xfId="0" applyNumberFormat="1" applyFont="1" applyFill="1" applyBorder="1" applyAlignment="1">
      <x:alignment vertical="center" wrapText="1"/>
    </x:xf>
    <x:xf numFmtId="1" fontId="7" fillId="0" borderId="1" xfId="0" applyNumberFormat="1" applyFont="1" applyFill="1" applyBorder="1" applyAlignment="1">
      <x:alignment horizontal="right" vertical="center"/>
    </x:xf>
    <x:xf numFmtId="1" fontId="6" fillId="0" borderId="1" xfId="0" applyNumberFormat="1" applyFont="1" applyFill="1" applyBorder="1" applyAlignment="1">
      <x:alignment horizontal="right" vertical="center"/>
    </x:xf>
    <x:xf numFmtId="165" fontId="7" fillId="0" borderId="1" xfId="0" applyNumberFormat="1" applyFont="1" applyFill="1" applyBorder="1" applyAlignment="1">
      <x:alignment horizontal="right" vertical="center"/>
    </x:xf>
    <x:xf numFmtId="165" fontId="6" fillId="0" borderId="1" xfId="0" applyNumberFormat="1" applyFont="1" applyFill="1" applyBorder="1" applyAlignment="1">
      <x:alignment horizontal="right" vertical="center"/>
    </x:xf>
    <x:xf numFmtId="166" fontId="7" fillId="0" borderId="1" xfId="0" applyNumberFormat="1" applyFont="1" applyFill="1" applyBorder="1" applyAlignment="1">
      <x:alignment horizontal="right" vertical="center"/>
    </x:xf>
    <x:xf numFmtId="166" fontId="6" fillId="0" borderId="1" xfId="0" applyNumberFormat="1" applyFont="1" applyFill="1" applyBorder="1" applyAlignment="1">
      <x:alignment horizontal="right" vertical="center"/>
    </x:xf>
    <x:xf numFmtId="167" fontId="7" fillId="0" borderId="1" xfId="0" applyNumberFormat="1" applyFont="1" applyFill="1" applyBorder="1" applyAlignment="1">
      <x:alignment horizontal="right" vertical="center"/>
    </x:xf>
    <x:xf numFmtId="167" fontId="6" fillId="0" borderId="1" xfId="0" applyNumberFormat="1" applyFont="1" applyFill="1" applyBorder="1" applyAlignment="1">
      <x:alignment horizontal="right" vertical="center"/>
    </x:xf>
    <x:xf numFmtId="10" fontId="7" fillId="0" borderId="1" xfId="0" applyNumberFormat="1" applyFont="1" applyFill="1" applyBorder="1" applyAlignment="1">
      <x:alignment horizontal="right" vertical="center"/>
    </x:xf>
    <x:xf numFmtId="10" fontId="6" fillId="0" borderId="1" xfId="0" applyNumberFormat="1" applyFont="1" applyFill="1" applyBorder="1" applyAlignment="1">
      <x:alignment horizontal="right" vertical="center"/>
    </x:xf>
    <x:xf numFmtId="168" fontId="7" fillId="0" borderId="1" xfId="0" applyNumberFormat="1" applyFont="1" applyFill="1" applyBorder="1" applyAlignment="1">
      <x:alignment horizontal="right" vertical="center"/>
    </x:xf>
    <x:xf numFmtId="168" fontId="6" fillId="0" borderId="1" xfId="0" applyNumberFormat="1" applyFont="1" applyFill="1" applyBorder="1" applyAlignment="1">
      <x:alignment horizontal="right" vertical="center"/>
    </x:xf>
    <x:xf numFmtId="169" fontId="7" fillId="0" borderId="1" xfId="0" applyNumberFormat="1" applyFont="1" applyFill="1" applyBorder="1" applyAlignment="1">
      <x:alignment horizontal="right" vertical="center"/>
    </x:xf>
    <x:xf numFmtId="169" fontId="6" fillId="0" borderId="1" xfId="0" applyNumberFormat="1" applyFont="1" applyFill="1" applyBorder="1" applyAlignment="1">
      <x:alignment horizontal="right" vertical="center"/>
    </x:xf>
    <x:xf numFmtId="0" fontId="4" fillId="5" borderId="1" xfId="0" applyNumberFormat="1" applyFont="1" applyFill="1" applyBorder="1" applyAlignment="1">
      <x:alignment vertical="center"/>
    </x:xf>
    <x:xf numFmtId="0" fontId="6" fillId="6" borderId="1" xfId="0" applyNumberFormat="1" applyFont="1" applyFill="1" applyBorder="1" applyAlignment="1">
      <x:alignment vertical="center"/>
    </x:xf>
    <x:xf numFmtId="0" fontId="0" fillId="6" borderId="1" xfId="0" applyNumberFormat="1" applyFont="1" applyFill="1" applyBorder="1"/>
    <x:xf numFmtId="0" fontId="0" fillId="0" borderId="1" xfId="0" applyNumberFormat="1" applyFont="1" applyFill="1" applyBorder="1"/>
    <x:xf numFmtId="166" fontId="4" fillId="0" borderId="1" xfId="0" applyNumberFormat="1" applyFont="1" applyFill="1" applyBorder="1" applyAlignment="1">
      <x:alignment horizontal="right" vertical="center"/>
    </x:xf>
    <x:xf numFmtId="0" fontId="5" fillId="4" borderId="1" xfId="0" applyNumberFormat="1" applyFont="1" applyFill="1" applyBorder="1" applyAlignment="1">
      <x:alignment vertical="center"/>
    </x:xf>
    <x:xf numFmtId="0" fontId="5" fillId="4" borderId="1" xfId="0" applyNumberFormat="1" applyFont="1" applyFill="1" applyBorder="1"/>
    <x:xf numFmtId="165" fontId="11" fillId="0" borderId="1" xfId="0" applyNumberFormat="1" applyFont="1" applyFill="1" applyBorder="1" applyAlignment="1">
      <x:alignment horizontal="right" vertical="center"/>
    </x:xf>
    <x:xf numFmtId="166" fontId="11" fillId="0" borderId="1" xfId="0" applyNumberFormat="1" applyFont="1" applyFill="1" applyBorder="1" applyAlignment="1">
      <x:alignment horizontal="right" vertical="center"/>
    </x:xf>
    <x:xf numFmtId="0" fontId="6" fillId="0" borderId="1" xfId="0" applyNumberFormat="1" applyFont="1" applyFill="1" applyBorder="1" applyAlignment="1">
      <x:alignment vertical="center"/>
    </x:xf>
    <x:xf numFmtId="167" fontId="4" fillId="0" borderId="1" xfId="0" applyNumberFormat="1" applyFont="1" applyFill="1" applyBorder="1" applyAlignment="1">
      <x:alignment horizontal="right" vertical="center"/>
    </x:xf>
    <x:xf numFmtId="1" fontId="11" fillId="0" borderId="1" xfId="0" applyNumberFormat="1" applyFont="1" applyFill="1" applyBorder="1" applyAlignment="1">
      <x:alignment horizontal="right" vertical="center"/>
    </x:xf>
    <x:xf numFmtId="0" fontId="6" fillId="7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4" fillId="8" borderId="1" xfId="0" applyNumberFormat="1" applyFont="1" applyFill="1" applyBorder="1" applyAlignment="1">
      <x:alignment vertical="center"/>
    </x:xf>
    <x:xf numFmtId="10" fontId="7" fillId="0" borderId="1" xfId="0" applyNumberFormat="1" applyFont="1" applyFill="1" applyBorder="1" applyAlignment="1">
      <x:alignment horizontal="right"/>
    </x:xf>
    <x:xf numFmtId="0" fontId="4" fillId="0" borderId="1" xfId="0" applyNumberFormat="1" applyFont="1" applyFill="1" applyBorder="1" applyAlignment="1">
      <x:alignment horizontal="center"/>
    </x:xf>
    <x:xf numFmtId="0" fontId="13" fillId="0" borderId="1" xfId="0" applyNumberFormat="1" applyFont="1" applyFill="1" applyBorder="1" applyAlignment="1">
      <x:alignment horizontal="center"/>
    </x:xf>
    <x:xf numFmtId="0" fontId="14" fillId="0" borderId="1" xfId="0" applyNumberFormat="1" applyFont="1" applyFill="1" applyBorder="1" applyAlignment="1">
      <x:alignment vertical="center" wrapText="1"/>
    </x:xf>
    <x:xf numFmtId="0" fontId="10" fillId="0" borderId="1" xfId="0" applyNumberFormat="1" applyFont="1" applyFill="1" applyBorder="1" applyAlignment="1">
      <x:alignment vertical="center"/>
    </x:xf>
    <x:xf numFmtId="165" fontId="7" fillId="0" borderId="1" xfId="0" applyNumberFormat="1" applyFont="1" applyFill="1" applyBorder="1" applyAlignment="1">
      <x:alignment horizontal="right"/>
    </x:xf>
    <x:xf numFmtId="0" fontId="15" fillId="0" borderId="1" xfId="0" applyNumberFormat="1" applyFont="1" applyFill="1" applyBorder="1" applyAlignment="1">
      <x:alignment horizontal="center"/>
    </x:xf>
    <x:xf numFmtId="0" fontId="16" fillId="0" borderId="1" xfId="0" applyNumberFormat="1" applyFont="1" applyFill="1" applyBorder="1" applyAlignment="1">
      <x:alignment horizontal="center"/>
    </x:xf>
    <x:xf numFmtId="0" fontId="4" fillId="9" borderId="1" xfId="0" applyNumberFormat="1" applyFont="1" applyFill="1" applyBorder="1" applyAlignment="1">
      <x:alignment vertical="center"/>
    </x:xf>
    <x:xf numFmtId="0" fontId="1" fillId="10" borderId="1" xfId="0" applyNumberFormat="1" applyFont="1" applyFill="1" applyBorder="1" applyAlignment="1">
      <x:alignment vertical="center"/>
    </x:xf>
    <x:xf numFmtId="0" fontId="4" fillId="10" borderId="1" xfId="0" applyNumberFormat="1" applyFont="1" applyFill="1" applyBorder="1" applyAlignment="1">
      <x:alignment vertical="center"/>
    </x:xf>
    <x:xf numFmtId="0" fontId="17" fillId="0" borderId="1" xfId="0" applyNumberFormat="1" applyFont="1" applyFill="1" applyBorder="1" applyAlignment="1">
      <x:alignment horizontal="center"/>
    </x:xf>
    <x:xf numFmtId="0" fontId="4" fillId="7" borderId="1" xfId="0" applyNumberFormat="1" applyFont="1" applyFill="1" applyBorder="1" applyAlignment="1">
      <x:alignment vertical="center"/>
    </x:xf>
    <x:xf numFmtId="168" fontId="7" fillId="0" borderId="1" xfId="0" applyNumberFormat="1" applyFont="1" applyFill="1" applyBorder="1" applyAlignment="1">
      <x:alignment horizontal="right"/>
    </x:xf>
    <x:xf numFmtId="0" fontId="4" fillId="11" borderId="1" xfId="0" applyNumberFormat="1" applyFont="1" applyFill="1" applyBorder="1" applyAlignment="1">
      <x:alignment vertical="center"/>
    </x:xf>
    <x:xf numFmtId="0" fontId="4" fillId="12" borderId="1" xfId="0" applyNumberFormat="1" applyFont="1" applyFill="1" applyBorder="1" applyAlignment="1">
      <x:alignment vertical="center"/>
    </x:xf>
    <x:xf numFmtId="0" fontId="4" fillId="13" borderId="1" xfId="0" applyNumberFormat="1" applyFont="1" applyFill="1" applyBorder="1" applyAlignment="1">
      <x:alignment vertical="center"/>
    </x:xf>
    <x:xf numFmtId="0" fontId="4" fillId="0" borderId="1" xfId="0" applyNumberFormat="1" applyFont="1" applyFill="1" applyBorder="1" applyAlignment="1">
      <x:alignment vertical="center" wrapText="1"/>
    </x:xf>
    <x:xf numFmtId="0" fontId="6" fillId="14" borderId="1" xfId="0" applyNumberFormat="1" applyFont="1" applyFill="1" applyBorder="1" applyAlignment="1">
      <x:alignment vertical="center"/>
    </x:xf>
    <x:xf numFmtId="0" fontId="4" fillId="14" borderId="1" xfId="0" applyNumberFormat="1" applyFont="1" applyFill="1" applyBorder="1" applyAlignment="1">
      <x:alignment vertical="center" wrapText="1"/>
    </x:xf>
    <x:xf numFmtId="0" fontId="6" fillId="0" borderId="1" xfId="0" applyNumberFormat="1" applyFont="1" applyFill="1" applyBorder="1" applyAlignment="1">
      <x:alignment vertical="center" wrapText="1"/>
    </x:xf>
    <x:xf numFmtId="0" fontId="18" fillId="15" borderId="1" xfId="0" applyNumberFormat="1" applyFont="1" applyFill="1" applyBorder="1" applyAlignment="1">
      <x:alignment horizontal="center" vertical="center"/>
    </x:xf>
    <x:xf numFmtId="0" fontId="10" fillId="0" borderId="1" xfId="0" applyNumberFormat="1" applyFont="1" applyFill="1" applyBorder="1" applyAlignment="1">
      <x:alignment vertical="center" wrapText="1"/>
    </x:xf>
    <x:xf numFmtId="0" fontId="18" fillId="16" borderId="1" xfId="0" applyNumberFormat="1" applyFont="1" applyFill="1" applyBorder="1" applyAlignment="1">
      <x:alignment horizontal="center" vertical="center"/>
    </x:xf>
    <x:xf numFmtId="0" fontId="18" fillId="17" borderId="1" xfId="0" applyNumberFormat="1" applyFont="1" applyFill="1" applyBorder="1" applyAlignment="1">
      <x:alignment horizontal="center" vertical="center"/>
    </x:xf>
    <x:xf numFmtId="0" fontId="18" fillId="18" borderId="1" xfId="0" applyNumberFormat="1" applyFont="1" applyFill="1" applyBorder="1" applyAlignment="1">
      <x:alignment horizontal="center" vertical="center"/>
    </x:xf>
    <x:xf numFmtId="0" fontId="19" fillId="21" borderId="0" xfId="0" applyNumberFormat="1" applyFont="1" applyFill="1" applyBorder="1"/>
    <x:xf numFmtId="0" fontId="0" fillId="22" borderId="0" xfId="0" applyNumberFormat="1" applyFont="1" applyFill="1" applyBorder="1"/>
    <x:xf numFmtId="0" fontId="20" fillId="22" borderId="0" xfId="0" applyNumberFormat="1" applyFont="1" applyFill="1" applyBorder="1"/>
    <x:xf numFmtId="167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203" fontId="0" fillId="0" borderId="0" xfId="0" applyNumberFormat="1" applyFont="1" applyFill="1" applyBorder="1"/>
    <x:xf numFmtId="0" fontId="20" fillId="21" borderId="0" xfId="0" applyNumberFormat="1" applyFont="1" applyFill="1" applyBorder="1"/>
    <x:xf numFmtId="0" fontId="0" fillId="23" borderId="0" xfId="0" applyNumberFormat="1" applyFont="1" applyFill="1" applyBorder="1" applyAlignment="1">
      <x:alignment wrapText="1"/>
    </x:xf>
    <x:xf numFmtId="0" fontId="21" fillId="23" borderId="0" xfId="0" applyNumberFormat="1" applyFont="1" applyFill="1" applyBorder="1" applyAlignment="1">
      <x:alignment wrapText="1"/>
    </x:xf>
    <x:xf numFmtId="0" fontId="0" fillId="24" borderId="0" xfId="0" applyNumberFormat="1" applyFont="1" applyFill="1" applyBorder="1"/>
    <x:xf numFmtId="0" fontId="19" fillId="24" borderId="0" xfId="0" applyNumberFormat="1" applyFont="1" applyFill="1" applyBorder="1"/>
    <x:xf numFmtId="0" fontId="0" fillId="25" borderId="0" xfId="0" applyNumberFormat="1" applyFont="1" applyFill="1" applyBorder="1"/>
    <x:xf numFmtId="0" fontId="20" fillId="25" borderId="0" xfId="0" applyNumberFormat="1" applyFont="1" applyFill="1" applyBorder="1"/>
    <x:xf numFmtId="0" fontId="0" fillId="26" borderId="0" xfId="0" applyNumberFormat="1" applyFont="1" applyFill="1" applyBorder="1"/>
    <x:xf numFmtId="0" fontId="20" fillId="26" borderId="0" xfId="0" applyNumberFormat="1" applyFont="1" applyFill="1" applyBorder="1"/>
    <x:xf numFmtId="0" fontId="0" fillId="27" borderId="0" xfId="0" applyNumberFormat="1" applyFont="1" applyFill="1" applyBorder="1"/>
    <x:xf numFmtId="0" fontId="20" fillId="27" borderId="0" xfId="0" applyNumberFormat="1" applyFont="1" applyFill="1" applyBorder="1"/>
    <x:xf numFmtId="0" fontId="0" fillId="28" borderId="0" xfId="0" applyNumberFormat="1" applyFont="1" applyFill="1" applyBorder="1"/>
    <x:xf numFmtId="0" fontId="20" fillId="28" borderId="0" xfId="0" applyNumberFormat="1" applyFont="1" applyFill="1" applyBorder="1"/>
    <x:xf numFmtId="0" fontId="20" fillId="24" borderId="0" xfId="0" applyNumberFormat="1" applyFont="1" applyFill="1" applyBorder="1"/>
    <x:xf numFmtId="0" fontId="20" fillId="29" borderId="0" xfId="0" applyNumberFormat="1" applyFont="1" applyFill="1" applyBorder="1"/>
    <x:xf numFmtId="0" fontId="22" fillId="29" borderId="0" xfId="0" applyNumberFormat="1" applyFont="1" applyFill="1" applyBorder="1"/>
    <x:xf numFmtId="0" fontId="0" fillId="30" borderId="0" xfId="0" applyNumberFormat="1" applyFont="1" applyFill="1" applyBorder="1"/>
    <x:xf numFmtId="0" fontId="21" fillId="30" borderId="0" xfId="0" applyNumberFormat="1" applyFont="1" applyFill="1" applyBorder="1"/>
    <x:xf numFmtId="0" fontId="0" fillId="31" borderId="0" xfId="0" applyNumberFormat="1" applyFont="1" applyFill="1" applyBorder="1"/>
    <x:xf numFmtId="0" fontId="21" fillId="31" borderId="0" xfId="0" applyNumberFormat="1" applyFont="1" applyFill="1" applyBorder="1"/>
    <x:xf numFmtId="0" fontId="19" fillId="24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/>
    <x:xf numFmtId="204" fontId="21" fillId="30" borderId="0" xfId="0" applyNumberFormat="1" applyFont="1" applyFill="1" applyBorder="1"/>
    <x:xf numFmtId="204" fontId="20" fillId="27" borderId="0" xfId="0" applyNumberFormat="1" applyFont="1" applyFill="1" applyBorder="1"/>
    <x:xf numFmtId="204" fontId="21" fillId="31" borderId="0" xfId="0" applyNumberFormat="1" applyFont="1" applyFill="1" applyBorder="1"/>
    <x:xf numFmtId="204" fontId="22" fillId="29" borderId="0" xfId="0" applyNumberFormat="1" applyFont="1" applyFill="1" applyBorder="1"/>
    <x:xf numFmtId="204" fontId="20" fillId="28" borderId="0" xfId="0" applyNumberFormat="1" applyFont="1" applyFill="1" applyBorder="1"/>
    <x:xf numFmtId="0" fontId="19" fillId="24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/>
    </x:xf>
    <x:xf numFmtId="0" fontId="20" fillId="25" borderId="0" xfId="0" applyNumberFormat="1" applyFont="1" applyFill="1" applyBorder="1" applyAlignment="1">
      <x:alignment vertical="top"/>
    </x:xf>
    <x:xf numFmtId="0" fontId="20" fillId="26" borderId="0" xfId="0" applyNumberFormat="1" applyFont="1" applyFill="1" applyBorder="1" applyAlignment="1">
      <x:alignment vertical="top"/>
    </x:xf>
    <x:xf numFmtId="204" fontId="0" fillId="0" borderId="0" xfId="0" applyNumberFormat="1" applyFont="1" applyFill="1" applyBorder="1" applyAlignment="1">
      <x:alignment vertical="top"/>
    </x:xf>
    <x:xf numFmtId="0" fontId="21" fillId="30" borderId="0" xfId="0" applyNumberFormat="1" applyFont="1" applyFill="1" applyBorder="1" applyAlignment="1">
      <x:alignment vertical="top"/>
    </x:xf>
    <x:xf numFmtId="204" fontId="21" fillId="30" borderId="0" xfId="0" applyNumberFormat="1" applyFont="1" applyFill="1" applyBorder="1" applyAlignment="1">
      <x:alignment vertical="top"/>
    </x:xf>
    <x:xf numFmtId="0" fontId="20" fillId="27" borderId="0" xfId="0" applyNumberFormat="1" applyFont="1" applyFill="1" applyBorder="1" applyAlignment="1">
      <x:alignment vertical="top"/>
    </x:xf>
    <x:xf numFmtId="204" fontId="20" fillId="27" borderId="0" xfId="0" applyNumberFormat="1" applyFont="1" applyFill="1" applyBorder="1" applyAlignment="1">
      <x:alignment vertical="top"/>
    </x:xf>
    <x:xf numFmtId="0" fontId="21" fillId="31" borderId="0" xfId="0" applyNumberFormat="1" applyFont="1" applyFill="1" applyBorder="1" applyAlignment="1">
      <x:alignment vertical="top"/>
    </x:xf>
    <x:xf numFmtId="204" fontId="21" fillId="31" borderId="0" xfId="0" applyNumberFormat="1" applyFont="1" applyFill="1" applyBorder="1" applyAlignment="1">
      <x:alignment vertical="top"/>
    </x:xf>
    <x:xf numFmtId="0" fontId="22" fillId="29" borderId="0" xfId="0" applyNumberFormat="1" applyFont="1" applyFill="1" applyBorder="1" applyAlignment="1">
      <x:alignment vertical="top"/>
    </x:xf>
    <x:xf numFmtId="204" fontId="22" fillId="29" borderId="0" xfId="0" applyNumberFormat="1" applyFont="1" applyFill="1" applyBorder="1" applyAlignment="1">
      <x:alignment vertical="top"/>
    </x:xf>
    <x:xf numFmtId="0" fontId="20" fillId="28" borderId="0" xfId="0" applyNumberFormat="1" applyFont="1" applyFill="1" applyBorder="1" applyAlignment="1">
      <x:alignment vertical="top"/>
    </x:xf>
    <x:xf numFmtId="204" fontId="20" fillId="28" borderId="0" xfId="0" applyNumberFormat="1" applyFont="1" applyFill="1" applyBorder="1" applyAlignment="1">
      <x:alignment vertical="top"/>
    </x:xf>
    <x:xf numFmtId="0" fontId="20" fillId="24" borderId="0" xfId="0" applyNumberFormat="1" applyFont="1" applyFill="1" applyBorder="1" applyAlignment="1">
      <x:alignment vertical="top"/>
    </x:xf>
    <x:xf numFmtId="0" fontId="21" fillId="0" borderId="0" xfId="0" applyNumberFormat="1" applyFont="1" applyFill="1" applyBorder="1" applyAlignment="1">
      <x:alignment vertical="top" wrapText="1"/>
    </x:xf>
    <x:xf numFmtId="0" fontId="21" fillId="0" borderId="0" xfId="0" applyNumberFormat="1" applyFont="1" applyFill="1" applyBorder="1" applyAlignment="1">
      <x:alignment horizontal="center" vertical="top" wrapText="1"/>
    </x:xf>
    <x:xf numFmtId="0" fontId="21" fillId="0" borderId="0" xfId="0" applyNumberFormat="1" applyFont="1" applyFill="1" applyBorder="1" applyAlignment="1">
      <x:alignment horizontal="center" vertical="center" wrapText="1"/>
    </x:xf>
    <x:xf numFmtId="0" fontId="21" fillId="30" borderId="0" xfId="0" applyNumberFormat="1" applyFont="1" applyFill="1" applyBorder="1" applyAlignment="1">
      <x:alignment horizontal="center" vertical="center" wrapText="1"/>
    </x:xf>
    <x:xf numFmtId="0" fontId="23" fillId="30" borderId="0" xfId="0" applyNumberFormat="1" applyFont="1" applyFill="1" applyBorder="1" applyAlignment="1">
      <x:alignment horizontal="center" vertical="center" wrapText="1"/>
    </x:xf>
    <x:xf numFmtId="0" fontId="21" fillId="32" borderId="0" xfId="0" applyNumberFormat="1" applyFont="1" applyFill="1" applyBorder="1" applyAlignment="1">
      <x:alignment horizontal="center" vertical="center" wrapText="1"/>
    </x:xf>
    <x:xf numFmtId="0" fontId="20" fillId="32" borderId="0" xfId="0" applyNumberFormat="1" applyFont="1" applyFill="1" applyBorder="1" applyAlignment="1">
      <x:alignment horizontal="center" vertical="center" wrapText="1"/>
    </x:xf>
    <x:xf numFmtId="0" fontId="21" fillId="33" borderId="0" xfId="0" applyNumberFormat="1" applyFont="1" applyFill="1" applyBorder="1" applyAlignment="1">
      <x:alignment horizontal="center" vertical="center" wrapText="1"/>
    </x:xf>
    <x:xf numFmtId="0" fontId="20" fillId="33" borderId="0" xfId="0" applyNumberFormat="1" applyFont="1" applyFill="1" applyBorder="1" applyAlignment="1">
      <x:alignment horizontal="center" vertical="center" wrapText="1"/>
    </x:xf>
    <x:xf numFmtId="0" fontId="21" fillId="34" borderId="0" xfId="0" applyNumberFormat="1" applyFont="1" applyFill="1" applyBorder="1" applyAlignment="1">
      <x:alignment horizontal="center" vertical="center" wrapText="1"/>
    </x:xf>
    <x:xf numFmtId="0" fontId="20" fillId="34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colors>
    <x:indexedColors>
      <x:rgbColor rgb="FF000000"/>
      <x:rgbColor rgb="FFFFFFFF"/>
      <x:rgbColor rgb="FFC0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7F6000"/>
      <x:rgbColor rgb="FF800080"/>
      <x:rgbColor rgb="FF008080"/>
      <x:rgbColor rgb="FFBFBFBF"/>
      <x:rgbColor rgb="FF808080"/>
      <x:rgbColor rgb="FF9999FF"/>
      <x:rgbColor rgb="FF993366"/>
      <x:rgbColor rgb="FFFFF2CC"/>
      <x:rgbColor rgb="FFDEEBF7"/>
      <x:rgbColor rgb="FF660066"/>
      <x:rgbColor rgb="FFFF8080"/>
      <x:rgbColor rgb="FF0066CC"/>
      <x:rgbColor rgb="FFD6DCE5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F2F2F2"/>
      <x:rgbColor rgb="FFE2EFDA"/>
      <x:rgbColor rgb="FFFCE4D6"/>
      <x:rgbColor rgb="FFD9E1F2"/>
      <x:rgbColor rgb="FFF4B084"/>
      <x:rgbColor rgb="FFEDEDED"/>
      <x:rgbColor rgb="FFF8CBAD"/>
      <x:rgbColor rgb="FF3366FF"/>
      <x:rgbColor rgb="FF33CCCC"/>
      <x:rgbColor rgb="FF99CC00"/>
      <x:rgbColor rgb="FFFFCC00"/>
      <x:rgbColor rgb="FFBF8F00"/>
      <x:rgbColor rgb="FFC55A11"/>
      <x:rgbColor rgb="FF595959"/>
      <x:rgbColor rgb="FF969696"/>
      <x:rgbColor rgb="FF1F3864"/>
      <x:rgbColor rgb="FF548235"/>
      <x:rgbColor rgb="FF006100"/>
      <x:rgbColor rgb="FF333300"/>
      <x:rgbColor rgb="FF833C00"/>
      <x:rgbColor rgb="FF993366"/>
      <x:rgbColor rgb="FF2E5496"/>
      <x:rgbColor rgb="FF1F4E78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e1154ad36d4f2b" /><Relationship Type="http://schemas.openxmlformats.org/officeDocument/2006/relationships/theme" Target="/xl/theme/theme1.xml" Id="Re0b1995c39824734" /><Relationship Type="http://schemas.openxmlformats.org/officeDocument/2006/relationships/sharedStrings" Target="/xl/sharedStrings.xml" Id="Rb840192b2e2f40a8" /><Relationship Type="http://schemas.openxmlformats.org/officeDocument/2006/relationships/worksheet" Target="/xl/worksheets/sheet1.xml" Id="R8d59b8451c1f487c" /><Relationship Type="http://schemas.openxmlformats.org/officeDocument/2006/relationships/worksheet" Target="/xl/worksheets/sheet2.xml" Id="R5d9dc1e9f38f4d52" /><Relationship Type="http://schemas.openxmlformats.org/officeDocument/2006/relationships/worksheet" Target="/xl/worksheets/sheet3.xml" Id="R9171e47c736e425b" /><Relationship Type="http://schemas.openxmlformats.org/officeDocument/2006/relationships/worksheet" Target="/xl/worksheets/sheet4.xml" Id="R6ec62ad81b6441e4" /><Relationship Type="http://schemas.openxmlformats.org/officeDocument/2006/relationships/worksheet" Target="/xl/worksheets/sheet5.xml" Id="R7a126063ca864d0a" /><Relationship Type="http://schemas.openxmlformats.org/officeDocument/2006/relationships/worksheet" Target="/xl/worksheets/sheet6.xml" Id="Rf893118477fd472f" /><Relationship Type="http://schemas.openxmlformats.org/officeDocument/2006/relationships/worksheet" Target="/xl/worksheets/sheet7.xml" Id="R276acdaa4f344071" /><Relationship Type="http://schemas.openxmlformats.org/officeDocument/2006/relationships/worksheet" Target="/xl/worksheets/sheet8.xml" Id="R6f75be68664c4132" /><Relationship Type="http://schemas.openxmlformats.org/officeDocument/2006/relationships/worksheet" Target="/xl/worksheets/sheet9.xml" Id="Rf05327152cfc4069" /><Relationship Type="http://schemas.openxmlformats.org/officeDocument/2006/relationships/worksheet" Target="/xl/worksheets/sheet10.xml" Id="R1534caaf6db6467e" 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8.6328125" defaultRowHeight="14.5"/>
  <x:cols>
    <x:col min="1" max="1" width="3" customWidth="1"/>
    <x:col min="2" max="2" width="120" customWidth="1"/>
  </x:cols>
  <x:sheetData>
    <x:row r="2" ht="17.25" customHeight="1">
      <x:c r="B2" s="3" t="s">
        <x:v>0</x:v>
      </x:c>
    </x:row>
    <x:row r="3" ht="15" customHeight="1">
      <x:c r="B3" s="4" t="s">
        <x:v>1</x:v>
      </x:c>
    </x:row>
    <x:row r="4" ht="15" customHeight="1">
      <x:c r="B4" s="5"/>
    </x:row>
    <x:row r="5" ht="15" customHeight="1">
      <x:c r="B5" s="6" t="s">
        <x:v>2</x:v>
      </x:c>
    </x:row>
    <x:row r="6" ht="15" customHeight="1">
      <x:c r="B6" s="5" t="s">
        <x:v>3</x:v>
      </x:c>
    </x:row>
    <x:row r="7" ht="15" customHeight="1">
      <x:c r="B7" s="5" t="s">
        <x:v>4</x:v>
      </x:c>
    </x:row>
    <x:row r="8" ht="15" customHeight="1">
      <x:c r="B8" s="5" t="s">
        <x:v>5</x:v>
      </x:c>
    </x:row>
    <x:row r="9" ht="15" customHeight="1">
      <x:c r="B9" s="5"/>
    </x:row>
    <x:row r="10" ht="15" customHeight="1">
      <x:c r="B10" s="6" t="s">
        <x:v>6</x:v>
      </x:c>
    </x:row>
    <x:row r="11" ht="15" customHeight="1">
      <x:c r="B11" s="5" t="s">
        <x:v>7</x:v>
      </x:c>
    </x:row>
    <x:row r="12" ht="15" customHeight="1">
      <x:c r="B12" s="5" t="s">
        <x:v>8</x:v>
      </x:c>
    </x:row>
    <x:row r="13" ht="15" customHeight="1">
      <x:c r="B13" s="5" t="s">
        <x:v>9</x:v>
      </x:c>
    </x:row>
    <x:row r="14" ht="15" customHeight="1">
      <x:c r="B14" s="5" t="s">
        <x:v>10</x:v>
      </x:c>
    </x:row>
    <x:row r="15" ht="15" customHeight="1">
      <x:c r="B15" s="5" t="s">
        <x:v>11</x:v>
      </x:c>
    </x:row>
    <x:row r="16" ht="15" customHeight="1">
      <x:c r="B16" s="5"/>
    </x:row>
    <x:row r="17" ht="15" customHeight="1">
      <x:c r="B17" s="6" t="s">
        <x:v>12</x:v>
      </x:c>
    </x:row>
    <x:row r="18" ht="15" customHeight="1">
      <x:c r="B18" s="5" t="s">
        <x:v>13</x:v>
      </x:c>
    </x:row>
    <x:row r="19" ht="15" customHeight="1">
      <x:c r="B19" s="5" t="s">
        <x:v>14</x:v>
      </x:c>
    </x:row>
    <x:row r="20" ht="15" customHeight="1">
      <x:c r="B20" s="5"/>
    </x:row>
    <x:row r="21" ht="15" customHeight="1">
      <x:c r="B21" s="6" t="s">
        <x:v>15</x:v>
      </x:c>
    </x:row>
    <x:row r="22" ht="15" customHeight="1">
      <x:c r="B22" s="5" t="s">
        <x:v>16</x:v>
      </x:c>
    </x:row>
    <x:row r="23" ht="15" customHeight="1">
      <x:c r="B23" s="5" t="s">
        <x:v>17</x:v>
      </x:c>
    </x:row>
    <x:row r="24" ht="15" customHeight="1">
      <x:c r="B24" s="5"/>
    </x:row>
    <x:row r="25" ht="15" customHeight="1">
      <x:c r="B25" s="6" t="s">
        <x:v>18</x:v>
      </x:c>
    </x:row>
    <x:row r="26" ht="15" customHeight="1">
      <x:c r="B26" s="5" t="s">
        <x:v>19</x:v>
      </x:c>
    </x:row>
    <x:row r="27" ht="15" customHeight="1">
      <x:c r="B27" s="5" t="s">
        <x:v>20</x:v>
      </x:c>
    </x:row>
    <x:row r="28" ht="15" customHeight="1">
      <x:c r="B28" s="5" t="s">
        <x:v>21</x:v>
      </x:c>
    </x:row>
    <x:row r="29" ht="15" customHeight="1">
      <x:c r="B29" s="5" t="s">
        <x:v>22</x:v>
      </x:c>
    </x:row>
    <x:row r="30" ht="15" customHeight="1">
      <x:c r="B30" s="5" t="s">
        <x:v>23</x:v>
      </x:c>
    </x:row>
    <x:row r="31">
      <x:c r="B31" t="str">
        <x:v>TIERED ECONOMICS UPDATE</x:v>
      </x:c>
    </x:row>
    <x:row r="32">
      <x:c r="B32" t="str">
        <x:v>The model now routes revenue, COGS and risk through Tier_Economics: Tier A eBL, Tier B carrier/API-verified paper, Tier C paper collection/forensics.</x:v>
      </x:c>
    </x:row>
    <x:row r="33">
      <x:c r="B33" t="str">
        <x:v>Tier mix is a core assumption because it changes take rate, document/review fees, manual cost, dispute risk, support cost and SLA.</x:v>
      </x:c>
    </x:row>
    <x:row r="34">
      <x:c r="B34" t="str">
        <x:v>The formal release rules still come from the escrow spec / sale agreement; the tier determines how the documents are verified and priced.</x:v>
      </x:c>
    </x:row>
    <x:row r="35">
      <x:c r="B35" t="str">
        <x:v>Tier C should be priced as a high-risk fallback, not treated as the strategic core volume.</x:v>
      </x:c>
    </x:row>
    <x:row r="37">
      <x:c r="B37" t="str">
        <x:v>RISK / LIABILITY UPDATE</x:v>
      </x:c>
    </x:row>
    <x:row r="38">
      <x:c r="B38" t="str">
        <x:v>The model now separates excluded goods-performance risk from retained Blockmediary risks.</x:v>
      </x:c>
    </x:row>
    <x:row r="39">
      <x:c r="B39" t="str">
        <x:v>Delivery, quality and physical performance risk are set to zero reserve by design: Blockmediary releases against documents, not goods.</x:v>
      </x:c>
    </x:row>
    <x:row r="40">
      <x:c r="B40" t="str">
        <x:v>Retained risks are still modelled: wrongful release/process error, document-source failure, Tier C paper/originals risk, compliance escalation, cyber/key security and partner outage fallback.</x:v>
      </x:c>
    </x:row>
    <x:row r="41">
      <x:c r="B41" t="str">
        <x:v>Revenue_Risk_AddOns adds pass-through/offsetting revenue streams plus retained-risk variable, fixed and funding-only contingencies.</x:v>
      </x:c>
    </x:row>
    <x:row r="42">
      <x:c r="B42" t="str">
        <x:v>Yield share remains an upside-only line and is disabled in the base case.</x:v>
      </x:c>
    </x:row>
    <x:row r="43">
      <x:c r="B43" t="str">
        <x:v>Use P&amp;L row 66 for the funding ask including regulatory-delay contingency.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8.6328125" defaultRowHeight="14.5"/>
  <x:cols>
    <x:col min="1" max="1" width="2" customWidth="1"/>
    <x:col min="2" max="2" width="42" customWidth="1"/>
    <x:col min="3" max="6" width="14" customWidth="1"/>
    <x:col min="7" max="7" width="12" customWidth="1"/>
    <x:col min="8" max="8" width="40" customWidth="1"/>
  </x:cols>
  <x:sheetData>
    <x:row r="2" ht="17.25" customHeight="1">
      <x:c r="B2" s="3" t="s">
        <x:v>24</x:v>
      </x:c>
    </x:row>
    <x:row r="3" ht="15" customHeight="1">
      <x:c r="B3" s="4" t="s">
        <x:v>25</x:v>
      </x:c>
    </x:row>
    <x:row r="4" ht="15" customHeight="1">
      <x:c r="B4" s="7" t="s">
        <x:v>26</x:v>
      </x:c>
      <x:c r="C4" s="8">
        <x:v>2</x:v>
      </x:c>
      <x:c r="D4" s="9" t="str">
        <x:f>CHOOSE($C$4,"LOW","BASE","HIGH")</x:f>
        <x:v>BASE</x:v>
      </x:c>
    </x:row>
    <x:row r="6" ht="23.25" customHeight="1">
      <x:c r="B6" s="10" t="s">
        <x:v>27</x:v>
      </x:c>
      <x:c r="C6" s="10" t="s">
        <x:v>28</x:v>
      </x:c>
      <x:c r="D6" s="10" t="s">
        <x:v>29</x:v>
      </x:c>
      <x:c r="E6" s="10" t="s">
        <x:v>30</x:v>
      </x:c>
      <x:c r="F6" s="10" t="s">
        <x:v>31</x:v>
      </x:c>
      <x:c r="G6" s="10" t="s">
        <x:v>32</x:v>
      </x:c>
      <x:c r="H6" s="10" t="s">
        <x:v>33</x:v>
      </x:c>
    </x:row>
    <x:row r="7" ht="15" customHeight="1">
      <x:c r="B7" s="6" t="s">
        <x:v>34</x:v>
      </x:c>
      <x:c r="C7" s="11"/>
      <x:c r="D7" s="11"/>
      <x:c r="E7" s="11"/>
      <x:c r="F7" s="11"/>
      <x:c r="G7" s="11"/>
      <x:c r="H7" s="11"/>
    </x:row>
    <x:row r="8" ht="15" customHeight="1">
      <x:c r="B8" s="12" t="s">
        <x:v>35</x:v>
      </x:c>
      <x:c r="C8" s="13">
        <x:v>1.25</x:v>
      </x:c>
      <x:c r="D8" s="13">
        <x:v>1.28</x:v>
      </x:c>
      <x:c r="E8" s="13">
        <x:v>1.32</x:v>
      </x:c>
      <x:c r="F8" s="14" t="n">
        <x:f>CHOOSE($C$4,C8,D8,E8)</x:f>
        <x:v>1.28</x:v>
      </x:c>
      <x:c r="G8" s="15" t="s">
        <x:v>36</x:v>
      </x:c>
      <x:c r="H8" s="16" t="s">
        <x:v>37</x:v>
      </x:c>
    </x:row>
    <x:row r="9" ht="15" customHeight="1">
      <x:c r="B9" s="12" t="s">
        <x:v>38</x:v>
      </x:c>
      <x:c r="C9" s="17">
        <x:v>12</x:v>
      </x:c>
      <x:c r="D9" s="17">
        <x:v>12</x:v>
      </x:c>
      <x:c r="E9" s="17">
        <x:v>12</x:v>
      </x:c>
      <x:c r="F9" s="18" t="n">
        <x:f>CHOOSE($C$4,C9,D9,E9)</x:f>
        <x:v>12</x:v>
      </x:c>
      <x:c r="G9" s="15" t="s">
        <x:v>39</x:v>
      </x:c>
      <x:c r="H9" s="16"/>
    </x:row>
    <x:row r="10" ht="15" customHeight="1">
      <x:c r="B10" s="6" t="s">
        <x:v>40</x:v>
      </x:c>
      <x:c r="C10" s="11"/>
      <x:c r="D10" s="11"/>
      <x:c r="E10" s="11"/>
      <x:c r="F10" s="11"/>
      <x:c r="G10" s="11"/>
      <x:c r="H10" s="11"/>
    </x:row>
    <x:row r="11" ht="15" customHeight="1">
      <x:c r="B11" s="12" t="s">
        <x:v>41</x:v>
      </x:c>
      <x:c r="C11" s="19">
        <x:v>60</x:v>
      </x:c>
      <x:c r="D11" s="19">
        <x:v>180</x:v>
      </x:c>
      <x:c r="E11" s="19">
        <x:v>400</x:v>
      </x:c>
      <x:c r="F11" s="20" t="n">
        <x:f t="shared" ref="F11:F17" si="0">CHOOSE($C$4,C11,D11,E11)</x:f>
        <x:v>180</x:v>
      </x:c>
      <x:c r="G11" s="15" t="s">
        <x:v>42</x:v>
      </x:c>
      <x:c r="H11" s="16" t="s">
        <x:v>43</x:v>
      </x:c>
    </x:row>
    <x:row r="12" ht="15" customHeight="1">
      <x:c r="B12" s="12" t="s">
        <x:v>44</x:v>
      </x:c>
      <x:c r="C12" s="19">
        <x:v>300</x:v>
      </x:c>
      <x:c r="D12" s="19">
        <x:v>900</x:v>
      </x:c>
      <x:c r="E12" s="19">
        <x:v>2200</x:v>
      </x:c>
      <x:c r="F12" s="20">
        <x:f t="shared" si="0"/>
        <x:v>900</x:v>
      </x:c>
      <x:c r="G12" s="15" t="s">
        <x:v>42</x:v>
      </x:c>
      <x:c r="H12" s="16" t="s">
        <x:v>45</x:v>
      </x:c>
    </x:row>
    <x:row r="13" ht="15" customHeight="1">
      <x:c r="B13" s="12" t="s">
        <x:v>46</x:v>
      </x:c>
      <x:c r="C13" s="19">
        <x:v>900</x:v>
      </x:c>
      <x:c r="D13" s="19">
        <x:v>3000</x:v>
      </x:c>
      <x:c r="E13" s="19">
        <x:v>8000</x:v>
      </x:c>
      <x:c r="F13" s="20">
        <x:f t="shared" si="0"/>
        <x:v>3000</x:v>
      </x:c>
      <x:c r="G13" s="15" t="s">
        <x:v>42</x:v>
      </x:c>
      <x:c r="H13" s="16" t="s">
        <x:v>45</x:v>
      </x:c>
    </x:row>
    <x:row r="14" ht="15" customHeight="1">
      <x:c r="B14" s="12" t="s">
        <x:v>47</x:v>
      </x:c>
      <x:c r="C14" s="21">
        <x:v>25000</x:v>
      </x:c>
      <x:c r="D14" s="21">
        <x:v>60000</x:v>
      </x:c>
      <x:c r="E14" s="21">
        <x:v>120000</x:v>
      </x:c>
      <x:c r="F14" s="22">
        <x:f t="shared" si="0"/>
        <x:v>60000</x:v>
      </x:c>
      <x:c r="G14" s="15" t="s">
        <x:v>48</x:v>
      </x:c>
      <x:c r="H14" s="16" t="s">
        <x:v>49</x:v>
      </x:c>
    </x:row>
    <x:row r="15" ht="15" customHeight="1">
      <x:c r="B15" s="12" t="s">
        <x:v>50</x:v>
      </x:c>
      <x:c r="C15" s="17">
        <x:v>4</x:v>
      </x:c>
      <x:c r="D15" s="17">
        <x:v>6</x:v>
      </x:c>
      <x:c r="E15" s="17">
        <x:v>9</x:v>
      </x:c>
      <x:c r="F15" s="18">
        <x:f t="shared" si="0"/>
        <x:v>6</x:v>
      </x:c>
      <x:c r="G15" s="15" t="s">
        <x:v>51</x:v>
      </x:c>
      <x:c r="H15" s="16" t="s">
        <x:v>52</x:v>
      </x:c>
    </x:row>
    <x:row r="16" ht="15" customHeight="1">
      <x:c r="B16" s="12" t="s">
        <x:v>53</x:v>
      </x:c>
      <x:c r="C16" s="17">
        <x:v>2</x:v>
      </x:c>
      <x:c r="D16" s="17">
        <x:v>2</x:v>
      </x:c>
      <x:c r="E16" s="17">
        <x:v>3</x:v>
      </x:c>
      <x:c r="F16" s="18">
        <x:f t="shared" si="0"/>
        <x:v>2</x:v>
      </x:c>
      <x:c r="G16" s="15" t="s">
        <x:v>54</x:v>
      </x:c>
      <x:c r="H16" s="16" t="s">
        <x:v>55</x:v>
      </x:c>
    </x:row>
    <x:row r="17" ht="15" customHeight="1">
      <x:c r="B17" s="12" t="s">
        <x:v>56</x:v>
      </x:c>
      <x:c r="C17" s="23">
        <x:v>0.05</x:v>
      </x:c>
      <x:c r="D17" s="23">
        <x:v>0.1</x:v>
      </x:c>
      <x:c r="E17" s="23">
        <x:v>0.18</x:v>
      </x:c>
      <x:c r="F17" s="24">
        <x:f t="shared" si="0"/>
        <x:v>0.1</x:v>
      </x:c>
      <x:c r="G17" s="15" t="s">
        <x:v>57</x:v>
      </x:c>
      <x:c r="H17" s="16" t="s">
        <x:v>45</x:v>
      </x:c>
    </x:row>
    <x:row r="18" ht="15" customHeight="1">
      <x:c r="B18" s="6" t="s">
        <x:v>58</x:v>
      </x:c>
      <x:c r="C18" s="11"/>
      <x:c r="D18" s="11"/>
      <x:c r="E18" s="11"/>
      <x:c r="F18" s="11"/>
      <x:c r="G18" s="11"/>
      <x:c r="H18" s="11"/>
    </x:row>
    <x:row r="19" ht="15" customHeight="1">
      <x:c r="B19" s="12" t="s">
        <x:v>59</x:v>
      </x:c>
      <x:c r="C19" s="25">
        <x:v>1.5E-3</x:v>
      </x:c>
      <x:c r="D19" s="25">
        <x:v>3.5000000000000001E-3</x:v>
      </x:c>
      <x:c r="E19" s="25">
        <x:v>6.0000000000000001E-3</x:v>
      </x:c>
      <x:c r="F19" s="26" t="n">
        <x:f t="shared" ref="F19:F24" si="1">CHOOSE($C$4,C19,D19,E19)</x:f>
        <x:v>0.0035</x:v>
      </x:c>
      <x:c r="G19" s="15" t="s">
        <x:v>60</x:v>
      </x:c>
      <x:c r="H19" s="16" t="s">
        <x:v>61</x:v>
      </x:c>
    </x:row>
    <x:row r="20" ht="15" customHeight="1">
      <x:c r="B20" s="12" t="s">
        <x:v>62</x:v>
      </x:c>
      <x:c r="C20" s="21">
        <x:v>50</x:v>
      </x:c>
      <x:c r="D20" s="21">
        <x:v>100</x:v>
      </x:c>
      <x:c r="E20" s="21">
        <x:v>200</x:v>
      </x:c>
      <x:c r="F20" s="22">
        <x:f t="shared" si="1"/>
        <x:v>100</x:v>
      </x:c>
      <x:c r="G20" s="15" t="s">
        <x:v>48</x:v>
      </x:c>
      <x:c r="H20" s="16" t="s">
        <x:v>63</x:v>
      </x:c>
    </x:row>
    <x:row r="21" ht="15" customHeight="1">
      <x:c r="B21" s="12" t="s">
        <x:v>64</x:v>
      </x:c>
      <x:c r="C21" s="21">
        <x:v>15</x:v>
      </x:c>
      <x:c r="D21" s="21">
        <x:v>40</x:v>
      </x:c>
      <x:c r="E21" s="21">
        <x:v>90</x:v>
      </x:c>
      <x:c r="F21" s="22">
        <x:f t="shared" si="1"/>
        <x:v>40</x:v>
      </x:c>
      <x:c r="G21" s="15" t="s">
        <x:v>48</x:v>
      </x:c>
      <x:c r="H21" s="16" t="s">
        <x:v>65</x:v>
      </x:c>
    </x:row>
    <x:row r="22" ht="15" customHeight="1">
      <x:c r="B22" s="12" t="s">
        <x:v>66</x:v>
      </x:c>
      <x:c r="C22" s="21">
        <x:v>50</x:v>
      </x:c>
      <x:c r="D22" s="21">
        <x:v>150</x:v>
      </x:c>
      <x:c r="E22" s="21">
        <x:v>400</x:v>
      </x:c>
      <x:c r="F22" s="22">
        <x:f t="shared" si="1"/>
        <x:v>150</x:v>
      </x:c>
      <x:c r="G22" s="15" t="s">
        <x:v>67</x:v>
      </x:c>
      <x:c r="H22" s="16" t="s">
        <x:v>68</x:v>
      </x:c>
    </x:row>
    <x:row r="23" ht="15" customHeight="1">
      <x:c r="B23" s="12" t="s">
        <x:v>69</x:v>
      </x:c>
      <x:c r="C23" s="21">
        <x:v>0</x:v>
      </x:c>
      <x:c r="D23" s="21">
        <x:v>500</x:v>
      </x:c>
      <x:c r="E23" s="21">
        <x:v>1500</x:v>
      </x:c>
      <x:c r="F23" s="22">
        <x:f t="shared" si="1"/>
        <x:v>500</x:v>
      </x:c>
      <x:c r="G23" s="15" t="s">
        <x:v>70</x:v>
      </x:c>
      <x:c r="H23" s="16" t="s">
        <x:v>71</x:v>
      </x:c>
    </x:row>
    <x:row r="24" ht="15" customHeight="1">
      <x:c r="B24" s="12" t="s">
        <x:v>72</x:v>
      </x:c>
      <x:c r="C24" s="17">
        <x:v>0</x:v>
      </x:c>
      <x:c r="D24" s="17">
        <x:v>3</x:v>
      </x:c>
      <x:c r="E24" s="17">
        <x:v>10</x:v>
      </x:c>
      <x:c r="F24" s="18">
        <x:f t="shared" si="1"/>
        <x:v>3</x:v>
      </x:c>
      <x:c r="G24" s="15" t="s">
        <x:v>73</x:v>
      </x:c>
      <x:c r="H24" s="16" t="s">
        <x:v>74</x:v>
      </x:c>
    </x:row>
    <x:row r="25" ht="15" customHeight="1">
      <x:c r="B25" s="6" t="s">
        <x:v>75</x:v>
      </x:c>
      <x:c r="C25" s="11"/>
      <x:c r="D25" s="11"/>
      <x:c r="E25" s="11"/>
      <x:c r="F25" s="11"/>
      <x:c r="G25" s="11"/>
      <x:c r="H25" s="11"/>
    </x:row>
    <x:row r="26" ht="21.75" customHeight="1">
      <x:c r="B26" s="12" t="s">
        <x:v>76</x:v>
      </x:c>
      <x:c r="C26" s="27">
        <x:v>0.01</x:v>
      </x:c>
      <x:c r="D26" s="27">
        <x:v>0.03</x:v>
      </x:c>
      <x:c r="E26" s="27">
        <x:v>0.08</x:v>
      </x:c>
      <x:c r="F26" s="28" t="n">
        <x:f t="shared" ref="F26:F34" si="2">CHOOSE($C$4,C26,D26,E26)</x:f>
        <x:v>0.03</x:v>
      </x:c>
      <x:c r="G26" s="15" t="s">
        <x:v>77</x:v>
      </x:c>
      <x:c r="H26" s="16" t="s">
        <x:v>78</x:v>
      </x:c>
    </x:row>
    <x:row r="27" ht="15" customHeight="1">
      <x:c r="B27" s="12" t="s">
        <x:v>79</x:v>
      </x:c>
      <x:c r="C27" s="29">
        <x:v>2</x:v>
      </x:c>
      <x:c r="D27" s="29">
        <x:v>3.5</x:v>
      </x:c>
      <x:c r="E27" s="29">
        <x:v>6</x:v>
      </x:c>
      <x:c r="F27" s="30">
        <x:f t="shared" si="2"/>
        <x:v>3.5</x:v>
      </x:c>
      <x:c r="G27" s="15" t="s">
        <x:v>80</x:v>
      </x:c>
      <x:c r="H27" s="16" t="s">
        <x:v>81</x:v>
      </x:c>
    </x:row>
    <x:row r="28" ht="15" customHeight="1">
      <x:c r="B28" s="12" t="s">
        <x:v>82</x:v>
      </x:c>
      <x:c r="C28" s="29">
        <x:v>0.3</x:v>
      </x:c>
      <x:c r="D28" s="29">
        <x:v>1.35</x:v>
      </x:c>
      <x:c r="E28" s="29">
        <x:v>5</x:v>
      </x:c>
      <x:c r="F28" s="30">
        <x:f t="shared" si="2"/>
        <x:v>1.35</x:v>
      </x:c>
      <x:c r="G28" s="15" t="s">
        <x:v>83</x:v>
      </x:c>
      <x:c r="H28" s="16" t="s">
        <x:v>84</x:v>
      </x:c>
    </x:row>
    <x:row r="29" ht="15" customHeight="1">
      <x:c r="B29" s="12" t="s">
        <x:v>85</x:v>
      </x:c>
      <x:c r="C29" s="29">
        <x:v>0.5</x:v>
      </x:c>
      <x:c r="D29" s="29">
        <x:v>4</x:v>
      </x:c>
      <x:c r="E29" s="29">
        <x:v>12</x:v>
      </x:c>
      <x:c r="F29" s="30">
        <x:f t="shared" si="2"/>
        <x:v>4</x:v>
      </x:c>
      <x:c r="G29" s="15" t="s">
        <x:v>48</x:v>
      </x:c>
      <x:c r="H29" s="16" t="s">
        <x:v>86</x:v>
      </x:c>
    </x:row>
    <x:row r="30" ht="15" customHeight="1">
      <x:c r="B30" s="12" t="s">
        <x:v>87</x:v>
      </x:c>
      <x:c r="C30" s="29">
        <x:v>0.05</x:v>
      </x:c>
      <x:c r="D30" s="29">
        <x:v>0.2</x:v>
      </x:c>
      <x:c r="E30" s="29">
        <x:v>0.8</x:v>
      </x:c>
      <x:c r="F30" s="30">
        <x:f t="shared" si="2"/>
        <x:v>0.2</x:v>
      </x:c>
      <x:c r="G30" s="15" t="s">
        <x:v>88</x:v>
      </x:c>
      <x:c r="H30" s="16" t="s">
        <x:v>89</x:v>
      </x:c>
    </x:row>
    <x:row r="31" ht="15" customHeight="1">
      <x:c r="B31" s="12" t="s">
        <x:v>90</x:v>
      </x:c>
      <x:c r="C31" s="27">
        <x:v>2E-3</x:v>
      </x:c>
      <x:c r="D31" s="27">
        <x:v>0.01</x:v>
      </x:c>
      <x:c r="E31" s="27">
        <x:v>0.03</x:v>
      </x:c>
      <x:c r="F31" s="28">
        <x:f t="shared" si="2"/>
        <x:v>0.01</x:v>
      </x:c>
      <x:c r="G31" s="15" t="s">
        <x:v>88</x:v>
      </x:c>
      <x:c r="H31" s="16" t="s">
        <x:v>91</x:v>
      </x:c>
    </x:row>
    <x:row r="32" ht="15" customHeight="1">
      <x:c r="B32" s="12" t="s">
        <x:v>92</x:v>
      </x:c>
      <x:c r="C32" s="27">
        <x:v>0.01</x:v>
      </x:c>
      <x:c r="D32" s="27">
        <x:v>0.03</x:v>
      </x:c>
      <x:c r="E32" s="27">
        <x:v>0.08</x:v>
      </x:c>
      <x:c r="F32" s="28">
        <x:f t="shared" si="2"/>
        <x:v>0.03</x:v>
      </x:c>
      <x:c r="G32" s="15" t="s">
        <x:v>88</x:v>
      </x:c>
      <x:c r="H32" s="16" t="s">
        <x:v>93</x:v>
      </x:c>
    </x:row>
    <x:row r="33" ht="15" customHeight="1">
      <x:c r="B33" s="12" t="s">
        <x:v>94</x:v>
      </x:c>
      <x:c r="C33" s="29">
        <x:v>1</x:v>
      </x:c>
      <x:c r="D33" s="29">
        <x:v>3</x:v>
      </x:c>
      <x:c r="E33" s="29">
        <x:v>8</x:v>
      </x:c>
      <x:c r="F33" s="30">
        <x:f t="shared" si="2"/>
        <x:v>3</x:v>
      </x:c>
      <x:c r="G33" s="15" t="s">
        <x:v>48</x:v>
      </x:c>
      <x:c r="H33" s="16" t="s">
        <x:v>95</x:v>
      </x:c>
    </x:row>
    <x:row r="34" ht="15" customHeight="1">
      <x:c r="B34" s="12" t="s">
        <x:v>96</x:v>
      </x:c>
      <x:c r="C34" s="21">
        <x:v>20</x:v>
      </x:c>
      <x:c r="D34" s="21">
        <x:v>60</x:v>
      </x:c>
      <x:c r="E34" s="21">
        <x:v>150</x:v>
      </x:c>
      <x:c r="F34" s="22">
        <x:f t="shared" si="2"/>
        <x:v>60</x:v>
      </x:c>
      <x:c r="G34" s="15" t="s">
        <x:v>67</x:v>
      </x:c>
      <x:c r="H34" s="16" t="s">
        <x:v>97</x:v>
      </x:c>
    </x:row>
    <x:row r="35" ht="15" customHeight="1">
      <x:c r="B35" s="6" t="s">
        <x:v>98</x:v>
      </x:c>
      <x:c r="C35" s="11"/>
      <x:c r="D35" s="11"/>
      <x:c r="E35" s="11"/>
      <x:c r="F35" s="11"/>
      <x:c r="G35" s="11"/>
      <x:c r="H35" s="11"/>
    </x:row>
    <x:row r="36" ht="15" customHeight="1">
      <x:c r="B36" s="12" t="s">
        <x:v>99</x:v>
      </x:c>
      <x:c r="C36" s="21">
        <x:v>50</x:v>
      </x:c>
      <x:c r="D36" s="21">
        <x:v>250</x:v>
      </x:c>
      <x:c r="E36" s="21">
        <x:v>900</x:v>
      </x:c>
      <x:c r="F36" s="22" t="n">
        <x:f t="shared" ref="F36:F47" si="3">CHOOSE($C$4,C36,D36,E36)</x:f>
        <x:v>250</x:v>
      </x:c>
      <x:c r="G36" s="15" t="s">
        <x:v>100</x:v>
      </x:c>
      <x:c r="H36" s="16" t="s">
        <x:v>101</x:v>
      </x:c>
    </x:row>
    <x:row r="37" ht="15" customHeight="1">
      <x:c r="B37" s="12" t="s">
        <x:v>102</x:v>
      </x:c>
      <x:c r="C37" s="21">
        <x:v>20</x:v>
      </x:c>
      <x:c r="D37" s="21">
        <x:v>120</x:v>
      </x:c>
      <x:c r="E37" s="21">
        <x:v>500</x:v>
      </x:c>
      <x:c r="F37" s="22">
        <x:f t="shared" si="3"/>
        <x:v>120</x:v>
      </x:c>
      <x:c r="G37" s="15" t="s">
        <x:v>100</x:v>
      </x:c>
      <x:c r="H37" s="16" t="s">
        <x:v>103</x:v>
      </x:c>
    </x:row>
    <x:row r="38" ht="15" customHeight="1">
      <x:c r="B38" s="12" t="s">
        <x:v>104</x:v>
      </x:c>
      <x:c r="C38" s="21">
        <x:v>30</x:v>
      </x:c>
      <x:c r="D38" s="21">
        <x:v>150</x:v>
      </x:c>
      <x:c r="E38" s="21">
        <x:v>500</x:v>
      </x:c>
      <x:c r="F38" s="22">
        <x:f t="shared" si="3"/>
        <x:v>150</x:v>
      </x:c>
      <x:c r="G38" s="15" t="s">
        <x:v>100</x:v>
      </x:c>
      <x:c r="H38" s="16" t="s">
        <x:v>105</x:v>
      </x:c>
    </x:row>
    <x:row r="39" ht="15" customHeight="1">
      <x:c r="B39" s="12" t="s">
        <x:v>106</x:v>
      </x:c>
      <x:c r="C39" s="21">
        <x:v>20</x:v>
      </x:c>
      <x:c r="D39" s="21">
        <x:v>60</x:v>
      </x:c>
      <x:c r="E39" s="21">
        <x:v>200</x:v>
      </x:c>
      <x:c r="F39" s="22">
        <x:f t="shared" si="3"/>
        <x:v>60</x:v>
      </x:c>
      <x:c r="G39" s="15" t="s">
        <x:v>100</x:v>
      </x:c>
      <x:c r="H39" s="16" t="s">
        <x:v>107</x:v>
      </x:c>
    </x:row>
    <x:row r="40" ht="15" customHeight="1">
      <x:c r="B40" s="12" t="s">
        <x:v>108</x:v>
      </x:c>
      <x:c r="C40" s="21">
        <x:v>30</x:v>
      </x:c>
      <x:c r="D40" s="21">
        <x:v>90</x:v>
      </x:c>
      <x:c r="E40" s="21">
        <x:v>250</x:v>
      </x:c>
      <x:c r="F40" s="22">
        <x:f t="shared" si="3"/>
        <x:v>90</x:v>
      </x:c>
      <x:c r="G40" s="15" t="s">
        <x:v>100</x:v>
      </x:c>
      <x:c r="H40" s="16" t="s">
        <x:v>109</x:v>
      </x:c>
    </x:row>
    <x:row r="41" ht="15" customHeight="1">
      <x:c r="B41" s="12" t="s">
        <x:v>110</x:v>
      </x:c>
      <x:c r="C41" s="21">
        <x:v>0</x:v>
      </x:c>
      <x:c r="D41" s="21">
        <x:v>80</x:v>
      </x:c>
      <x:c r="E41" s="21">
        <x:v>300</x:v>
      </x:c>
      <x:c r="F41" s="22">
        <x:f t="shared" si="3"/>
        <x:v>80</x:v>
      </x:c>
      <x:c r="G41" s="15" t="s">
        <x:v>100</x:v>
      </x:c>
      <x:c r="H41" s="16" t="s">
        <x:v>111</x:v>
      </x:c>
    </x:row>
    <x:row r="42" ht="15" customHeight="1">
      <x:c r="B42" s="12" t="s">
        <x:v>112</x:v>
      </x:c>
      <x:c r="C42" s="21">
        <x:v>150</x:v>
      </x:c>
      <x:c r="D42" s="21">
        <x:v>350</x:v>
      </x:c>
      <x:c r="E42" s="21">
        <x:v>800</x:v>
      </x:c>
      <x:c r="F42" s="22">
        <x:f t="shared" si="3"/>
        <x:v>350</x:v>
      </x:c>
      <x:c r="G42" s="15" t="s">
        <x:v>100</x:v>
      </x:c>
      <x:c r="H42" s="16" t="s">
        <x:v>113</x:v>
      </x:c>
    </x:row>
    <x:row r="43" ht="15" customHeight="1">
      <x:c r="B43" s="12" t="s">
        <x:v>114</x:v>
      </x:c>
      <x:c r="C43" s="21">
        <x:v>0</x:v>
      </x:c>
      <x:c r="D43" s="21">
        <x:v>600</x:v>
      </x:c>
      <x:c r="E43" s="21">
        <x:v>2000</x:v>
      </x:c>
      <x:c r="F43" s="22">
        <x:f t="shared" si="3"/>
        <x:v>600</x:v>
      </x:c>
      <x:c r="G43" s="15" t="s">
        <x:v>100</x:v>
      </x:c>
      <x:c r="H43" s="16" t="s">
        <x:v>115</x:v>
      </x:c>
    </x:row>
    <x:row r="44" ht="15" customHeight="1">
      <x:c r="B44" s="12" t="s">
        <x:v>116</x:v>
      </x:c>
      <x:c r="C44" s="21">
        <x:v>0</x:v>
      </x:c>
      <x:c r="D44" s="21">
        <x:v>1200</x:v>
      </x:c>
      <x:c r="E44" s="21">
        <x:v>4000</x:v>
      </x:c>
      <x:c r="F44" s="22">
        <x:f t="shared" si="3"/>
        <x:v>1200</x:v>
      </x:c>
      <x:c r="G44" s="15" t="s">
        <x:v>100</x:v>
      </x:c>
      <x:c r="H44" s="16" t="s">
        <x:v>117</x:v>
      </x:c>
    </x:row>
    <x:row r="45" ht="15" customHeight="1">
      <x:c r="B45" s="12" t="s">
        <x:v>118</x:v>
      </x:c>
      <x:c r="C45" s="21">
        <x:v>200</x:v>
      </x:c>
      <x:c r="D45" s="21">
        <x:v>1500</x:v>
      </x:c>
      <x:c r="E45" s="21">
        <x:v>6000</x:v>
      </x:c>
      <x:c r="F45" s="22">
        <x:f t="shared" si="3"/>
        <x:v>1500</x:v>
      </x:c>
      <x:c r="G45" s="15" t="s">
        <x:v>100</x:v>
      </x:c>
      <x:c r="H45" s="16" t="s">
        <x:v>119</x:v>
      </x:c>
    </x:row>
    <x:row r="46" ht="15" customHeight="1">
      <x:c r="B46" s="12" t="s">
        <x:v>120</x:v>
      </x:c>
      <x:c r="C46" s="21">
        <x:v>0</x:v>
      </x:c>
      <x:c r="D46" s="21">
        <x:v>400</x:v>
      </x:c>
      <x:c r="E46" s="21">
        <x:v>1500</x:v>
      </x:c>
      <x:c r="F46" s="22">
        <x:f t="shared" si="3"/>
        <x:v>400</x:v>
      </x:c>
      <x:c r="G46" s="15" t="s">
        <x:v>100</x:v>
      </x:c>
      <x:c r="H46" s="16" t="s">
        <x:v>121</x:v>
      </x:c>
    </x:row>
    <x:row r="47" ht="15" customHeight="1">
      <x:c r="B47" s="12" t="s">
        <x:v>122</x:v>
      </x:c>
      <x:c r="C47" s="21">
        <x:v>250</x:v>
      </x:c>
      <x:c r="D47" s="21">
        <x:v>700</x:v>
      </x:c>
      <x:c r="E47" s="21">
        <x:v>2000</x:v>
      </x:c>
      <x:c r="F47" s="22">
        <x:f t="shared" si="3"/>
        <x:v>700</x:v>
      </x:c>
      <x:c r="G47" s="15" t="s">
        <x:v>100</x:v>
      </x:c>
      <x:c r="H47" s="16" t="s">
        <x:v>123</x:v>
      </x:c>
    </x:row>
    <x:row r="48" ht="15" customHeight="1">
      <x:c r="B48" s="6" t="s">
        <x:v>124</x:v>
      </x:c>
      <x:c r="C48" s="11"/>
      <x:c r="D48" s="11"/>
      <x:c r="E48" s="11"/>
      <x:c r="F48" s="11"/>
      <x:c r="G48" s="11"/>
      <x:c r="H48" s="11"/>
    </x:row>
    <x:row r="49" ht="15" customHeight="1">
      <x:c r="B49" s="12" t="s">
        <x:v>125</x:v>
      </x:c>
      <x:c r="C49" s="17">
        <x:v>1</x:v>
      </x:c>
      <x:c r="D49" s="17">
        <x:v>2</x:v>
      </x:c>
      <x:c r="E49" s="17">
        <x:v>2</x:v>
      </x:c>
      <x:c r="F49" s="18" t="n">
        <x:f>CHOOSE($C$4,C49,D49,E49)</x:f>
        <x:v>2</x:v>
      </x:c>
      <x:c r="G49" s="15" t="s">
        <x:v>126</x:v>
      </x:c>
      <x:c r="H49" s="16"/>
    </x:row>
    <x:row r="50" ht="15" customHeight="1">
      <x:c r="B50" s="12" t="s">
        <x:v>127</x:v>
      </x:c>
      <x:c r="C50" s="17">
        <x:v>1</x:v>
      </x:c>
      <x:c r="D50" s="17">
        <x:v>2</x:v>
      </x:c>
      <x:c r="E50" s="17">
        <x:v>3</x:v>
      </x:c>
      <x:c r="F50" s="18" t="n">
        <x:f>CHOOSE($C$4,C50,D50,E50)</x:f>
        <x:v>2</x:v>
      </x:c>
      <x:c r="G50" s="15" t="s">
        <x:v>128</x:v>
      </x:c>
      <x:c r="H50" s="16" t="s">
        <x:v>129</x:v>
      </x:c>
    </x:row>
    <x:row r="51" ht="15" customHeight="1">
      <x:c r="B51" s="12" t="s">
        <x:v>130</x:v>
      </x:c>
      <x:c r="C51" s="17">
        <x:v>0</x:v>
      </x:c>
      <x:c r="D51" s="17">
        <x:v>1</x:v>
      </x:c>
      <x:c r="E51" s="17">
        <x:v>1</x:v>
      </x:c>
      <x:c r="F51" s="18" t="n">
        <x:f>CHOOSE($C$4,C51,D51,E51)</x:f>
        <x:v>1</x:v>
      </x:c>
      <x:c r="G51" s="15" t="s">
        <x:v>128</x:v>
      </x:c>
      <x:c r="H51" s="16" t="s">
        <x:v>131</x:v>
      </x:c>
    </x:row>
    <x:row r="52" ht="15" customHeight="1">
      <x:c r="B52" s="12" t="s">
        <x:v>132</x:v>
      </x:c>
      <x:c r="C52" s="17">
        <x:v>0</x:v>
      </x:c>
      <x:c r="D52" s="17">
        <x:v>1</x:v>
      </x:c>
      <x:c r="E52" s="17">
        <x:v>2</x:v>
      </x:c>
      <x:c r="F52" s="18" t="n">
        <x:f>CHOOSE($C$4,C52,D52,E52)</x:f>
        <x:v>1</x:v>
      </x:c>
      <x:c r="G52" s="15" t="s">
        <x:v>128</x:v>
      </x:c>
      <x:c r="H52" s="16" t="s">
        <x:v>131</x:v>
      </x:c>
    </x:row>
    <x:row r="53" ht="15" customHeight="1">
      <x:c r="B53" s="6" t="s">
        <x:v>133</x:v>
      </x:c>
      <x:c r="C53" s="11"/>
      <x:c r="D53" s="11"/>
      <x:c r="E53" s="11"/>
      <x:c r="F53" s="11"/>
      <x:c r="G53" s="11"/>
      <x:c r="H53" s="11"/>
    </x:row>
    <x:row r="54" ht="15" customHeight="1">
      <x:c r="B54" s="12" t="s">
        <x:v>134</x:v>
      </x:c>
      <x:c r="C54" s="21">
        <x:v>30000</x:v>
      </x:c>
      <x:c r="D54" s="21">
        <x:v>45000</x:v>
      </x:c>
      <x:c r="E54" s="21">
        <x:v>65000</x:v>
      </x:c>
      <x:c r="F54" s="22" t="n">
        <x:f t="shared" ref="F54:F61" si="4">CHOOSE($C$4,C54,D54,E54)</x:f>
        <x:v>45000</x:v>
      </x:c>
      <x:c r="G54" s="15" t="s">
        <x:v>135</x:v>
      </x:c>
      <x:c r="H54" s="16" t="s">
        <x:v>136</x:v>
      </x:c>
    </x:row>
    <x:row r="55" ht="15" customHeight="1">
      <x:c r="B55" s="12" t="s">
        <x:v>137</x:v>
      </x:c>
      <x:c r="C55" s="21">
        <x:v>50000</x:v>
      </x:c>
      <x:c r="D55" s="21">
        <x:v>70000</x:v>
      </x:c>
      <x:c r="E55" s="21">
        <x:v>95000</x:v>
      </x:c>
      <x:c r="F55" s="22">
        <x:f t="shared" si="4"/>
        <x:v>70000</x:v>
      </x:c>
      <x:c r="G55" s="15" t="s">
        <x:v>135</x:v>
      </x:c>
      <x:c r="H55" s="16" t="s">
        <x:v>138</x:v>
      </x:c>
    </x:row>
    <x:row r="56" ht="15" customHeight="1">
      <x:c r="B56" s="12" t="s">
        <x:v>139</x:v>
      </x:c>
      <x:c r="C56" s="21">
        <x:v>45000</x:v>
      </x:c>
      <x:c r="D56" s="21">
        <x:v>60000</x:v>
      </x:c>
      <x:c r="E56" s="21">
        <x:v>85000</x:v>
      </x:c>
      <x:c r="F56" s="22">
        <x:f t="shared" si="4"/>
        <x:v>60000</x:v>
      </x:c>
      <x:c r="G56" s="15" t="s">
        <x:v>135</x:v>
      </x:c>
      <x:c r="H56" s="16" t="s">
        <x:v>140</x:v>
      </x:c>
    </x:row>
    <x:row r="57" ht="15" customHeight="1">
      <x:c r="B57" s="12" t="s">
        <x:v>141</x:v>
      </x:c>
      <x:c r="C57" s="21">
        <x:v>35000</x:v>
      </x:c>
      <x:c r="D57" s="21">
        <x:v>50000</x:v>
      </x:c>
      <x:c r="E57" s="21">
        <x:v>70000</x:v>
      </x:c>
      <x:c r="F57" s="22">
        <x:f t="shared" si="4"/>
        <x:v>50000</x:v>
      </x:c>
      <x:c r="G57" s="15" t="s">
        <x:v>135</x:v>
      </x:c>
      <x:c r="H57" s="16" t="s">
        <x:v>131</x:v>
      </x:c>
    </x:row>
    <x:row r="58" ht="15" customHeight="1">
      <x:c r="B58" s="12" t="s">
        <x:v>142</x:v>
      </x:c>
      <x:c r="C58" s="23">
        <x:v>0.15</x:v>
      </x:c>
      <x:c r="D58" s="23">
        <x:v>0.15</x:v>
      </x:c>
      <x:c r="E58" s="23">
        <x:v>0.15</x:v>
      </x:c>
      <x:c r="F58" s="24">
        <x:f t="shared" si="4"/>
        <x:v>0.15</x:v>
      </x:c>
      <x:c r="G58" s="15" t="s">
        <x:v>143</x:v>
      </x:c>
      <x:c r="H58" s="16" t="s">
        <x:v>144</x:v>
      </x:c>
    </x:row>
    <x:row r="59" ht="15" customHeight="1">
      <x:c r="B59" s="12" t="s">
        <x:v>145</x:v>
      </x:c>
      <x:c r="C59" s="21">
        <x:v>5000</x:v>
      </x:c>
      <x:c r="D59" s="21">
        <x:v>5000</x:v>
      </x:c>
      <x:c r="E59" s="21">
        <x:v>5000</x:v>
      </x:c>
      <x:c r="F59" s="22">
        <x:f t="shared" si="4"/>
        <x:v>5000</x:v>
      </x:c>
      <x:c r="G59" s="15" t="s">
        <x:v>135</x:v>
      </x:c>
      <x:c r="H59" s="16" t="s">
        <x:v>146</x:v>
      </x:c>
    </x:row>
    <x:row r="60" ht="15" customHeight="1">
      <x:c r="B60" s="12" t="s">
        <x:v>147</x:v>
      </x:c>
      <x:c r="C60" s="23">
        <x:v>0.03</x:v>
      </x:c>
      <x:c r="D60" s="23">
        <x:v>0.04</x:v>
      </x:c>
      <x:c r="E60" s="23">
        <x:v>0.05</x:v>
      </x:c>
      <x:c r="F60" s="24">
        <x:f t="shared" si="4"/>
        <x:v>0.04</x:v>
      </x:c>
      <x:c r="G60" s="15" t="s">
        <x:v>148</x:v>
      </x:c>
      <x:c r="H60" s="16" t="s">
        <x:v>149</x:v>
      </x:c>
    </x:row>
    <x:row r="61" ht="15" customHeight="1">
      <x:c r="B61" s="12" t="s">
        <x:v>150</x:v>
      </x:c>
      <x:c r="C61" s="23">
        <x:v>0.02</x:v>
      </x:c>
      <x:c r="D61" s="23">
        <x:v>0.03</x:v>
      </x:c>
      <x:c r="E61" s="23">
        <x:v>0.05</x:v>
      </x:c>
      <x:c r="F61" s="24">
        <x:f t="shared" si="4"/>
        <x:v>0.03</x:v>
      </x:c>
      <x:c r="G61" s="15" t="s">
        <x:v>148</x:v>
      </x:c>
      <x:c r="H61" s="16" t="s">
        <x:v>151</x:v>
      </x:c>
    </x:row>
    <x:row r="62" ht="15" customHeight="1">
      <x:c r="B62" s="6" t="s">
        <x:v>152</x:v>
      </x:c>
      <x:c r="C62" s="11"/>
      <x:c r="D62" s="11"/>
      <x:c r="E62" s="11"/>
      <x:c r="F62" s="11"/>
      <x:c r="G62" s="11"/>
      <x:c r="H62" s="11"/>
    </x:row>
    <x:row r="63" ht="15" customHeight="1">
      <x:c r="B63" s="12" t="s">
        <x:v>153</x:v>
      </x:c>
      <x:c r="C63" s="21">
        <x:v>600</x:v>
      </x:c>
      <x:c r="D63" s="21">
        <x:v>900</x:v>
      </x:c>
      <x:c r="E63" s="21">
        <x:v>1400</x:v>
      </x:c>
      <x:c r="F63" s="22" t="n">
        <x:f>CHOOSE($C$4,C63,D63,E63)</x:f>
        <x:v>900</x:v>
      </x:c>
      <x:c r="G63" s="15" t="s">
        <x:v>154</x:v>
      </x:c>
      <x:c r="H63" s="16" t="s">
        <x:v>155</x:v>
      </x:c>
    </x:row>
    <x:row r="64" ht="15" customHeight="1">
      <x:c r="B64" s="12" t="s">
        <x:v>156</x:v>
      </x:c>
      <x:c r="C64" s="21">
        <x:v>400</x:v>
      </x:c>
      <x:c r="D64" s="21">
        <x:v>600</x:v>
      </x:c>
      <x:c r="E64" s="21">
        <x:v>850</x:v>
      </x:c>
      <x:c r="F64" s="22" t="n">
        <x:f>CHOOSE($C$4,C64,D64,E64)</x:f>
        <x:v>600</x:v>
      </x:c>
      <x:c r="G64" s="15" t="s">
        <x:v>154</x:v>
      </x:c>
      <x:c r="H64" s="16" t="s">
        <x:v>131</x:v>
      </x:c>
    </x:row>
    <x:row r="65" ht="15" customHeight="1">
      <x:c r="B65" s="12" t="s">
        <x:v>157</x:v>
      </x:c>
      <x:c r="C65" s="21">
        <x:v>600</x:v>
      </x:c>
      <x:c r="D65" s="21">
        <x:v>900</x:v>
      </x:c>
      <x:c r="E65" s="21">
        <x:v>1500</x:v>
      </x:c>
      <x:c r="F65" s="22" t="n">
        <x:f>CHOOSE($C$4,C65,D65,E65)</x:f>
        <x:v>900</x:v>
      </x:c>
      <x:c r="G65" s="15" t="s">
        <x:v>154</x:v>
      </x:c>
      <x:c r="H65" s="16" t="s">
        <x:v>158</x:v>
      </x:c>
    </x:row>
    <x:row r="66" ht="15" customHeight="1">
      <x:c r="B66" s="12" t="s">
        <x:v>159</x:v>
      </x:c>
      <x:c r="C66" s="21">
        <x:v>350</x:v>
      </x:c>
      <x:c r="D66" s="21">
        <x:v>500</x:v>
      </x:c>
      <x:c r="E66" s="21">
        <x:v>750</x:v>
      </x:c>
      <x:c r="F66" s="22" t="n">
        <x:f>CHOOSE($C$4,C66,D66,E66)</x:f>
        <x:v>500</x:v>
      </x:c>
      <x:c r="G66" s="15" t="s">
        <x:v>154</x:v>
      </x:c>
      <x:c r="H66" s="16" t="s">
        <x:v>131</x:v>
      </x:c>
    </x:row>
    <x:row r="67">
      <x:c r="A67" t="str"/>
      <x:c r="B67" t="str"/>
      <x:c r="C67" t="str"/>
      <x:c r="D67" t="str"/>
      <x:c r="E67" t="str"/>
      <x:c r="F67" t="str"/>
      <x:c r="G67" t="str"/>
      <x:c r="H67" t="str"/>
    </x:row>
    <x:row r="68">
      <x:c r="A68" s="178"/>
      <x:c r="B68" s="178" t="str">
        <x:v>-- FUNDING / CASH FLOW --</x:v>
      </x:c>
      <x:c r="C68" s="178"/>
      <x:c r="D68" s="178"/>
      <x:c r="E68" s="178"/>
      <x:c r="F68" s="178"/>
      <x:c r="G68" s="178"/>
      <x:c r="H68" s="178"/>
    </x:row>
    <x:row r="69">
      <x:c r="A69"/>
      <x:c r="B69" t="str">
        <x:v>Cash buffer on peak deficit</x:v>
      </x:c>
      <x:c r="C69" t="n">
        <x:v>0.2</x:v>
      </x:c>
      <x:c r="D69" t="n">
        <x:v>0.3</x:v>
      </x:c>
      <x:c r="E69" t="n">
        <x:v>0.4</x:v>
      </x:c>
      <x:c r="F69" t="n">
        <x:f>CHOOSE($C$4,C69,D69,E69)</x:f>
        <x:v>0.3</x:v>
      </x:c>
      <x:c r="G69" t="str">
        <x:v>% buffer</x:v>
      </x:c>
      <x:c r="H69" t="str">
        <x:v>Applied to funding ask, linked into P&amp;L_3yr and Funding_Timeline</x:v>
      </x:c>
    </x:row>
    <x:row r="70">
      <x:c r="A70"/>
      <x:c r="B70" t="str">
        <x:v>Pre-revenue/pilot months in Year 1</x:v>
      </x:c>
      <x:c r="C70" t="n">
        <x:v>6</x:v>
      </x:c>
      <x:c r="D70" t="n">
        <x:v>6</x:v>
      </x:c>
      <x:c r="E70" t="n">
        <x:v>9</x:v>
      </x:c>
      <x:c r="F70" t="n">
        <x:f>CHOOSE($C$4,C70,D70,E70)</x:f>
        <x:v>6</x:v>
      </x:c>
      <x:c r="G70" t="str">
        <x:v>months</x:v>
      </x:c>
      <x:c r="H70" t="str">
        <x:v>Used to phase Yr1 revenue after startup build</x:v>
      </x:c>
    </x:row>
    <x:row r="71">
      <x:c r="A71"/>
      <x:c r="B71" t="str">
        <x:v>Employment allowance</x:v>
      </x:c>
      <x:c r="C71" t="n">
        <x:v>10500</x:v>
      </x:c>
      <x:c r="D71" t="n">
        <x:v>10500</x:v>
      </x:c>
      <x:c r="E71" t="n">
        <x:v>10500</x:v>
      </x:c>
      <x:c r="F71" t="n">
        <x:f>CHOOSE($C$4,C71,D71,E71)</x:f>
        <x:v>10500</x:v>
      </x:c>
      <x:c r="G71" t="str">
        <x:v>GBP/yr</x:v>
      </x:c>
      <x:c r="H71" t="str">
        <x:v>UK Employment Allowance 2026/27; confirm eligibility</x:v>
      </x:c>
    </x:row>
    <x:row r="72">
      <x:c r="A72"/>
      <x:c r="B72" t="str">
        <x:v>VAT registration threshold</x:v>
      </x:c>
      <x:c r="C72" t="n">
        <x:v>90000</x:v>
      </x:c>
      <x:c r="D72" t="n">
        <x:v>90000</x:v>
      </x:c>
      <x:c r="E72" t="n">
        <x:v>90000</x:v>
      </x:c>
      <x:c r="F72" t="n">
        <x:f>CHOOSE($C$4,C72,D72,E72)</x:f>
        <x:v>90000</x:v>
      </x:c>
      <x:c r="G72" t="str">
        <x:v>GBP revenue</x:v>
      </x:c>
      <x:c r="H72" t="str">
        <x:v>Flag threshold only; VAT cash timing not modelled in P&amp;L</x:v>
      </x:c>
    </x:row>
    <x:row r="74">
      <x:c r="A74"/>
      <x:c r="B74" s="260" t="str">
        <x:v>-- TIERED DOCUMENT INTAKE ECONOMICS --</x:v>
      </x:c>
      <x:c r="C74" s="260"/>
      <x:c r="D74" s="260"/>
      <x:c r="E74" s="260"/>
      <x:c r="F74" s="260"/>
      <x:c r="G74" s="260"/>
      <x:c r="H74" s="260"/>
    </x:row>
    <x:row r="75">
      <x:c r="A75"/>
      <x:c r="B75" s="170" t="str">
        <x:v>Tier A eBL mix Yr1</x:v>
      </x:c>
      <x:c r="C75" s="170" t="n">
        <x:v>0.05</x:v>
      </x:c>
      <x:c r="D75" s="170" t="n">
        <x:v>0.15</x:v>
      </x:c>
      <x:c r="E75" s="170" t="n">
        <x:v>0.3</x:v>
      </x:c>
      <x:c r="F75" s="170" t="n">
        <x:f>CHOOSE($C$4,C75,D75,E75)</x:f>
        <x:v>0.15</x:v>
      </x:c>
      <x:c r="G75" s="170" t="str">
        <x:v>% deals</x:v>
      </x:c>
      <x:c r="H75" s="170" t="str">
        <x:v>Lowest operational risk; source-of-truth digital document rail</x:v>
      </x:c>
    </x:row>
    <x:row r="76">
      <x:c r="A76"/>
      <x:c r="B76" s="170" t="str">
        <x:v>Tier B carrier/API mix Yr1</x:v>
      </x:c>
      <x:c r="C76" s="170" t="n">
        <x:v>0.25</x:v>
      </x:c>
      <x:c r="D76" s="170" t="n">
        <x:v>0.45</x:v>
      </x:c>
      <x:c r="E76" s="170" t="n">
        <x:v>0.5</x:v>
      </x:c>
      <x:c r="F76" s="170" t="n">
        <x:f>CHOOSE($C$4,C76,D76,E76)</x:f>
        <x:v>0.45</x:v>
      </x:c>
      <x:c r="G76" s="170" t="str">
        <x:v>% deals</x:v>
      </x:c>
      <x:c r="H76" s="170" t="str">
        <x:v>Paper docs with DCSA/carrier/API verification</x:v>
      </x:c>
    </x:row>
    <x:row r="77">
      <x:c r="A77"/>
      <x:c r="B77" s="170" t="str">
        <x:v>Tier C paper collection mix Yr1</x:v>
      </x:c>
      <x:c r="C77" s="170" t="n">
        <x:v>0.7</x:v>
      </x:c>
      <x:c r="D77" s="170" t="n">
        <x:v>0.4</x:v>
      </x:c>
      <x:c r="E77" s="170" t="n">
        <x:v>0.2</x:v>
      </x:c>
      <x:c r="F77" s="170" t="n">
        <x:f>CHOOSE($C$4,C77,D77,E77)</x:f>
        <x:v>0.4</x:v>
      </x:c>
      <x:c r="G77" s="170" t="str">
        <x:v>% deals</x:v>
      </x:c>
      <x:c r="H77" s="170" t="str">
        <x:v>Paper originals / manual collection / forensic fallback</x:v>
      </x:c>
    </x:row>
    <x:row r="78">
      <x:c r="A78"/>
      <x:c r="B78" s="170" t="str">
        <x:v>Tier A eBL mix Yr2</x:v>
      </x:c>
      <x:c r="C78" s="170" t="n">
        <x:v>0.1</x:v>
      </x:c>
      <x:c r="D78" s="170" t="n">
        <x:v>0.3</x:v>
      </x:c>
      <x:c r="E78" s="170" t="n">
        <x:v>0.45</x:v>
      </x:c>
      <x:c r="F78" s="170" t="n">
        <x:f>CHOOSE($C$4,C78,D78,E78)</x:f>
        <x:v>0.3</x:v>
      </x:c>
      <x:c r="G78" s="170" t="str">
        <x:v>% deals</x:v>
      </x:c>
      <x:c r="H78" s="170" t="str">
        <x:v>Mix improves as eBL adoption grows</x:v>
      </x:c>
    </x:row>
    <x:row r="79">
      <x:c r="A79"/>
      <x:c r="B79" s="170" t="str">
        <x:v>Tier B carrier/API mix Yr2</x:v>
      </x:c>
      <x:c r="C79" s="170" t="n">
        <x:v>0.35</x:v>
      </x:c>
      <x:c r="D79" s="170" t="n">
        <x:v>0.45</x:v>
      </x:c>
      <x:c r="E79" s="170" t="n">
        <x:v>0.45</x:v>
      </x:c>
      <x:c r="F79" s="170" t="n">
        <x:f>CHOOSE($C$4,C79,D79,E79)</x:f>
        <x:v>0.45</x:v>
      </x:c>
      <x:c r="G79" s="170" t="str">
        <x:v>% deals</x:v>
      </x:c>
      <x:c r="H79" s="170" t="str">
        <x:v>Core commercial tier</x:v>
      </x:c>
    </x:row>
    <x:row r="80">
      <x:c r="A80"/>
      <x:c r="B80" s="170" t="str">
        <x:v>Tier C paper collection mix Yr2</x:v>
      </x:c>
      <x:c r="C80" s="170" t="n">
        <x:v>0.55</x:v>
      </x:c>
      <x:c r="D80" s="170" t="n">
        <x:v>0.25</x:v>
      </x:c>
      <x:c r="E80" s="170" t="n">
        <x:v>0.1</x:v>
      </x:c>
      <x:c r="F80" s="170" t="n">
        <x:f>CHOOSE($C$4,C80,D80,E80)</x:f>
        <x:v>0.25</x:v>
      </x:c>
      <x:c r="G80" s="170" t="str">
        <x:v>% deals</x:v>
      </x:c>
      <x:c r="H80" s="170" t="str">
        <x:v>Should shrink over time</x:v>
      </x:c>
    </x:row>
    <x:row r="81">
      <x:c r="A81"/>
      <x:c r="B81" s="170" t="str">
        <x:v>Tier A eBL mix Yr3</x:v>
      </x:c>
      <x:c r="C81" s="170" t="n">
        <x:v>0.2</x:v>
      </x:c>
      <x:c r="D81" s="170" t="n">
        <x:v>0.45</x:v>
      </x:c>
      <x:c r="E81" s="170" t="n">
        <x:v>0.65</x:v>
      </x:c>
      <x:c r="F81" s="170" t="n">
        <x:f>CHOOSE($C$4,C81,D81,E81)</x:f>
        <x:v>0.45</x:v>
      </x:c>
      <x:c r="G81" s="170" t="str">
        <x:v>% deals</x:v>
      </x:c>
      <x:c r="H81" s="170" t="str">
        <x:v>Best-margin scaled tier</x:v>
      </x:c>
    </x:row>
    <x:row r="82">
      <x:c r="A82"/>
      <x:c r="B82" s="170" t="str">
        <x:v>Tier B carrier/API mix Yr3</x:v>
      </x:c>
      <x:c r="C82" s="170" t="n">
        <x:v>0.4</x:v>
      </x:c>
      <x:c r="D82" s="170" t="n">
        <x:v>0.4</x:v>
      </x:c>
      <x:c r="E82" s="170" t="n">
        <x:v>0.3</x:v>
      </x:c>
      <x:c r="F82" s="170" t="n">
        <x:f>CHOOSE($C$4,C82,D82,E82)</x:f>
        <x:v>0.4</x:v>
      </x:c>
      <x:c r="G82" s="170" t="str">
        <x:v>% deals</x:v>
      </x:c>
      <x:c r="H82" s="170" t="str">
        <x:v>Carrier/API verified middle tier</x:v>
      </x:c>
    </x:row>
    <x:row r="83">
      <x:c r="A83"/>
      <x:c r="B83" s="170" t="str">
        <x:v>Tier C paper collection mix Yr3</x:v>
      </x:c>
      <x:c r="C83" s="170" t="n">
        <x:v>0.4</x:v>
      </x:c>
      <x:c r="D83" s="170" t="n">
        <x:v>0.15</x:v>
      </x:c>
      <x:c r="E83" s="170" t="n">
        <x:v>0.05</x:v>
      </x:c>
      <x:c r="F83" s="170" t="n">
        <x:f>CHOOSE($C$4,C83,D83,E83)</x:f>
        <x:v>0.15</x:v>
      </x:c>
      <x:c r="G83" s="170" t="str">
        <x:v>% deals</x:v>
      </x:c>
      <x:c r="H83" s="170" t="str">
        <x:v>High-risk fallback, not strategic core</x:v>
      </x:c>
    </x:row>
    <x:row r="84">
      <x:c r="A84"/>
      <x:c r="B84" s="170" t="str">
        <x:v>Tier A escrow take rate</x:v>
      </x:c>
      <x:c r="C84" s="170" t="n">
        <x:v>0.002</x:v>
      </x:c>
      <x:c r="D84" s="170" t="n">
        <x:v>0.003</x:v>
      </x:c>
      <x:c r="E84" s="170" t="n">
        <x:v>0.004</x:v>
      </x:c>
      <x:c r="F84" s="170" t="n">
        <x:f>CHOOSE($C$4,C84,D84,E84)</x:f>
        <x:v>0.003</x:v>
      </x:c>
      <x:c r="G84" s="170" t="str">
        <x:v>% GMV</x:v>
      </x:c>
      <x:c r="H84" s="170" t="str">
        <x:v>eBL: speed premium, lower ops risk</x:v>
      </x:c>
    </x:row>
    <x:row r="85">
      <x:c r="A85"/>
      <x:c r="B85" s="170" t="str">
        <x:v>Tier B escrow take rate</x:v>
      </x:c>
      <x:c r="C85" s="170" t="n">
        <x:v>0.003</x:v>
      </x:c>
      <x:c r="D85" s="170" t="n">
        <x:v>0.0045</x:v>
      </x:c>
      <x:c r="E85" s="170" t="n">
        <x:v>0.0065</x:v>
      </x:c>
      <x:c r="F85" s="170" t="n">
        <x:f>CHOOSE($C$4,C85,D85,E85)</x:f>
        <x:v>0.0045</x:v>
      </x:c>
      <x:c r="G85" s="170" t="str">
        <x:v>% GMV</x:v>
      </x:c>
      <x:c r="H85" s="170" t="str">
        <x:v>Carrier/API verification tier</x:v>
      </x:c>
    </x:row>
    <x:row r="86">
      <x:c r="A86"/>
      <x:c r="B86" s="170" t="str">
        <x:v>Tier C escrow take rate</x:v>
      </x:c>
      <x:c r="C86" s="170" t="n">
        <x:v>0.004</x:v>
      </x:c>
      <x:c r="D86" s="170" t="n">
        <x:v>0.007</x:v>
      </x:c>
      <x:c r="E86" s="170" t="n">
        <x:v>0.01</x:v>
      </x:c>
      <x:c r="F86" s="170" t="n">
        <x:f>CHOOSE($C$4,C86,D86,E86)</x:f>
        <x:v>0.007</x:v>
      </x:c>
      <x:c r="G86" s="170" t="str">
        <x:v>% GMV</x:v>
      </x:c>
      <x:c r="H86" s="170" t="str">
        <x:v>Paper collection carries highest risk/cost</x:v>
      </x:c>
    </x:row>
    <x:row r="87">
      <x:c r="A87"/>
      <x:c r="B87" s="170" t="str">
        <x:v>Tier A minimum escrow fee</x:v>
      </x:c>
      <x:c r="C87" s="170" t="n">
        <x:v>75</x:v>
      </x:c>
      <x:c r="D87" s="170" t="n">
        <x:v>150</x:v>
      </x:c>
      <x:c r="E87" s="170" t="n">
        <x:v>250</x:v>
      </x:c>
      <x:c r="F87" s="170" t="n">
        <x:f>CHOOSE($C$4,C87,D87,E87)</x:f>
        <x:v>150</x:v>
      </x:c>
      <x:c r="G87" s="170" t="str">
        <x:v>GBP/deal</x:v>
      </x:c>
      <x:c r="H87" s="170" t="str">
        <x:v>Minimum fee floor</x:v>
      </x:c>
    </x:row>
    <x:row r="88">
      <x:c r="A88"/>
      <x:c r="B88" s="170" t="str">
        <x:v>Tier B minimum escrow fee</x:v>
      </x:c>
      <x:c r="C88" s="170" t="n">
        <x:v>100</x:v>
      </x:c>
      <x:c r="D88" s="170" t="n">
        <x:v>250</x:v>
      </x:c>
      <x:c r="E88" s="170" t="n">
        <x:v>400</x:v>
      </x:c>
      <x:c r="F88" s="170" t="n">
        <x:f>CHOOSE($C$4,C88,D88,E88)</x:f>
        <x:v>250</x:v>
      </x:c>
      <x:c r="G88" s="170" t="str">
        <x:v>GBP/deal</x:v>
      </x:c>
      <x:c r="H88" s="170" t="str">
        <x:v>Minimum fee floor</x:v>
      </x:c>
    </x:row>
    <x:row r="89">
      <x:c r="A89"/>
      <x:c r="B89" s="170" t="str">
        <x:v>Tier C minimum escrow fee</x:v>
      </x:c>
      <x:c r="C89" s="170" t="n">
        <x:v>200</x:v>
      </x:c>
      <x:c r="D89" s="170" t="n">
        <x:v>500</x:v>
      </x:c>
      <x:c r="E89" s="170" t="n">
        <x:v>900</x:v>
      </x:c>
      <x:c r="F89" s="170" t="n">
        <x:f>CHOOSE($C$4,C89,D89,E89)</x:f>
        <x:v>500</x:v>
      </x:c>
      <x:c r="G89" s="170" t="str">
        <x:v>GBP/deal</x:v>
      </x:c>
      <x:c r="H89" s="170" t="str">
        <x:v>Minimum fee floor</x:v>
      </x:c>
    </x:row>
    <x:row r="90">
      <x:c r="A90"/>
      <x:c r="B90" s="170" t="str">
        <x:v>Tier A document/review fee</x:v>
      </x:c>
      <x:c r="C90" s="170" t="n">
        <x:v>10</x:v>
      </x:c>
      <x:c r="D90" s="170" t="n">
        <x:v>25</x:v>
      </x:c>
      <x:c r="E90" s="170" t="n">
        <x:v>50</x:v>
      </x:c>
      <x:c r="F90" s="170" t="n">
        <x:f>CHOOSE($C$4,C90,D90,E90)</x:f>
        <x:v>25</x:v>
      </x:c>
      <x:c r="G90" s="170" t="str">
        <x:v>GBP/deal</x:v>
      </x:c>
      <x:c r="H90" s="170" t="str">
        <x:v>Light review</x:v>
      </x:c>
    </x:row>
    <x:row r="91">
      <x:c r="A91"/>
      <x:c r="B91" s="170" t="str">
        <x:v>Tier B document/review fee</x:v>
      </x:c>
      <x:c r="C91" s="170" t="n">
        <x:v>40</x:v>
      </x:c>
      <x:c r="D91" s="170" t="n">
        <x:v>90</x:v>
      </x:c>
      <x:c r="E91" s="170" t="n">
        <x:v>150</x:v>
      </x:c>
      <x:c r="F91" s="170" t="n">
        <x:f>CHOOSE($C$4,C91,D91,E91)</x:f>
        <x:v>90</x:v>
      </x:c>
      <x:c r="G91" s="170" t="str">
        <x:v>GBP/deal</x:v>
      </x:c>
      <x:c r="H91" s="170" t="str">
        <x:v>API-assisted review</x:v>
      </x:c>
    </x:row>
    <x:row r="92">
      <x:c r="A92"/>
      <x:c r="B92" s="170" t="str">
        <x:v>Tier C document/review fee</x:v>
      </x:c>
      <x:c r="C92" s="170" t="n">
        <x:v>150</x:v>
      </x:c>
      <x:c r="D92" s="170" t="n">
        <x:v>300</x:v>
      </x:c>
      <x:c r="E92" s="170" t="n">
        <x:v>600</x:v>
      </x:c>
      <x:c r="F92" s="170" t="n">
        <x:f>CHOOSE($C$4,C92,D92,E92)</x:f>
        <x:v>300</x:v>
      </x:c>
      <x:c r="G92" s="170" t="str">
        <x:v>GBP/deal</x:v>
      </x:c>
      <x:c r="H92" s="170" t="str">
        <x:v>Manual/paper-heavy review</x:v>
      </x:c>
    </x:row>
    <x:row r="93">
      <x:c r="A93"/>
      <x:c r="B93" s="170" t="str">
        <x:v>Tier A dispute/amendment fee</x:v>
      </x:c>
      <x:c r="C93" s="170" t="n">
        <x:v>50</x:v>
      </x:c>
      <x:c r="D93" s="170" t="n">
        <x:v>100</x:v>
      </x:c>
      <x:c r="E93" s="170" t="n">
        <x:v>200</x:v>
      </x:c>
      <x:c r="F93" s="170" t="n">
        <x:f>CHOOSE($C$4,C93,D93,E93)</x:f>
        <x:v>100</x:v>
      </x:c>
      <x:c r="G93" s="170" t="str">
        <x:v>GBP/event</x:v>
      </x:c>
      <x:c r="H93" s="170" t="str">
        <x:v>Lower dispute complexity</x:v>
      </x:c>
    </x:row>
    <x:row r="94">
      <x:c r="A94"/>
      <x:c r="B94" s="170" t="str">
        <x:v>Tier B dispute/amendment fee</x:v>
      </x:c>
      <x:c r="C94" s="170" t="n">
        <x:v>100</x:v>
      </x:c>
      <x:c r="D94" s="170" t="n">
        <x:v>200</x:v>
      </x:c>
      <x:c r="E94" s="170" t="n">
        <x:v>400</x:v>
      </x:c>
      <x:c r="F94" s="170" t="n">
        <x:f>CHOOSE($C$4,C94,D94,E94)</x:f>
        <x:v>200</x:v>
      </x:c>
      <x:c r="G94" s="170" t="str">
        <x:v>GBP/event</x:v>
      </x:c>
      <x:c r="H94" s="170" t="str">
        <x:v>Medium complexity</x:v>
      </x:c>
    </x:row>
    <x:row r="95">
      <x:c r="A95"/>
      <x:c r="B95" s="170" t="str">
        <x:v>Tier C dispute/amendment fee</x:v>
      </x:c>
      <x:c r="C95" s="170" t="n">
        <x:v>250</x:v>
      </x:c>
      <x:c r="D95" s="170" t="n">
        <x:v>500</x:v>
      </x:c>
      <x:c r="E95" s="170" t="n">
        <x:v>1000</x:v>
      </x:c>
      <x:c r="F95" s="170" t="n">
        <x:f>CHOOSE($C$4,C95,D95,E95)</x:f>
        <x:v>500</x:v>
      </x:c>
      <x:c r="G95" s="170" t="str">
        <x:v>GBP/event</x:v>
      </x:c>
      <x:c r="H95" s="170" t="str">
        <x:v>Paper disputes are expensive</x:v>
      </x:c>
    </x:row>
    <x:row r="96">
      <x:c r="A96"/>
      <x:c r="B96" s="170" t="str">
        <x:v>Tier A eBL/API handling cost</x:v>
      </x:c>
      <x:c r="C96" s="170" t="n">
        <x:v>1</x:v>
      </x:c>
      <x:c r="D96" s="170" t="n">
        <x:v>3</x:v>
      </x:c>
      <x:c r="E96" s="170" t="n">
        <x:v>8</x:v>
      </x:c>
      <x:c r="F96" s="170" t="n">
        <x:f>CHOOSE($C$4,C96,D96,E96)</x:f>
        <x:v>3</x:v>
      </x:c>
      <x:c r="G96" s="170" t="str">
        <x:v>GBP/deal</x:v>
      </x:c>
      <x:c r="H96" s="170" t="str">
        <x:v>eBL platform/API/validation cost; quote-based</x:v>
      </x:c>
    </x:row>
    <x:row r="97">
      <x:c r="A97"/>
      <x:c r="B97" s="170" t="str">
        <x:v>Tier B carrier/API handling cost</x:v>
      </x:c>
      <x:c r="C97" s="170" t="n">
        <x:v>3</x:v>
      </x:c>
      <x:c r="D97" s="170" t="n">
        <x:v>10</x:v>
      </x:c>
      <x:c r="E97" s="170" t="n">
        <x:v>25</x:v>
      </x:c>
      <x:c r="F97" s="170" t="n">
        <x:f>CHOOSE($C$4,C97,D97,E97)</x:f>
        <x:v>10</x:v>
      </x:c>
      <x:c r="G97" s="170" t="str">
        <x:v>GBP/deal</x:v>
      </x:c>
      <x:c r="H97" s="170" t="str">
        <x:v>Carrier/DCSA/API lookup + reconciliation</x:v>
      </x:c>
    </x:row>
    <x:row r="98">
      <x:c r="A98"/>
      <x:c r="B98" s="170" t="str">
        <x:v>Tier C paper/forensics handling cost</x:v>
      </x:c>
      <x:c r="C98" s="170" t="n">
        <x:v>50</x:v>
      </x:c>
      <x:c r="D98" s="170" t="n">
        <x:v>150</x:v>
      </x:c>
      <x:c r="E98" s="170" t="n">
        <x:v>400</x:v>
      </x:c>
      <x:c r="F98" s="170" t="n">
        <x:f>CHOOSE($C$4,C98,D98,E98)</x:f>
        <x:v>150</x:v>
      </x:c>
      <x:c r="G98" s="170" t="str">
        <x:v>GBP/deal</x:v>
      </x:c>
      <x:c r="H98" s="170" t="str">
        <x:v>Courier/originals/forensics partner fallback</x:v>
      </x:c>
    </x:row>
    <x:row r="99">
      <x:c r="A99"/>
      <x:c r="B99" s="170" t="str">
        <x:v>Tier A human review cost</x:v>
      </x:c>
      <x:c r="C99" s="170" t="n">
        <x:v>1</x:v>
      </x:c>
      <x:c r="D99" s="170" t="n">
        <x:v>3</x:v>
      </x:c>
      <x:c r="E99" s="170" t="n">
        <x:v>8</x:v>
      </x:c>
      <x:c r="F99" s="170" t="n">
        <x:f>CHOOSE($C$4,C99,D99,E99)</x:f>
        <x:v>3</x:v>
      </x:c>
      <x:c r="G99" s="170" t="str">
        <x:v>GBP/deal</x:v>
      </x:c>
      <x:c r="H99" s="170" t="str">
        <x:v>AI-assisted light examiner time</x:v>
      </x:c>
    </x:row>
    <x:row r="100">
      <x:c r="A100"/>
      <x:c r="B100" s="170" t="str">
        <x:v>Tier B human review cost</x:v>
      </x:c>
      <x:c r="C100" s="170" t="n">
        <x:v>8</x:v>
      </x:c>
      <x:c r="D100" s="170" t="n">
        <x:v>20</x:v>
      </x:c>
      <x:c r="E100" s="170" t="n">
        <x:v>50</x:v>
      </x:c>
      <x:c r="F100" s="170" t="n">
        <x:f>CHOOSE($C$4,C100,D100,E100)</x:f>
        <x:v>20</x:v>
      </x:c>
      <x:c r="G100" s="170" t="str">
        <x:v>GBP/deal</x:v>
      </x:c>
      <x:c r="H100" s="170" t="str">
        <x:v>Examiner plus carrier-source check</x:v>
      </x:c>
    </x:row>
    <x:row r="101">
      <x:c r="A101"/>
      <x:c r="B101" s="170" t="str">
        <x:v>Tier C human review cost</x:v>
      </x:c>
      <x:c r="C101" s="170" t="n">
        <x:v>40</x:v>
      </x:c>
      <x:c r="D101" s="170" t="n">
        <x:v>120</x:v>
      </x:c>
      <x:c r="E101" s="170" t="n">
        <x:v>250</x:v>
      </x:c>
      <x:c r="F101" s="170" t="n">
        <x:f>CHOOSE($C$4,C101,D101,E101)</x:f>
        <x:v>120</x:v>
      </x:c>
      <x:c r="G101" s="170" t="str">
        <x:v>GBP/deal</x:v>
      </x:c>
      <x:c r="H101" s="170" t="str">
        <x:v>Manual examiner + paper workflow</x:v>
      </x:c>
    </x:row>
    <x:row r="102">
      <x:c r="A102"/>
      <x:c r="B102" s="170" t="str">
        <x:v>Tier A support cost</x:v>
      </x:c>
      <x:c r="C102" s="170" t="n">
        <x:v>1</x:v>
      </x:c>
      <x:c r="D102" s="170" t="n">
        <x:v>2</x:v>
      </x:c>
      <x:c r="E102" s="170" t="n">
        <x:v>5</x:v>
      </x:c>
      <x:c r="F102" s="170" t="n">
        <x:f>CHOOSE($C$4,C102,D102,E102)</x:f>
        <x:v>2</x:v>
      </x:c>
      <x:c r="G102" s="170" t="str">
        <x:v>GBP/deal</x:v>
      </x:c>
      <x:c r="H102" s="170" t="str">
        <x:v>Low-touch self-serve</x:v>
      </x:c>
    </x:row>
    <x:row r="103">
      <x:c r="A103"/>
      <x:c r="B103" s="170" t="str">
        <x:v>Tier B support cost</x:v>
      </x:c>
      <x:c r="C103" s="170" t="n">
        <x:v>3</x:v>
      </x:c>
      <x:c r="D103" s="170" t="n">
        <x:v>6</x:v>
      </x:c>
      <x:c r="E103" s="170" t="n">
        <x:v>12</x:v>
      </x:c>
      <x:c r="F103" s="170" t="n">
        <x:f>CHOOSE($C$4,C103,D103,E103)</x:f>
        <x:v>6</x:v>
      </x:c>
      <x:c r="G103" s="170" t="str">
        <x:v>GBP/deal</x:v>
      </x:c>
      <x:c r="H103" s="170" t="str">
        <x:v>Assisted verification</x:v>
      </x:c>
    </x:row>
    <x:row r="104">
      <x:c r="A104"/>
      <x:c r="B104" s="170" t="str">
        <x:v>Tier C support cost</x:v>
      </x:c>
      <x:c r="C104" s="170" t="n">
        <x:v>8</x:v>
      </x:c>
      <x:c r="D104" s="170" t="n">
        <x:v>20</x:v>
      </x:c>
      <x:c r="E104" s="170" t="n">
        <x:v>50</x:v>
      </x:c>
      <x:c r="F104" s="170" t="n">
        <x:f>CHOOSE($C$4,C104,D104,E104)</x:f>
        <x:v>20</x:v>
      </x:c>
      <x:c r="G104" s="170" t="str">
        <x:v>GBP/deal</x:v>
      </x:c>
      <x:c r="H104" s="170" t="str">
        <x:v>Manual coordination</x:v>
      </x:c>
    </x:row>
    <x:row r="105">
      <x:c r="A105"/>
      <x:c r="B105" s="170" t="str">
        <x:v>Tier A dispute rate</x:v>
      </x:c>
      <x:c r="C105" s="170" t="n">
        <x:v>0.02</x:v>
      </x:c>
      <x:c r="D105" s="170" t="n">
        <x:v>0.04</x:v>
      </x:c>
      <x:c r="E105" s="170" t="n">
        <x:v>0.07</x:v>
      </x:c>
      <x:c r="F105" s="170" t="n">
        <x:f>CHOOSE($C$4,C105,D105,E105)</x:f>
        <x:v>0.04</x:v>
      </x:c>
      <x:c r="G105" s="170" t="str">
        <x:v>% deals</x:v>
      </x:c>
      <x:c r="H105" s="170" t="str">
        <x:v>Lower source-document risk</x:v>
      </x:c>
    </x:row>
    <x:row r="106">
      <x:c r="A106"/>
      <x:c r="B106" s="170" t="str">
        <x:v>Tier B dispute rate</x:v>
      </x:c>
      <x:c r="C106" s="170" t="n">
        <x:v>0.06</x:v>
      </x:c>
      <x:c r="D106" s="170" t="n">
        <x:v>0.1</x:v>
      </x:c>
      <x:c r="E106" s="170" t="n">
        <x:v>0.15</x:v>
      </x:c>
      <x:c r="F106" s="170" t="n">
        <x:f>CHOOSE($C$4,C106,D106,E106)</x:f>
        <x:v>0.1</x:v>
      </x:c>
      <x:c r="G106" s="170" t="str">
        <x:v>% deals</x:v>
      </x:c>
      <x:c r="H106" s="170" t="str">
        <x:v>Medium mismatch risk</x:v>
      </x:c>
    </x:row>
    <x:row r="107">
      <x:c r="A107"/>
      <x:c r="B107" s="170" t="str">
        <x:v>Tier C dispute rate</x:v>
      </x:c>
      <x:c r="C107" s="170" t="n">
        <x:v>0.12</x:v>
      </x:c>
      <x:c r="D107" s="170" t="n">
        <x:v>0.2</x:v>
      </x:c>
      <x:c r="E107" s="170" t="n">
        <x:v>0.3</x:v>
      </x:c>
      <x:c r="F107" s="170" t="n">
        <x:f>CHOOSE($C$4,C107,D107,E107)</x:f>
        <x:v>0.2</x:v>
      </x:c>
      <x:c r="G107" s="170" t="str">
        <x:v>% deals</x:v>
      </x:c>
      <x:c r="H107" s="170" t="str">
        <x:v>Paper/originals risk</x:v>
      </x:c>
    </x:row>
    <x:row r="108">
      <x:c r="A108"/>
      <x:c r="B108" s="170" t="str">
        <x:v>Tier A dispute handling cost</x:v>
      </x:c>
      <x:c r="C108" s="170" t="n">
        <x:v>30</x:v>
      </x:c>
      <x:c r="D108" s="170" t="n">
        <x:v>60</x:v>
      </x:c>
      <x:c r="E108" s="170" t="n">
        <x:v>120</x:v>
      </x:c>
      <x:c r="F108" s="170" t="n">
        <x:f>CHOOSE($C$4,C108,D108,E108)</x:f>
        <x:v>60</x:v>
      </x:c>
      <x:c r="G108" s="170" t="str">
        <x:v>GBP/event</x:v>
      </x:c>
      <x:c r="H108" s="170" t="str">
        <x:v>Internal handling cost</x:v>
      </x:c>
    </x:row>
    <x:row r="109">
      <x:c r="A109"/>
      <x:c r="B109" s="170" t="str">
        <x:v>Tier B dispute handling cost</x:v>
      </x:c>
      <x:c r="C109" s="170" t="n">
        <x:v>60</x:v>
      </x:c>
      <x:c r="D109" s="170" t="n">
        <x:v>120</x:v>
      </x:c>
      <x:c r="E109" s="170" t="n">
        <x:v>250</x:v>
      </x:c>
      <x:c r="F109" s="170" t="n">
        <x:f>CHOOSE($C$4,C109,D109,E109)</x:f>
        <x:v>120</x:v>
      </x:c>
      <x:c r="G109" s="170" t="str">
        <x:v>GBP/event</x:v>
      </x:c>
      <x:c r="H109" s="170" t="str">
        <x:v>Internal handling cost</x:v>
      </x:c>
    </x:row>
    <x:row r="110">
      <x:c r="A110"/>
      <x:c r="B110" s="170" t="str">
        <x:v>Tier C dispute handling cost</x:v>
      </x:c>
      <x:c r="C110" s="170" t="n">
        <x:v>150</x:v>
      </x:c>
      <x:c r="D110" s="170" t="n">
        <x:v>350</x:v>
      </x:c>
      <x:c r="E110" s="170" t="n">
        <x:v>750</x:v>
      </x:c>
      <x:c r="F110" s="170" t="n">
        <x:f>CHOOSE($C$4,C110,D110,E110)</x:f>
        <x:v>350</x:v>
      </x:c>
      <x:c r="G110" s="170" t="str">
        <x:v>GBP/event</x:v>
      </x:c>
      <x:c r="H110" s="170" t="str">
        <x:v>Internal handling cost</x:v>
      </x:c>
    </x:row>
    <x:row r="111">
      <x:c r="A111"/>
      <x:c r="B111" s="170" t="str">
        <x:v>Tier A risk score</x:v>
      </x:c>
      <x:c r="C111" s="170" t="n">
        <x:v>1</x:v>
      </x:c>
      <x:c r="D111" s="170" t="n">
        <x:v>1</x:v>
      </x:c>
      <x:c r="E111" s="170" t="n">
        <x:v>2</x:v>
      </x:c>
      <x:c r="F111" s="170" t="n">
        <x:f>CHOOSE($C$4,C111,D111,E111)</x:f>
        <x:v>1</x:v>
      </x:c>
      <x:c r="G111" s="170" t="str">
        <x:v>1 low - 5 high</x:v>
      </x:c>
      <x:c r="H111" s="170" t="str">
        <x:v>Model score for risk narrative</x:v>
      </x:c>
    </x:row>
    <x:row r="112">
      <x:c r="A112"/>
      <x:c r="B112" s="170" t="str">
        <x:v>Tier B risk score</x:v>
      </x:c>
      <x:c r="C112" s="170" t="n">
        <x:v>2</x:v>
      </x:c>
      <x:c r="D112" s="170" t="n">
        <x:v>3</x:v>
      </x:c>
      <x:c r="E112" s="170" t="n">
        <x:v>3</x:v>
      </x:c>
      <x:c r="F112" s="170" t="n">
        <x:f>CHOOSE($C$4,C112,D112,E112)</x:f>
        <x:v>3</x:v>
      </x:c>
      <x:c r="G112" s="170" t="str">
        <x:v>1 low - 5 high</x:v>
      </x:c>
      <x:c r="H112" s="170" t="str">
        <x:v>Model score for risk narrative</x:v>
      </x:c>
    </x:row>
    <x:row r="113">
      <x:c r="A113"/>
      <x:c r="B113" s="170" t="str">
        <x:v>Tier C risk score</x:v>
      </x:c>
      <x:c r="C113" s="170" t="n">
        <x:v>4</x:v>
      </x:c>
      <x:c r="D113" s="170" t="n">
        <x:v>5</x:v>
      </x:c>
      <x:c r="E113" s="170" t="n">
        <x:v>5</x:v>
      </x:c>
      <x:c r="F113" s="170" t="n">
        <x:f>CHOOSE($C$4,C113,D113,E113)</x:f>
        <x:v>5</x:v>
      </x:c>
      <x:c r="G113" s="170" t="str">
        <x:v>1 low - 5 high</x:v>
      </x:c>
      <x:c r="H113" s="170" t="str">
        <x:v>Model score for risk narrative</x:v>
      </x:c>
    </x:row>
    <x:row r="114">
      <x:c r="A114"/>
      <x:c r="B114" s="170" t="str">
        <x:v>Tier A SLA days</x:v>
      </x:c>
      <x:c r="C114" s="170" t="n">
        <x:v>0.02</x:v>
      </x:c>
      <x:c r="D114" s="170" t="n">
        <x:v>0.05</x:v>
      </x:c>
      <x:c r="E114" s="170" t="n">
        <x:v>0.1</x:v>
      </x:c>
      <x:c r="F114" s="170" t="n">
        <x:f>CHOOSE($C$4,C114,D114,E114)</x:f>
        <x:v>0.05</x:v>
      </x:c>
      <x:c r="G114" s="170" t="str">
        <x:v>days</x:v>
      </x:c>
      <x:c r="H114" s="170" t="str">
        <x:v>Minutes to hours</x:v>
      </x:c>
    </x:row>
    <x:row r="115">
      <x:c r="A115"/>
      <x:c r="B115" s="170" t="str">
        <x:v>Tier B SLA days</x:v>
      </x:c>
      <x:c r="C115" s="170" t="n">
        <x:v>0.25</x:v>
      </x:c>
      <x:c r="D115" s="170" t="n">
        <x:v>0.5</x:v>
      </x:c>
      <x:c r="E115" s="170" t="n">
        <x:v>1</x:v>
      </x:c>
      <x:c r="F115" s="170" t="n">
        <x:f>CHOOSE($C$4,C115,D115,E115)</x:f>
        <x:v>0.5</x:v>
      </x:c>
      <x:c r="G115" s="170" t="str">
        <x:v>days</x:v>
      </x:c>
      <x:c r="H115" s="170" t="str">
        <x:v>Same day to one day</x:v>
      </x:c>
    </x:row>
    <x:row r="116">
      <x:c r="A116"/>
      <x:c r="B116" s="170" t="str">
        <x:v>Tier C SLA days</x:v>
      </x:c>
      <x:c r="C116" s="170" t="n">
        <x:v>5</x:v>
      </x:c>
      <x:c r="D116" s="170" t="n">
        <x:v>7</x:v>
      </x:c>
      <x:c r="E116" s="170" t="n">
        <x:v>10</x:v>
      </x:c>
      <x:c r="F116" s="170" t="n">
        <x:f>CHOOSE($C$4,C116,D116,E116)</x:f>
        <x:v>7</x:v>
      </x:c>
      <x:c r="G116" s="170" t="str">
        <x:v>days</x:v>
      </x:c>
      <x:c r="H116" s="170" t="str">
        <x:v>Courier/originals path</x:v>
      </x:c>
    </x:row>
    <x:row r="117">
      <x:c r="A117"/>
      <x:c r="B117" s="170" t="str">
        <x:v>Tier A docs/deal</x:v>
      </x:c>
      <x:c r="C117" s="170" t="n">
        <x:v>2</x:v>
      </x:c>
      <x:c r="D117" s="170" t="n">
        <x:v>3</x:v>
      </x:c>
      <x:c r="E117" s="170" t="n">
        <x:v>4</x:v>
      </x:c>
      <x:c r="F117" s="170" t="n">
        <x:f>CHOOSE($C$4,C117,D117,E117)</x:f>
        <x:v>3</x:v>
      </x:c>
      <x:c r="G117" s="170" t="str">
        <x:v>docs/deal</x:v>
      </x:c>
      <x:c r="H117" s="170" t="str">
        <x:v>Digital doc bundle</x:v>
      </x:c>
    </x:row>
    <x:row r="118">
      <x:c r="A118"/>
      <x:c r="B118" s="170" t="str">
        <x:v>Tier B docs/deal</x:v>
      </x:c>
      <x:c r="C118" s="170" t="n">
        <x:v>4</x:v>
      </x:c>
      <x:c r="D118" s="170" t="n">
        <x:v>6</x:v>
      </x:c>
      <x:c r="E118" s="170" t="n">
        <x:v>8</x:v>
      </x:c>
      <x:c r="F118" s="170" t="n">
        <x:f>CHOOSE($C$4,C118,D118,E118)</x:f>
        <x:v>6</x:v>
      </x:c>
      <x:c r="G118" s="170" t="str">
        <x:v>docs/deal</x:v>
      </x:c>
      <x:c r="H118" s="170" t="str">
        <x:v>Carrier/API verified bundle</x:v>
      </x:c>
    </x:row>
    <x:row r="119">
      <x:c r="A119"/>
      <x:c r="B119" s="170" t="str">
        <x:v>Tier C docs/deal</x:v>
      </x:c>
      <x:c r="C119" s="170" t="n">
        <x:v>6</x:v>
      </x:c>
      <x:c r="D119" s="170" t="n">
        <x:v>9</x:v>
      </x:c>
      <x:c r="E119" s="170" t="n">
        <x:v>12</x:v>
      </x:c>
      <x:c r="F119" s="170" t="n">
        <x:f>CHOOSE($C$4,C119,D119,E119)</x:f>
        <x:v>9</x:v>
      </x:c>
      <x:c r="G119" s="170" t="str">
        <x:v>docs/deal</x:v>
      </x:c>
      <x:c r="H119" s="170" t="str">
        <x:v>Paper/originals bundle</x:v>
      </x:c>
    </x:row>
    <x:row r="120">
      <x:c r="A120"/>
      <x:c r="B120" s="170" t="str">
        <x:v>-- CUSTOMER ACQUISITION CROSS-CHECK --</x:v>
      </x:c>
      <x:c r="C120" s="170"/>
      <x:c r="D120" s="170"/>
      <x:c r="E120" s="170"/>
      <x:c r="F120" s="170"/>
      <x:c r="G120" s="170"/>
      <x:c r="H120" s="170"/>
    </x:row>
    <x:row r="121">
      <x:c r="A121"/>
      <x:c r="B121" t="str">
        <x:v>Deals per active customer Yr1</x:v>
      </x:c>
      <x:c r="C121" t="n">
        <x:v>1.5</x:v>
      </x:c>
      <x:c r="D121" t="n">
        <x:v>3</x:v>
      </x:c>
      <x:c r="E121" t="n">
        <x:v>5</x:v>
      </x:c>
      <x:c r="F121" t="n">
        <x:f>CHOOSE($C$4,C121,D121,E121)</x:f>
        <x:v>3</x:v>
      </x:c>
      <x:c r="G121" t="str">
        <x:v>deals/customer/yr</x:v>
      </x:c>
      <x:c r="H121" t="str">
        <x:v>Commercial sanity check; P&amp;L remains driven by deal count</x:v>
      </x:c>
    </x:row>
    <x:row r="122">
      <x:c r="A122"/>
      <x:c r="B122" t="str">
        <x:v>Deals per active customer Yr2</x:v>
      </x:c>
      <x:c r="C122" t="n">
        <x:v>2</x:v>
      </x:c>
      <x:c r="D122" t="n">
        <x:v>4</x:v>
      </x:c>
      <x:c r="E122" t="n">
        <x:v>6</x:v>
      </x:c>
      <x:c r="F122" t="n">
        <x:f>CHOOSE($C$4,C122,D122,E122)</x:f>
        <x:v>4</x:v>
      </x:c>
      <x:c r="G122" t="str">
        <x:v>deals/customer/yr</x:v>
      </x:c>
      <x:c r="H122" t="str">
        <x:v>Commercial sanity check; should improve with repeat usage</x:v>
      </x:c>
    </x:row>
    <x:row r="123">
      <x:c r="A123"/>
      <x:c r="B123" t="str">
        <x:v>Deals per active customer Yr3</x:v>
      </x:c>
      <x:c r="C123" t="n">
        <x:v>2.5</x:v>
      </x:c>
      <x:c r="D123" t="n">
        <x:v>6</x:v>
      </x:c>
      <x:c r="E123" t="n">
        <x:v>10</x:v>
      </x:c>
      <x:c r="F123" t="n">
        <x:f>CHOOSE($C$4,C123,D123,E123)</x:f>
        <x:v>6</x:v>
      </x:c>
      <x:c r="G123" t="str">
        <x:v>deals/customer/yr</x:v>
      </x:c>
      <x:c r="H123" t="str">
        <x:v>Commercial sanity check; high case assumes repeat platform usage</x:v>
      </x:c>
    </x:row>
    <x:row r="125">
      <x:c r="A125"/>
      <x:c r="B125" s="268" t="str">
        <x:v>-- ADDITIONAL REVENUE STREAMS --</x:v>
      </x:c>
      <x:c r="C125" s="268"/>
      <x:c r="D125" s="268"/>
      <x:c r="E125" s="268"/>
      <x:c r="F125" s="268"/>
      <x:c r="G125" s="268"/>
      <x:c r="H125" s="268"/>
    </x:row>
    <x:row r="126">
      <x:c r="A126"/>
      <x:c r="B126" t="str">
        <x:v>First-deal discount rate</x:v>
      </x:c>
      <x:c r="C126" t="n">
        <x:v>0.25</x:v>
      </x:c>
      <x:c r="D126" t="n">
        <x:v>0.5</x:v>
      </x:c>
      <x:c r="E126" t="n">
        <x:v>0.5</x:v>
      </x:c>
      <x:c r="F126" t="n">
        <x:f>CHOOSE($C$4,C126,D126,E126)</x:f>
        <x:v>0.5</x:v>
      </x:c>
      <x:c r="G126" t="str">
        <x:v>% discount</x:v>
      </x:c>
      <x:c r="H126" t="str">
        <x:v>Applies to first deal per implied active customer in Year 1 only</x:v>
      </x:c>
    </x:row>
    <x:row r="127">
      <x:c r="A127"/>
      <x:c r="B127" t="str">
        <x:v>Tier B expedited review uptake</x:v>
      </x:c>
      <x:c r="C127" t="n">
        <x:v>0.05</x:v>
      </x:c>
      <x:c r="D127" t="n">
        <x:v>0.1</x:v>
      </x:c>
      <x:c r="E127" t="n">
        <x:v>0.2</x:v>
      </x:c>
      <x:c r="F127" t="n">
        <x:f>CHOOSE($C$4,C127,D127,E127)</x:f>
        <x:v>0.1</x:v>
      </x:c>
      <x:c r="G127" t="str">
        <x:v>% Tier B deals</x:v>
      </x:c>
      <x:c r="H127" t="str">
        <x:v>Optional same-day/priority review</x:v>
      </x:c>
    </x:row>
    <x:row r="128">
      <x:c r="A128"/>
      <x:c r="B128" t="str">
        <x:v>Tier C expedited review uptake</x:v>
      </x:c>
      <x:c r="C128" t="n">
        <x:v>0.1</x:v>
      </x:c>
      <x:c r="D128" t="n">
        <x:v>0.2</x:v>
      </x:c>
      <x:c r="E128" t="n">
        <x:v>0.35</x:v>
      </x:c>
      <x:c r="F128" t="n">
        <x:f>CHOOSE($C$4,C128,D128,E128)</x:f>
        <x:v>0.2</x:v>
      </x:c>
      <x:c r="G128" t="str">
        <x:v>% Tier C deals</x:v>
      </x:c>
      <x:c r="H128" t="str">
        <x:v>Urgent paper/originals workflow</x:v>
      </x:c>
    </x:row>
    <x:row r="129">
      <x:c r="A129"/>
      <x:c r="B129" t="str">
        <x:v>Tier B expedited review fee</x:v>
      </x:c>
      <x:c r="C129" t="n">
        <x:v>75</x:v>
      </x:c>
      <x:c r="D129" t="n">
        <x:v>150</x:v>
      </x:c>
      <x:c r="E129" t="n">
        <x:v>300</x:v>
      </x:c>
      <x:c r="F129" t="n">
        <x:f>CHOOSE($C$4,C129,D129,E129)</x:f>
        <x:v>150</x:v>
      </x:c>
      <x:c r="G129" t="str">
        <x:v>GBP/deal</x:v>
      </x:c>
      <x:c r="H129" t="str">
        <x:v>Customer-facing fee</x:v>
      </x:c>
    </x:row>
    <x:row r="130">
      <x:c r="A130"/>
      <x:c r="B130" t="str">
        <x:v>Tier C expedited review fee</x:v>
      </x:c>
      <x:c r="C130" t="n">
        <x:v>150</x:v>
      </x:c>
      <x:c r="D130" t="n">
        <x:v>300</x:v>
      </x:c>
      <x:c r="E130" t="n">
        <x:v>600</x:v>
      </x:c>
      <x:c r="F130" t="n">
        <x:f>CHOOSE($C$4,C130,D130,E130)</x:f>
        <x:v>300</x:v>
      </x:c>
      <x:c r="G130" t="str">
        <x:v>GBP/deal</x:v>
      </x:c>
      <x:c r="H130" t="str">
        <x:v>Customer-facing fee</x:v>
      </x:c>
    </x:row>
    <x:row r="131">
      <x:c r="A131"/>
      <x:c r="B131" t="str">
        <x:v>KYC/KYB onboarding fee / counterparty</x:v>
      </x:c>
      <x:c r="C131" t="n">
        <x:v>5</x:v>
      </x:c>
      <x:c r="D131" t="n">
        <x:v>15</x:v>
      </x:c>
      <x:c r="E131" t="n">
        <x:v>40</x:v>
      </x:c>
      <x:c r="F131" t="n">
        <x:f>CHOOSE($C$4,C131,D131,E131)</x:f>
        <x:v>15</x:v>
      </x:c>
      <x:c r="G131" t="str">
        <x:v>GBP/party</x:v>
      </x:c>
      <x:c r="H131" t="str">
        <x:v>Can be charged or bundled into first deal</x:v>
      </x:c>
    </x:row>
    <x:row r="132">
      <x:c r="A132"/>
      <x:c r="B132" t="str">
        <x:v>Tier C forensics pass-through markup</x:v>
      </x:c>
      <x:c r="C132" t="n">
        <x:v>0.05</x:v>
      </x:c>
      <x:c r="D132" t="n">
        <x:v>0.2</x:v>
      </x:c>
      <x:c r="E132" t="n">
        <x:v>0.35</x:v>
      </x:c>
      <x:c r="F132" t="n">
        <x:f>CHOOSE($C$4,C132,D132,E132)</x:f>
        <x:v>0.2</x:v>
      </x:c>
      <x:c r="G132" t="str">
        <x:v>% over cost</x:v>
      </x:c>
      <x:c r="H132" t="str">
        <x:v>Pass-through plus margin on paper/forensics partner costs</x:v>
      </x:c>
    </x:row>
    <x:row r="133">
      <x:c r="A133"/>
      <x:c r="B133" t="str">
        <x:v>Tier C courier/original handling fee</x:v>
      </x:c>
      <x:c r="C133" t="n">
        <x:v>25</x:v>
      </x:c>
      <x:c r="D133" t="n">
        <x:v>75</x:v>
      </x:c>
      <x:c r="E133" t="n">
        <x:v>150</x:v>
      </x:c>
      <x:c r="F133" t="n">
        <x:f>CHOOSE($C$4,C133,D133,E133)</x:f>
        <x:v>75</x:v>
      </x:c>
      <x:c r="G133" t="str">
        <x:v>GBP/deal</x:v>
      </x:c>
      <x:c r="H133" t="str">
        <x:v>Pass-through or marked-up physical-original handling</x:v>
      </x:c>
    </x:row>
    <x:row r="134">
      <x:c r="A134"/>
      <x:c r="B134" t="str">
        <x:v>Discrepancy cure / waiver fee</x:v>
      </x:c>
      <x:c r="C134" t="n">
        <x:v>50</x:v>
      </x:c>
      <x:c r="D134" t="n">
        <x:v>150</x:v>
      </x:c>
      <x:c r="E134" t="n">
        <x:v>300</x:v>
      </x:c>
      <x:c r="F134" t="n">
        <x:f>CHOOSE($C$4,C134,D134,E134)</x:f>
        <x:v>150</x:v>
      </x:c>
      <x:c r="G134" t="str">
        <x:v>GBP/case</x:v>
      </x:c>
      <x:c r="H134" t="str">
        <x:v>Separate from full dispute fee</x:v>
      </x:c>
    </x:row>
    <x:row r="135">
      <x:c r="A135"/>
      <x:c r="B135" t="str">
        <x:v>% disputed deals resolved as cure/waiver</x:v>
      </x:c>
      <x:c r="C135" t="n">
        <x:v>0.25</x:v>
      </x:c>
      <x:c r="D135" t="n">
        <x:v>0.4</x:v>
      </x:c>
      <x:c r="E135" t="n">
        <x:v>0.6</x:v>
      </x:c>
      <x:c r="F135" t="n">
        <x:f>CHOOSE($C$4,C135,D135,E135)</x:f>
        <x:v>0.4</x:v>
      </x:c>
      <x:c r="G135" t="str">
        <x:v>% disputed</x:v>
      </x:c>
      <x:c r="H135" t="str">
        <x:v>Lighter workflow than external dispute</x:v>
      </x:c>
    </x:row>
    <x:row r="136">
      <x:c r="A136"/>
      <x:c r="B136" t="str">
        <x:v>Partner setup / integration fee</x:v>
      </x:c>
      <x:c r="C136" t="n">
        <x:v>2500</x:v>
      </x:c>
      <x:c r="D136" t="n">
        <x:v>7500</x:v>
      </x:c>
      <x:c r="E136" t="n">
        <x:v>15000</x:v>
      </x:c>
      <x:c r="F136" t="n">
        <x:f>CHOOSE($C$4,C136,D136,E136)</x:f>
        <x:v>7500</x:v>
      </x:c>
      <x:c r="G136" t="str">
        <x:v>GBP/new partner</x:v>
      </x:c>
      <x:c r="H136" t="str">
        <x:v>Forwarder/platform/API setup</x:v>
      </x:c>
    </x:row>
    <x:row r="137">
      <x:c r="A137"/>
      <x:c r="B137" t="str">
        <x:v>Monthly minimum / committed volume fee</x:v>
      </x:c>
      <x:c r="C137" t="n">
        <x:v>0</x:v>
      </x:c>
      <x:c r="D137" t="n">
        <x:v>750</x:v>
      </x:c>
      <x:c r="E137" t="n">
        <x:v>2500</x:v>
      </x:c>
      <x:c r="F137" t="n">
        <x:f>CHOOSE($C$4,C137,D137,E137)</x:f>
        <x:v>750</x:v>
      </x:c>
      <x:c r="G137" t="str">
        <x:v>GBP/partner/mo</x:v>
      </x:c>
      <x:c r="H137" t="str">
        <x:v>API/platform customers; separate from SaaS subscription</x:v>
      </x:c>
    </x:row>
    <x:row r="138">
      <x:c r="A138"/>
      <x:c r="B138" t="str">
        <x:v>Archive / audit record fee</x:v>
      </x:c>
      <x:c r="C138" t="n">
        <x:v>1</x:v>
      </x:c>
      <x:c r="D138" t="n">
        <x:v>3</x:v>
      </x:c>
      <x:c r="E138" t="n">
        <x:v>8</x:v>
      </x:c>
      <x:c r="F138" t="n">
        <x:f>CHOOSE($C$4,C138,D138,E138)</x:f>
        <x:v>3</x:v>
      </x:c>
      <x:c r="G138" t="str">
        <x:v>GBP/deal</x:v>
      </x:c>
      <x:c r="H138" t="str">
        <x:v>Audit pack / document retention fee</x:v>
      </x:c>
    </x:row>
    <x:row r="139">
      <x:c r="A139"/>
      <x:c r="B139" t="str">
        <x:v>Yield share enabled?</x:v>
      </x:c>
      <x:c r="C139" t="n">
        <x:v>0</x:v>
      </x:c>
      <x:c r="D139" t="n">
        <x:v>0</x:v>
      </x:c>
      <x:c r="E139" t="n">
        <x:v>1</x:v>
      </x:c>
      <x:c r="F139" t="n">
        <x:f>CHOOSE($C$4,C139,D139,E139)</x:f>
        <x:v>0</x:v>
      </x:c>
      <x:c r="G139" t="str">
        <x:v>0/1 toggle</x:v>
      </x:c>
      <x:c r="H139" t="str">
        <x:v>Regulated upside only; keep off in base case</x:v>
      </x:c>
    </x:row>
    <x:row r="140">
      <x:c r="A140"/>
      <x:c r="B140" t="str">
        <x:v>Yield share annual rate</x:v>
      </x:c>
      <x:c r="C140" t="n">
        <x:v>0</x:v>
      </x:c>
      <x:c r="D140" t="n">
        <x:v>0</x:v>
      </x:c>
      <x:c r="E140" t="n">
        <x:v>0.015</x:v>
      </x:c>
      <x:c r="F140" t="n">
        <x:f>CHOOSE($C$4,C140,D140,E140)</x:f>
        <x:v>0</x:v>
      </x:c>
      <x:c r="G140" t="str">
        <x:v>% GMV</x:v>
      </x:c>
      <x:c r="H140" t="str">
        <x:v>Only if regulated yield infrastructure is approved</x:v>
      </x:c>
    </x:row>
    <x:row r="141">
      <x:c r="A141"/>
      <x:c r="B141" t="str">
        <x:v>Yield share retained by Blockmediary</x:v>
      </x:c>
      <x:c r="C141" t="n">
        <x:v>0</x:v>
      </x:c>
      <x:c r="D141" t="n">
        <x:v>0</x:v>
      </x:c>
      <x:c r="E141" t="n">
        <x:v>0.2</x:v>
      </x:c>
      <x:c r="F141" t="n">
        <x:f>CHOOSE($C$4,C141,D141,E141)</x:f>
        <x:v>0</x:v>
      </x:c>
      <x:c r="G141" t="str">
        <x:v>% yield</x:v>
      </x:c>
      <x:c r="H141" t="str">
        <x:v>Upside scenario only</x:v>
      </x:c>
    </x:row>
    <x:row r="142">
      <x:c r="A142"/>
      <x:c r="B142" s="270" t="str">
        <x:v>-- RETAINED-RISK COST OFFSETS --</x:v>
      </x:c>
      <x:c r="C142" s="270"/>
      <x:c r="D142" s="270"/>
      <x:c r="E142" s="270"/>
      <x:c r="F142" s="270"/>
      <x:c r="G142" s="270"/>
      <x:c r="H142" s="270"/>
    </x:row>
    <x:row r="143">
      <x:c r="A143"/>
      <x:c r="B143" t="str">
        <x:v>Carrier/eBL integration maintenance</x:v>
      </x:c>
      <x:c r="C143" t="n">
        <x:v>5000</x:v>
      </x:c>
      <x:c r="D143" t="n">
        <x:v>15000</x:v>
      </x:c>
      <x:c r="E143" t="n">
        <x:v>40000</x:v>
      </x:c>
      <x:c r="F143" t="n">
        <x:f>CHOOSE($C$4,C143,D143,E143)</x:f>
        <x:v>15000</x:v>
      </x:c>
      <x:c r="G143" t="str">
        <x:v>GBP/yr</x:v>
      </x:c>
      <x:c r="H143" t="str">
        <x:v>Ongoing partner integration, certification and API maintenance</x:v>
      </x:c>
    </x:row>
    <x:row r="144">
      <x:c r="A144"/>
      <x:c r="B144" t="str">
        <x:v>Forensics partner retainer</x:v>
      </x:c>
      <x:c r="C144" t="n">
        <x:v>5000</x:v>
      </x:c>
      <x:c r="D144" t="n">
        <x:v>20000</x:v>
      </x:c>
      <x:c r="E144" t="n">
        <x:v>60000</x:v>
      </x:c>
      <x:c r="F144" t="n">
        <x:f>CHOOSE($C$4,C144,D144,E144)</x:f>
        <x:v>20000</x:v>
      </x:c>
      <x:c r="G144" t="str">
        <x:v>GBP/yr</x:v>
      </x:c>
      <x:c r="H144" t="str">
        <x:v>Traydstream/Cleareye-style retainer or minimum commitment</x:v>
      </x:c>
    </x:row>
    <x:row r="145">
      <x:c r="A145"/>
      <x:c r="B145" t="str">
        <x:v>Fraud database build / governance Y1</x:v>
      </x:c>
      <x:c r="C145" t="n">
        <x:v>10000</x:v>
      </x:c>
      <x:c r="D145" t="n">
        <x:v>40000</x:v>
      </x:c>
      <x:c r="E145" t="n">
        <x:v>100000</x:v>
      </x:c>
      <x:c r="F145" t="n">
        <x:f>CHOOSE($C$4,C145,D145,E145)</x:f>
        <x:v>40000</x:v>
      </x:c>
      <x:c r="G145" t="str">
        <x:v>GBP Yr1</x:v>
      </x:c>
      <x:c r="H145" t="str">
        <x:v>BoL/document hash database; privacy/governance work</x:v>
      </x:c>
    </x:row>
    <x:row r="146">
      <x:c r="A146"/>
      <x:c r="B146" t="str">
        <x:v>Fraud database ongoing governance</x:v>
      </x:c>
      <x:c r="C146" t="n">
        <x:v>5000</x:v>
      </x:c>
      <x:c r="D146" t="n">
        <x:v>15000</x:v>
      </x:c>
      <x:c r="E146" t="n">
        <x:v>50000</x:v>
      </x:c>
      <x:c r="F146" t="n">
        <x:f>CHOOSE($C$4,C146,D146,E146)</x:f>
        <x:v>15000</x:v>
      </x:c>
      <x:c r="G146" t="str">
        <x:v>GBP/yr</x:v>
      </x:c>
      <x:c r="H146" t="str">
        <x:v>Hosting, governance and data-sharing overhead</x:v>
      </x:c>
    </x:row>
    <x:row r="147">
      <x:c r="A147"/>
      <x:c r="B147" t="str">
        <x:v>QA second-review rate</x:v>
      </x:c>
      <x:c r="C147" t="n">
        <x:v>0.05</x:v>
      </x:c>
      <x:c r="D147" t="n">
        <x:v>0.12</x:v>
      </x:c>
      <x:c r="E147" t="n">
        <x:v>0.25</x:v>
      </x:c>
      <x:c r="F147" t="n">
        <x:f>CHOOSE($C$4,C147,D147,E147)</x:f>
        <x:v>0.12</x:v>
      </x:c>
      <x:c r="G147" t="str">
        <x:v>% deals</x:v>
      </x:c>
      <x:c r="H147" t="str">
        <x:v>Four-eyes check for high-risk or out-of-envelope decisions</x:v>
      </x:c>
    </x:row>
    <x:row r="148">
      <x:c r="A148"/>
      <x:c r="B148" t="str">
        <x:v>QA second-review cost</x:v>
      </x:c>
      <x:c r="C148" t="n">
        <x:v>15</x:v>
      </x:c>
      <x:c r="D148" t="n">
        <x:v>40</x:v>
      </x:c>
      <x:c r="E148" t="n">
        <x:v>100</x:v>
      </x:c>
      <x:c r="F148" t="n">
        <x:f>CHOOSE($C$4,C148,D148,E148)</x:f>
        <x:v>40</x:v>
      </x:c>
      <x:c r="G148" t="str">
        <x:v>GBP/review</x:v>
      </x:c>
      <x:c r="H148" t="str">
        <x:v>Examiner QA cost</x:v>
      </x:c>
    </x:row>
    <x:row r="149">
      <x:c r="A149"/>
      <x:c r="B149" t="str">
        <x:v>External dispute forum rate</x:v>
      </x:c>
      <x:c r="C149" t="n">
        <x:v>0.01</x:v>
      </x:c>
      <x:c r="D149" t="n">
        <x:v>0.03</x:v>
      </x:c>
      <x:c r="E149" t="n">
        <x:v>0.08</x:v>
      </x:c>
      <x:c r="F149" t="n">
        <x:f>CHOOSE($C$4,C149,D149,E149)</x:f>
        <x:v>0.03</x:v>
      </x:c>
      <x:c r="G149" t="str">
        <x:v>% deals</x:v>
      </x:c>
      <x:c r="H149" t="str">
        <x:v>Expert determination / formal dispute escalation</x:v>
      </x:c>
    </x:row>
    <x:row r="150">
      <x:c r="A150"/>
      <x:c r="B150" t="str">
        <x:v>External dispute forum cost</x:v>
      </x:c>
      <x:c r="C150" t="n">
        <x:v>500</x:v>
      </x:c>
      <x:c r="D150" t="n">
        <x:v>1500</x:v>
      </x:c>
      <x:c r="E150" t="n">
        <x:v>5000</x:v>
      </x:c>
      <x:c r="F150" t="n">
        <x:f>CHOOSE($C$4,C150,D150,E150)</x:f>
        <x:v>1500</x:v>
      </x:c>
      <x:c r="G150" t="str">
        <x:v>GBP/event</x:v>
      </x:c>
      <x:c r="H150" t="str">
        <x:v>Should be passed through where possible</x:v>
      </x:c>
    </x:row>
    <x:row r="151">
      <x:c r="A151"/>
      <x:c r="B151" t="str">
        <x:v>Operational error / wrongful release reserve</x:v>
      </x:c>
      <x:c r="C151" t="n">
        <x:v>0.005</x:v>
      </x:c>
      <x:c r="D151" t="n">
        <x:v>0.01</x:v>
      </x:c>
      <x:c r="E151" t="n">
        <x:v>0.025</x:v>
      </x:c>
      <x:c r="F151" t="n">
        <x:f>CHOOSE($C$4,C151,D151,E151)</x:f>
        <x:v>0.01</x:v>
      </x:c>
      <x:c r="G151" t="str">
        <x:v>% revenue</x:v>
      </x:c>
      <x:c r="H151" t="str">
        <x:v>Retained process-error risk, not delivery risk</x:v>
      </x:c>
    </x:row>
    <x:row r="152">
      <x:c r="A152"/>
      <x:c r="B152" t="str">
        <x:v>Insurance deductible reserve</x:v>
      </x:c>
      <x:c r="C152" t="n">
        <x:v>5000</x:v>
      </x:c>
      <x:c r="D152" t="n">
        <x:v>15000</x:v>
      </x:c>
      <x:c r="E152" t="n">
        <x:v>40000</x:v>
      </x:c>
      <x:c r="F152" t="n">
        <x:f>CHOOSE($C$4,C152,D152,E152)</x:f>
        <x:v>15000</x:v>
      </x:c>
      <x:c r="G152" t="str">
        <x:v>GBP/yr</x:v>
      </x:c>
      <x:c r="H152" t="str">
        <x:v>Expected out-of-pocket claim/deductible buffer</x:v>
      </x:c>
    </x:row>
    <x:row r="153">
      <x:c r="A153"/>
      <x:c r="B153" t="str">
        <x:v>KMS / multisig / key security ops</x:v>
      </x:c>
      <x:c r="C153" t="n">
        <x:v>3000</x:v>
      </x:c>
      <x:c r="D153" t="n">
        <x:v>12000</x:v>
      </x:c>
      <x:c r="E153" t="n">
        <x:v>35000</x:v>
      </x:c>
      <x:c r="F153" t="n">
        <x:f>CHOOSE($C$4,C153,D153,E153)</x:f>
        <x:v>12000</x:v>
      </x:c>
      <x:c r="G153" t="str">
        <x:v>GBP/yr</x:v>
      </x:c>
      <x:c r="H153" t="str">
        <x:v>Custody/key-management tooling and monitoring</x:v>
      </x:c>
    </x:row>
    <x:row r="154">
      <x:c r="A154"/>
      <x:c r="B154" t="str">
        <x:v>Regulatory reporting ops</x:v>
      </x:c>
      <x:c r="C154" t="n">
        <x:v>5000</x:v>
      </x:c>
      <x:c r="D154" t="n">
        <x:v>18000</x:v>
      </x:c>
      <x:c r="E154" t="n">
        <x:v>60000</x:v>
      </x:c>
      <x:c r="F154" t="n">
        <x:f>CHOOSE($C$4,C154,D154,E154)</x:f>
        <x:v>18000</x:v>
      </x:c>
      <x:c r="G154" t="str">
        <x:v>GBP/yr</x:v>
      </x:c>
      <x:c r="H154" t="str">
        <x:v>SAR/escalation handling, ongoing screening ops</x:v>
      </x:c>
    </x:row>
    <x:row r="155">
      <x:c r="A155"/>
      <x:c r="B155" t="str">
        <x:v>Partner/channel commission</x:v>
      </x:c>
      <x:c r="C155" t="n">
        <x:v>0.02</x:v>
      </x:c>
      <x:c r="D155" t="n">
        <x:v>0.05</x:v>
      </x:c>
      <x:c r="E155" t="n">
        <x:v>0.1</x:v>
      </x:c>
      <x:c r="F155" t="n">
        <x:f>CHOOSE($C$4,C155,D155,E155)</x:f>
        <x:v>0.05</x:v>
      </x:c>
      <x:c r="G155" t="str">
        <x:v>% revenue</x:v>
      </x:c>
      <x:c r="H155" t="str">
        <x:v>Forwarder/platform referral or revenue share</x:v>
      </x:c>
    </x:row>
    <x:row r="156">
      <x:c r="A156"/>
      <x:c r="B156" t="str">
        <x:v>Fee collection leakage</x:v>
      </x:c>
      <x:c r="C156" t="n">
        <x:v>0.005</x:v>
      </x:c>
      <x:c r="D156" t="n">
        <x:v>0.01</x:v>
      </x:c>
      <x:c r="E156" t="n">
        <x:v>0.03</x:v>
      </x:c>
      <x:c r="F156" t="n">
        <x:f>CHOOSE($C$4,C156,D156,E156)</x:f>
        <x:v>0.01</x:v>
      </x:c>
      <x:c r="G156" t="str">
        <x:v>% non-escrow fees</x:v>
      </x:c>
      <x:c r="H156" t="str">
        <x:v>Fees not always collected from escrow flow</x:v>
      </x:c>
    </x:row>
    <x:row r="157">
      <x:c r="A157"/>
      <x:c r="B157" t="str">
        <x:v>Partner/API outage manual fallback rate</x:v>
      </x:c>
      <x:c r="C157" t="n">
        <x:v>0.01</x:v>
      </x:c>
      <x:c r="D157" t="n">
        <x:v>0.03</x:v>
      </x:c>
      <x:c r="E157" t="n">
        <x:v>0.08</x:v>
      </x:c>
      <x:c r="F157" t="n">
        <x:f>CHOOSE($C$4,C157,D157,E157)</x:f>
        <x:v>0.03</x:v>
      </x:c>
      <x:c r="G157" t="str">
        <x:v>% Tier B deals</x:v>
      </x:c>
      <x:c r="H157" t="str">
        <x:v>When carrier/API lookup fails</x:v>
      </x:c>
    </x:row>
    <x:row r="158">
      <x:c r="A158"/>
      <x:c r="B158" t="str">
        <x:v>Partner/API outage fallback cost</x:v>
      </x:c>
      <x:c r="C158" t="n">
        <x:v>25</x:v>
      </x:c>
      <x:c r="D158" t="n">
        <x:v>75</x:v>
      </x:c>
      <x:c r="E158" t="n">
        <x:v>200</x:v>
      </x:c>
      <x:c r="F158" t="n">
        <x:f>CHOOSE($C$4,C158,D158,E158)</x:f>
        <x:v>75</x:v>
      </x:c>
      <x:c r="G158" t="str">
        <x:v>GBP/deal</x:v>
      </x:c>
      <x:c r="H158" t="str">
        <x:v>Manual fallback cost</x:v>
      </x:c>
    </x:row>
    <x:row r="159">
      <x:c r="A159"/>
      <x:c r="B159" t="str">
        <x:v>Smart contract incident reserve</x:v>
      </x:c>
      <x:c r="C159" t="n">
        <x:v>10000</x:v>
      </x:c>
      <x:c r="D159" t="n">
        <x:v>30000</x:v>
      </x:c>
      <x:c r="E159" t="n">
        <x:v>100000</x:v>
      </x:c>
      <x:c r="F159" t="n">
        <x:f>CHOOSE($C$4,C159,D159,E159)</x:f>
        <x:v>30000</x:v>
      </x:c>
      <x:c r="G159" t="str">
        <x:v>GBP/yr</x:v>
      </x:c>
      <x:c r="H159" t="str">
        <x:v>Emergency audit, redeploy, legal response</x:v>
      </x:c>
    </x:row>
    <x:row r="160">
      <x:c r="A160"/>
      <x:c r="B160" t="str">
        <x:v>Regulatory delay contingency months</x:v>
      </x:c>
      <x:c r="C160" t="n">
        <x:v>1</x:v>
      </x:c>
      <x:c r="D160" t="n">
        <x:v>3</x:v>
      </x:c>
      <x:c r="E160" t="n">
        <x:v>6</x:v>
      </x:c>
      <x:c r="F160" t="n">
        <x:f>CHOOSE($C$4,C160,D160,E160)</x:f>
        <x:v>3</x:v>
      </x:c>
      <x:c r="G160" t="str">
        <x:v>months</x:v>
      </x:c>
      <x:c r="H160" t="str">
        <x:v>Funding reserve only; not delivery/performance risk</x:v>
      </x:c>
    </x:row>
    <x:row r="161">
      <x:c r="A161"/>
      <x:c r="B161" t="str">
        <x:v>Monthly burn proxy for delay reserve</x:v>
      </x:c>
      <x:c r="C161" t="n">
        <x:v>50000</x:v>
      </x:c>
      <x:c r="D161" t="n">
        <x:v>80000</x:v>
      </x:c>
      <x:c r="E161" t="n">
        <x:v>125000</x:v>
      </x:c>
      <x:c r="F161" t="n">
        <x:f>CHOOSE($C$4,C161,D161,E161)</x:f>
        <x:v>80000</x:v>
      </x:c>
      <x:c r="G161" t="str">
        <x:v>GBP/mo</x:v>
      </x:c>
      <x:c r="H161" t="str">
        <x:v>Approx burn during regulatory delay</x:v>
      </x:c>
    </x:row>
    <x:row r="162">
      <x:c r="A162"/>
      <x:c r="B162" t="str">
        <x:v>Delivery/performance liability reserve</x:v>
      </x:c>
      <x:c r="C162" t="n">
        <x:v>0</x:v>
      </x:c>
      <x:c r="D162" t="n">
        <x:v>0</x:v>
      </x:c>
      <x:c r="E162" t="n">
        <x:v>0</x:v>
      </x:c>
      <x:c r="F162" t="n">
        <x:f>CHOOSE($C$4,C162,D162,E162)</x:f>
        <x:v>0</x:v>
      </x:c>
      <x:c r="G162" t="str">
        <x:v>GBP</x:v>
      </x:c>
      <x:c r="H162" t="str">
        <x:v>Set to zero by design: release is against documents, not goods delivery</x:v>
      </x:c>
    </x:row>
    <x:row r="163">
      <x:c r="A163"/>
      <x:c r="B163" t="str">
        <x:v>Liability wording legal review</x:v>
      </x:c>
      <x:c r="C163" t="n">
        <x:v>2500</x:v>
      </x:c>
      <x:c r="D163" t="n">
        <x:v>7500</x:v>
      </x:c>
      <x:c r="E163" t="n">
        <x:v>20000</x:v>
      </x:c>
      <x:c r="F163" t="n">
        <x:f>CHOOSE($C$4,C163,D163,E163)</x:f>
        <x:v>7500</x:v>
      </x:c>
      <x:c r="G163" t="str">
        <x:v>GBP Yr1</x:v>
      </x:c>
      <x:c r="H163" t="str">
        <x:v>Drafting/confirming documents-not-goods liability boundary</x:v>
      </x:c>
    </x:row>
    <x:row r="164">
      <x:c r="A164"/>
      <x:c r="B164" t="str">
        <x:v>Document-source indemnity legal review</x:v>
      </x:c>
      <x:c r="C164" t="n">
        <x:v>2500</x:v>
      </x:c>
      <x:c r="D164" t="n">
        <x:v>7500</x:v>
      </x:c>
      <x:c r="E164" t="n">
        <x:v>20000</x:v>
      </x:c>
      <x:c r="F164" t="n">
        <x:f>CHOOSE($C$4,C164,D164,E164)</x:f>
        <x:v>7500</x:v>
      </x:c>
      <x:c r="G164" t="str">
        <x:v>GBP Yr1</x:v>
      </x:c>
      <x:c r="H164" t="str">
        <x:v>Carrier/eBL/API/forensics contract risk allocation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ColWidth="8.6328125" defaultRowHeight="14.5"/>
  <x:cols>
    <x:col min="1" max="1" width="2" customWidth="1"/>
    <x:col min="2" max="2" width="46" customWidth="1"/>
    <x:col min="3" max="6" width="12" customWidth="1"/>
    <x:col min="7" max="7" width="10" customWidth="1"/>
    <x:col min="8" max="8" width="46" customWidth="1"/>
  </x:cols>
  <x:sheetData>
    <x:row r="2" ht="17.25" customHeight="1">
      <x:c r="B2" s="3" t="s">
        <x:v>160</x:v>
      </x:c>
    </x:row>
    <x:row r="3" ht="15" customHeight="1">
      <x:c r="B3" s="4" t="s">
        <x:v>161</x:v>
      </x:c>
    </x:row>
    <x:row r="5" ht="15" customHeight="1">
      <x:c r="B5" s="10" t="s">
        <x:v>162</x:v>
      </x:c>
      <x:c r="C5" s="10" t="s">
        <x:v>28</x:v>
      </x:c>
      <x:c r="D5" s="10" t="s">
        <x:v>29</x:v>
      </x:c>
      <x:c r="E5" s="10" t="s">
        <x:v>30</x:v>
      </x:c>
      <x:c r="F5" s="10" t="s">
        <x:v>163</x:v>
      </x:c>
      <x:c r="G5" s="10" t="s">
        <x:v>164</x:v>
      </x:c>
      <x:c r="H5" s="10" t="s">
        <x:v>33</x:v>
      </x:c>
    </x:row>
    <x:row r="6" ht="15" customHeight="1">
      <x:c r="B6" s="6" t="s">
        <x:v>165</x:v>
      </x:c>
      <x:c r="C6" s="11"/>
      <x:c r="D6" s="11"/>
      <x:c r="E6" s="11"/>
      <x:c r="F6" s="11"/>
      <x:c r="G6" s="11"/>
      <x:c r="H6" s="11"/>
    </x:row>
    <x:row r="7" ht="15" customHeight="1">
      <x:c r="B7" s="12" t="s">
        <x:v>166</x:v>
      </x:c>
      <x:c r="C7" s="21">
        <x:v>100</x:v>
      </x:c>
      <x:c r="D7" s="21">
        <x:v>100</x:v>
      </x:c>
      <x:c r="E7" s="21">
        <x:v>100</x:v>
      </x:c>
      <x:c r="F7" s="22" t="n">
        <x:f>CHOOSE(Assumptions!$C$4,C7,D7,E7)</x:f>
        <x:v>100</x:v>
      </x:c>
      <x:c r="G7" s="15" t="s">
        <x:v>167</x:v>
      </x:c>
      <x:c r="H7" s="16" t="s">
        <x:v>168</x:v>
      </x:c>
    </x:row>
    <x:row r="8" ht="15" customHeight="1">
      <x:c r="B8" s="12" t="s">
        <x:v>169</x:v>
      </x:c>
      <x:c r="C8" s="21">
        <x:v>30</x:v>
      </x:c>
      <x:c r="D8" s="21">
        <x:v>90</x:v>
      </x:c>
      <x:c r="E8" s="21">
        <x:v>180</x:v>
      </x:c>
      <x:c r="F8" s="22" t="n">
        <x:f>CHOOSE(Assumptions!$C$4,C8,D8,E8)</x:f>
        <x:v>90</x:v>
      </x:c>
      <x:c r="G8" s="15" t="s">
        <x:v>167</x:v>
      </x:c>
      <x:c r="H8" s="16" t="s">
        <x:v>170</x:v>
      </x:c>
    </x:row>
    <x:row r="9" ht="15" customHeight="1">
      <x:c r="B9" s="12" t="s">
        <x:v>171</x:v>
      </x:c>
      <x:c r="C9" s="21">
        <x:v>0</x:v>
      </x:c>
      <x:c r="D9" s="21">
        <x:v>63</x:v>
      </x:c>
      <x:c r="E9" s="21">
        <x:v>63</x:v>
      </x:c>
      <x:c r="F9" s="22" t="n">
        <x:f>CHOOSE(Assumptions!$C$4,C9,D9,E9)</x:f>
        <x:v>63</x:v>
      </x:c>
      <x:c r="G9" s="15" t="s">
        <x:v>167</x:v>
      </x:c>
      <x:c r="H9" s="16" t="s">
        <x:v>172</x:v>
      </x:c>
    </x:row>
    <x:row r="10" ht="15" customHeight="1">
      <x:c r="B10" s="12" t="s">
        <x:v>173</x:v>
      </x:c>
      <x:c r="C10" s="21">
        <x:v>50</x:v>
      </x:c>
      <x:c r="D10" s="21">
        <x:v>50</x:v>
      </x:c>
      <x:c r="E10" s="21">
        <x:v>50</x:v>
      </x:c>
      <x:c r="F10" s="22" t="n">
        <x:f>CHOOSE(Assumptions!$C$4,C10,D10,E10)</x:f>
        <x:v>50</x:v>
      </x:c>
      <x:c r="G10" s="15" t="s">
        <x:v>167</x:v>
      </x:c>
      <x:c r="H10" s="16" t="s">
        <x:v>174</x:v>
      </x:c>
    </x:row>
    <x:row r="11" ht="15" customHeight="1">
      <x:c r="B11" s="6" t="s">
        <x:v>175</x:v>
      </x:c>
      <x:c r="C11" s="11"/>
      <x:c r="D11" s="11"/>
      <x:c r="E11" s="11"/>
      <x:c r="F11" s="11"/>
      <x:c r="G11" s="11"/>
      <x:c r="H11" s="11"/>
    </x:row>
    <x:row r="12" ht="15" customHeight="1">
      <x:c r="B12" s="12" t="s">
        <x:v>176</x:v>
      </x:c>
      <x:c r="C12" s="21">
        <x:v>375</x:v>
      </x:c>
      <x:c r="D12" s="21">
        <x:v>1500</x:v>
      </x:c>
      <x:c r="E12" s="21">
        <x:v>3000</x:v>
      </x:c>
      <x:c r="F12" s="22" t="n">
        <x:f>CHOOSE(Assumptions!$C$4,C12,D12,E12)</x:f>
        <x:v>1500</x:v>
      </x:c>
      <x:c r="G12" s="15" t="s">
        <x:v>167</x:v>
      </x:c>
      <x:c r="H12" s="16" t="s">
        <x:v>177</x:v>
      </x:c>
    </x:row>
    <x:row r="13" ht="15" customHeight="1">
      <x:c r="B13" s="12" t="s">
        <x:v>178</x:v>
      </x:c>
      <x:c r="C13" s="21">
        <x:v>200</x:v>
      </x:c>
      <x:c r="D13" s="21">
        <x:v>600</x:v>
      </x:c>
      <x:c r="E13" s="21">
        <x:v>1500</x:v>
      </x:c>
      <x:c r="F13" s="22" t="n">
        <x:f>CHOOSE(Assumptions!$C$4,C13,D13,E13)</x:f>
        <x:v>600</x:v>
      </x:c>
      <x:c r="G13" s="15" t="s">
        <x:v>167</x:v>
      </x:c>
      <x:c r="H13" s="16" t="s">
        <x:v>179</x:v>
      </x:c>
    </x:row>
    <x:row r="14" ht="15" customHeight="1">
      <x:c r="B14" s="12" t="s">
        <x:v>180</x:v>
      </x:c>
      <x:c r="C14" s="21">
        <x:v>0</x:v>
      </x:c>
      <x:c r="D14" s="21">
        <x:v>1000</x:v>
      </x:c>
      <x:c r="E14" s="21">
        <x:v>3000</x:v>
      </x:c>
      <x:c r="F14" s="22" t="n">
        <x:f>CHOOSE(Assumptions!$C$4,C14,D14,E14)</x:f>
        <x:v>1000</x:v>
      </x:c>
      <x:c r="G14" s="15" t="s">
        <x:v>167</x:v>
      </x:c>
      <x:c r="H14" s="16" t="s">
        <x:v>181</x:v>
      </x:c>
    </x:row>
    <x:row r="15" ht="15" customHeight="1">
      <x:c r="B15" s="12" t="s">
        <x:v>182</x:v>
      </x:c>
      <x:c r="C15" s="21">
        <x:v>300</x:v>
      </x:c>
      <x:c r="D15" s="21">
        <x:v>900</x:v>
      </x:c>
      <x:c r="E15" s="21">
        <x:v>2500</x:v>
      </x:c>
      <x:c r="F15" s="22" t="n">
        <x:f>CHOOSE(Assumptions!$C$4,C15,D15,E15)</x:f>
        <x:v>900</x:v>
      </x:c>
      <x:c r="G15" s="15" t="s">
        <x:v>167</x:v>
      </x:c>
      <x:c r="H15" s="16" t="s">
        <x:v>183</x:v>
      </x:c>
    </x:row>
    <x:row r="16" ht="15" customHeight="1">
      <x:c r="B16" s="12" t="s">
        <x:v>184</x:v>
      </x:c>
      <x:c r="C16" s="21">
        <x:v>3000</x:v>
      </x:c>
      <x:c r="D16" s="21">
        <x:v>8000</x:v>
      </x:c>
      <x:c r="E16" s="21">
        <x:v>18000</x:v>
      </x:c>
      <x:c r="F16" s="22" t="n">
        <x:f>CHOOSE(Assumptions!$C$4,C16,D16,E16)</x:f>
        <x:v>8000</x:v>
      </x:c>
      <x:c r="G16" s="15" t="s">
        <x:v>167</x:v>
      </x:c>
      <x:c r="H16" s="16" t="s">
        <x:v>185</x:v>
      </x:c>
    </x:row>
    <x:row r="17" ht="15" customHeight="1">
      <x:c r="B17" s="6" t="s">
        <x:v>186</x:v>
      </x:c>
      <x:c r="C17" s="11"/>
      <x:c r="D17" s="11"/>
      <x:c r="E17" s="11"/>
      <x:c r="F17" s="11"/>
      <x:c r="G17" s="11"/>
      <x:c r="H17" s="11"/>
    </x:row>
    <x:row r="18" ht="21.75" customHeight="1">
      <x:c r="B18" s="31" t="s">
        <x:v>187</x:v>
      </x:c>
      <x:c r="C18" s="32">
        <x:v>8000</x:v>
      </x:c>
      <x:c r="D18" s="32">
        <x:v>25000</x:v>
      </x:c>
      <x:c r="E18" s="32">
        <x:v>60000</x:v>
      </x:c>
      <x:c r="F18" s="33" t="n">
        <x:f>CHOOSE(Assumptions!$C$4,C18,D18,E18)</x:f>
        <x:v>25000</x:v>
      </x:c>
      <x:c r="G18" s="15" t="s">
        <x:v>167</x:v>
      </x:c>
      <x:c r="H18" s="16" t="s">
        <x:v>188</x:v>
      </x:c>
    </x:row>
    <x:row r="19" ht="15" customHeight="1">
      <x:c r="B19" s="12" t="s">
        <x:v>189</x:v>
      </x:c>
      <x:c r="C19" s="21">
        <x:v>2000</x:v>
      </x:c>
      <x:c r="D19" s="21">
        <x:v>6000</x:v>
      </x:c>
      <x:c r="E19" s="21">
        <x:v>15000</x:v>
      </x:c>
      <x:c r="F19" s="22" t="n">
        <x:f>CHOOSE(Assumptions!$C$4,C19,D19,E19)</x:f>
        <x:v>6000</x:v>
      </x:c>
      <x:c r="G19" s="15" t="s">
        <x:v>167</x:v>
      </x:c>
      <x:c r="H19" s="16" t="s">
        <x:v>190</x:v>
      </x:c>
    </x:row>
    <x:row r="20" ht="15" customHeight="1">
      <x:c r="B20" s="12" t="s">
        <x:v>191</x:v>
      </x:c>
      <x:c r="C20" s="21">
        <x:v>1000</x:v>
      </x:c>
      <x:c r="D20" s="21">
        <x:v>3000</x:v>
      </x:c>
      <x:c r="E20" s="21">
        <x:v>8000</x:v>
      </x:c>
      <x:c r="F20" s="22" t="n">
        <x:f>CHOOSE(Assumptions!$C$4,C20,D20,E20)</x:f>
        <x:v>3000</x:v>
      </x:c>
      <x:c r="G20" s="15" t="s">
        <x:v>167</x:v>
      </x:c>
      <x:c r="H20" s="16" t="s">
        <x:v>192</x:v>
      </x:c>
    </x:row>
    <x:row r="21" ht="15" customHeight="1">
      <x:c r="B21" s="12" t="s">
        <x:v>193</x:v>
      </x:c>
      <x:c r="C21" s="21">
        <x:v>52</x:v>
      </x:c>
      <x:c r="D21" s="21">
        <x:v>60</x:v>
      </x:c>
      <x:c r="E21" s="21">
        <x:v>60</x:v>
      </x:c>
      <x:c r="F21" s="22" t="n">
        <x:f>CHOOSE(Assumptions!$C$4,C21,D21,E21)</x:f>
        <x:v>60</x:v>
      </x:c>
      <x:c r="G21" s="15" t="s">
        <x:v>167</x:v>
      </x:c>
      <x:c r="H21" s="16" t="s">
        <x:v>194</x:v>
      </x:c>
    </x:row>
    <x:row r="22" ht="15" customHeight="1">
      <x:c r="B22" s="6" t="s">
        <x:v>195</x:v>
      </x:c>
      <x:c r="C22" s="11"/>
      <x:c r="D22" s="11"/>
      <x:c r="E22" s="11"/>
      <x:c r="F22" s="11"/>
      <x:c r="G22" s="11"/>
      <x:c r="H22" s="11"/>
    </x:row>
    <x:row r="23" ht="15" customHeight="1">
      <x:c r="B23" s="12" t="s">
        <x:v>196</x:v>
      </x:c>
      <x:c r="C23" s="21">
        <x:v>12000</x:v>
      </x:c>
      <x:c r="D23" s="21">
        <x:v>30000</x:v>
      </x:c>
      <x:c r="E23" s="21">
        <x:v>60000</x:v>
      </x:c>
      <x:c r="F23" s="22" t="n">
        <x:f>CHOOSE(Assumptions!$C$4,C23,D23,E23)</x:f>
        <x:v>30000</x:v>
      </x:c>
      <x:c r="G23" s="15" t="s">
        <x:v>167</x:v>
      </x:c>
      <x:c r="H23" s="16" t="s">
        <x:v>197</x:v>
      </x:c>
    </x:row>
    <x:row r="24" ht="15" customHeight="1">
      <x:c r="B24" s="12" t="s">
        <x:v>198</x:v>
      </x:c>
      <x:c r="C24" s="21">
        <x:v>3000</x:v>
      </x:c>
      <x:c r="D24" s="21">
        <x:v>7000</x:v>
      </x:c>
      <x:c r="E24" s="21">
        <x:v>15000</x:v>
      </x:c>
      <x:c r="F24" s="22" t="n">
        <x:f>CHOOSE(Assumptions!$C$4,C24,D24,E24)</x:f>
        <x:v>7000</x:v>
      </x:c>
      <x:c r="G24" s="15" t="s">
        <x:v>167</x:v>
      </x:c>
      <x:c r="H24" s="16" t="s">
        <x:v>199</x:v>
      </x:c>
    </x:row>
    <x:row r="25" ht="15" customHeight="1">
      <x:c r="B25" s="6" t="s">
        <x:v>200</x:v>
      </x:c>
      <x:c r="C25" s="11"/>
      <x:c r="D25" s="11"/>
      <x:c r="E25" s="11"/>
      <x:c r="F25" s="11"/>
      <x:c r="G25" s="11"/>
      <x:c r="H25" s="11"/>
    </x:row>
    <x:row r="26" ht="15" customHeight="1">
      <x:c r="B26" s="12" t="s">
        <x:v>201</x:v>
      </x:c>
      <x:c r="C26" s="21">
        <x:v>15000</x:v>
      </x:c>
      <x:c r="D26" s="21">
        <x:v>40000</x:v>
      </x:c>
      <x:c r="E26" s="21">
        <x:v>90000</x:v>
      </x:c>
      <x:c r="F26" s="22" t="n">
        <x:f>CHOOSE(Assumptions!$C$4,C26,D26,E26)</x:f>
        <x:v>40000</x:v>
      </x:c>
      <x:c r="G26" s="15" t="s">
        <x:v>167</x:v>
      </x:c>
      <x:c r="H26" s="16" t="s">
        <x:v>202</x:v>
      </x:c>
    </x:row>
    <x:row r="27" ht="15" customHeight="1">
      <x:c r="B27" s="12" t="s">
        <x:v>203</x:v>
      </x:c>
      <x:c r="C27" s="21">
        <x:v>20000</x:v>
      </x:c>
      <x:c r="D27" s="21">
        <x:v>50000</x:v>
      </x:c>
      <x:c r="E27" s="21">
        <x:v>110000</x:v>
      </x:c>
      <x:c r="F27" s="22" t="n">
        <x:f>CHOOSE(Assumptions!$C$4,C27,D27,E27)</x:f>
        <x:v>50000</x:v>
      </x:c>
      <x:c r="G27" s="15" t="s">
        <x:v>167</x:v>
      </x:c>
      <x:c r="H27" s="16" t="s">
        <x:v>204</x:v>
      </x:c>
    </x:row>
    <x:row r="28" ht="15" customHeight="1">
      <x:c r="B28" s="12" t="s">
        <x:v>205</x:v>
      </x:c>
      <x:c r="C28" s="21">
        <x:v>3000</x:v>
      </x:c>
      <x:c r="D28" s="21">
        <x:v>9000</x:v>
      </x:c>
      <x:c r="E28" s="21">
        <x:v>20000</x:v>
      </x:c>
      <x:c r="F28" s="22" t="n">
        <x:f>CHOOSE(Assumptions!$C$4,C28,D28,E28)</x:f>
        <x:v>9000</x:v>
      </x:c>
      <x:c r="G28" s="15" t="s">
        <x:v>167</x:v>
      </x:c>
      <x:c r="H28" s="16" t="s">
        <x:v>206</x:v>
      </x:c>
    </x:row>
    <x:row r="29" ht="15" customHeight="1">
      <x:c r="B29" s="6" t="s">
        <x:v>207</x:v>
      </x:c>
      <x:c r="C29" s="11"/>
      <x:c r="D29" s="11"/>
      <x:c r="E29" s="11"/>
      <x:c r="F29" s="11"/>
      <x:c r="G29" s="11"/>
      <x:c r="H29" s="11"/>
    </x:row>
    <x:row r="30" ht="15" customHeight="1">
      <x:c r="B30" s="12" t="s">
        <x:v>208</x:v>
      </x:c>
      <x:c r="C30" s="21">
        <x:v>1500</x:v>
      </x:c>
      <x:c r="D30" s="21">
        <x:v>5000</x:v>
      </x:c>
      <x:c r="E30" s="21">
        <x:v>12000</x:v>
      </x:c>
      <x:c r="F30" s="22" t="n">
        <x:f>CHOOSE(Assumptions!$C$4,C30,D30,E30)</x:f>
        <x:v>5000</x:v>
      </x:c>
      <x:c r="G30" s="15" t="s">
        <x:v>167</x:v>
      </x:c>
      <x:c r="H30" s="16" t="s">
        <x:v>206</x:v>
      </x:c>
    </x:row>
    <x:row r="31" ht="15" customHeight="1">
      <x:c r="B31" s="12" t="s">
        <x:v>209</x:v>
      </x:c>
      <x:c r="C31" s="21">
        <x:v>1000</x:v>
      </x:c>
      <x:c r="D31" s="21">
        <x:v>4000</x:v>
      </x:c>
      <x:c r="E31" s="21">
        <x:v>10000</x:v>
      </x:c>
      <x:c r="F31" s="22" t="n">
        <x:f>CHOOSE(Assumptions!$C$4,C31,D31,E31)</x:f>
        <x:v>4000</x:v>
      </x:c>
      <x:c r="G31" s="15" t="s">
        <x:v>167</x:v>
      </x:c>
      <x:c r="H31" s="16" t="s">
        <x:v>206</x:v>
      </x:c>
    </x:row>
    <x:row r="32" ht="15" customHeight="1">
      <x:c r="B32" s="12" t="s">
        <x:v>210</x:v>
      </x:c>
      <x:c r="C32" s="21">
        <x:v>100</x:v>
      </x:c>
      <x:c r="D32" s="21">
        <x:v>300</x:v>
      </x:c>
      <x:c r="E32" s="21">
        <x:v>800</x:v>
      </x:c>
      <x:c r="F32" s="22" t="n">
        <x:f>CHOOSE(Assumptions!$C$4,C32,D32,E32)</x:f>
        <x:v>300</x:v>
      </x:c>
      <x:c r="G32" s="15" t="s">
        <x:v>167</x:v>
      </x:c>
      <x:c r="H32" s="16" t="s">
        <x:v>211</x:v>
      </x:c>
    </x:row>
    <x:row r="33" ht="15" customHeight="1">
      <x:c r="B33" s="6" t="s">
        <x:v>212</x:v>
      </x:c>
      <x:c r="C33" s="11"/>
      <x:c r="D33" s="11"/>
      <x:c r="E33" s="11"/>
      <x:c r="F33" s="11"/>
      <x:c r="G33" s="11"/>
      <x:c r="H33" s="11"/>
    </x:row>
    <x:row r="34" ht="15" customHeight="1">
      <x:c r="B34" s="12" t="s">
        <x:v>213</x:v>
      </x:c>
      <x:c r="C34" s="21">
        <x:v>1000</x:v>
      </x:c>
      <x:c r="D34" s="21">
        <x:v>5000</x:v>
      </x:c>
      <x:c r="E34" s="21">
        <x:v>15000</x:v>
      </x:c>
      <x:c r="F34" s="22" t="n">
        <x:f>CHOOSE(Assumptions!$C$4,C34,D34,E34)</x:f>
        <x:v>5000</x:v>
      </x:c>
      <x:c r="G34" s="15" t="s">
        <x:v>167</x:v>
      </x:c>
      <x:c r="H34" s="16" t="s">
        <x:v>214</x:v>
      </x:c>
    </x:row>
    <x:row r="35" ht="15" customHeight="1">
      <x:c r="B35" s="12" t="s">
        <x:v>215</x:v>
      </x:c>
      <x:c r="C35" s="21">
        <x:v>1000</x:v>
      </x:c>
      <x:c r="D35" s="21">
        <x:v>4000</x:v>
      </x:c>
      <x:c r="E35" s="21">
        <x:v>12000</x:v>
      </x:c>
      <x:c r="F35" s="22" t="n">
        <x:f>CHOOSE(Assumptions!$C$4,C35,D35,E35)</x:f>
        <x:v>4000</x:v>
      </x:c>
      <x:c r="G35" s="15" t="s">
        <x:v>167</x:v>
      </x:c>
      <x:c r="H35" s="16" t="s">
        <x:v>206</x:v>
      </x:c>
    </x:row>
    <x:row r="36" ht="15" customHeight="1">
      <x:c r="B36" s="6" t="s">
        <x:v>216</x:v>
      </x:c>
      <x:c r="C36" s="11"/>
      <x:c r="D36" s="11"/>
      <x:c r="E36" s="11"/>
      <x:c r="F36" s="11"/>
      <x:c r="G36" s="11"/>
      <x:c r="H36" s="11"/>
    </x:row>
    <x:row r="37" ht="15" customHeight="1">
      <x:c r="B37" s="12" t="s">
        <x:v>217</x:v>
      </x:c>
      <x:c r="C37" s="21">
        <x:v>1200</x:v>
      </x:c>
      <x:c r="D37" s="21">
        <x:v>3500</x:v>
      </x:c>
      <x:c r="E37" s="21">
        <x:v>9000</x:v>
      </x:c>
      <x:c r="F37" s="22" t="n">
        <x:f>CHOOSE(Assumptions!$C$4,C37,D37,E37)</x:f>
        <x:v>3500</x:v>
      </x:c>
      <x:c r="G37" s="15" t="s">
        <x:v>167</x:v>
      </x:c>
      <x:c r="H37" s="16" t="str">
        <x:v>Prepaid first-year insurance; do not also include Year 1 monthly insurance in P&amp;L.</x:v>
      </x:c>
    </x:row>
    <x:row r="38" ht="15" customHeight="1">
      <x:c r="B38" s="12" t="s">
        <x:v>218</x:v>
      </x:c>
      <x:c r="C38" s="21">
        <x:v>1000</x:v>
      </x:c>
      <x:c r="D38" s="21">
        <x:v>3000</x:v>
      </x:c>
      <x:c r="E38" s="21">
        <x:v>8000</x:v>
      </x:c>
      <x:c r="F38" s="22" t="n">
        <x:f>CHOOSE(Assumptions!$C$4,C38,D38,E38)</x:f>
        <x:v>3000</x:v>
      </x:c>
      <x:c r="G38" s="15" t="s">
        <x:v>167</x:v>
      </x:c>
      <x:c r="H38" s="16" t="str">
        <x:v>Prepaid first-year insurance; do not also include Year 1 monthly insurance in P&amp;L.</x:v>
      </x:c>
    </x:row>
    <x:row r="39" ht="15" customHeight="1">
      <x:c r="B39" s="12" t="s">
        <x:v>219</x:v>
      </x:c>
      <x:c r="C39" s="21">
        <x:v>800</x:v>
      </x:c>
      <x:c r="D39" s="21">
        <x:v>2500</x:v>
      </x:c>
      <x:c r="E39" s="21">
        <x:v>7000</x:v>
      </x:c>
      <x:c r="F39" s="22" t="n">
        <x:f>CHOOSE(Assumptions!$C$4,C39,D39,E39)</x:f>
        <x:v>2500</x:v>
      </x:c>
      <x:c r="G39" s="15" t="s">
        <x:v>167</x:v>
      </x:c>
      <x:c r="H39" s="16" t="str">
        <x:v>Prepaid first-year insurance; do not also include Year 1 monthly insurance in P&amp;L.</x:v>
      </x:c>
    </x:row>
    <x:row r="40" ht="15" customHeight="1">
      <x:c r="B40" s="6" t="s">
        <x:v>220</x:v>
      </x:c>
      <x:c r="C40" s="11"/>
      <x:c r="D40" s="11"/>
      <x:c r="E40" s="11"/>
      <x:c r="F40" s="11"/>
      <x:c r="G40" s="11"/>
      <x:c r="H40" s="11"/>
    </x:row>
    <x:row r="41" ht="15" customHeight="1">
      <x:c r="B41" s="12" t="s">
        <x:v>221</x:v>
      </x:c>
      <x:c r="C41" s="23">
        <x:v>0.1</x:v>
      </x:c>
      <x:c r="D41" s="23">
        <x:v>0.15</x:v>
      </x:c>
      <x:c r="E41" s="23">
        <x:v>0.2</x:v>
      </x:c>
      <x:c r="F41" s="24" t="n">
        <x:f>CHOOSE(Assumptions!$C$4,C41,D41,E41)</x:f>
        <x:v>0.15</x:v>
      </x:c>
      <x:c r="G41" s="15" t="s">
        <x:v>222</x:v>
      </x:c>
      <x:c r="H41" s="16" t="s">
        <x:v>223</x:v>
      </x:c>
    </x:row>
    <x:row r="42" ht="15" customHeight="1">
      <x:c r="B42" s="34" t="s">
        <x:v>224</x:v>
      </x:c>
      <x:c r="C42" s="35"/>
      <x:c r="D42" s="35"/>
      <x:c r="E42" s="35"/>
      <x:c r="F42" s="36" t="n">
        <x:f>SUMIF($G$6:$G$40,"£",$F$6:$F$40)</x:f>
        <x:v>209663</x:v>
      </x:c>
    </x:row>
    <x:row r="43" ht="15" customHeight="1">
      <x:c r="B43" s="12" t="s">
        <x:v>225</x:v>
      </x:c>
      <x:c r="C43" s="37"/>
      <x:c r="D43" s="37"/>
      <x:c r="E43" s="37"/>
      <x:c r="F43" s="38" t="n">
        <x:f>F42*F41</x:f>
        <x:v>31449.449999999997</x:v>
      </x:c>
    </x:row>
    <x:row r="44" ht="15" customHeight="1">
      <x:c r="B44" s="39" t="s">
        <x:v>226</x:v>
      </x:c>
      <x:c r="C44" s="40"/>
      <x:c r="D44" s="40"/>
      <x:c r="E44" s="40"/>
      <x:c r="F44" s="41" t="n">
        <x:f>F42+F43</x:f>
        <x:v>241112.45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ColWidth="8.6328125" defaultRowHeight="14.5"/>
  <x:cols>
    <x:col min="1" max="1" width="2" customWidth="1"/>
    <x:col min="2" max="2" width="40" customWidth="1"/>
    <x:col min="3" max="5" width="16" customWidth="1"/>
    <x:col min="6" max="6" width="36.43000030517578" hidden="0" customWidth="1"/>
  </x:cols>
  <x:sheetData>
    <x:row r="2" ht="17.25" customHeight="1">
      <x:c r="B2" s="3" t="s">
        <x:v>227</x:v>
      </x:c>
    </x:row>
    <x:row r="3" ht="15" customHeight="1">
      <x:c r="B3" s="4" t="s">
        <x:v>228</x:v>
      </x:c>
    </x:row>
    <x:row r="5" ht="15" customHeight="1">
      <x:c r="B5" s="10" t="s">
        <x:v>229</x:v>
      </x:c>
      <x:c r="C5" s="10" t="s">
        <x:v>230</x:v>
      </x:c>
      <x:c r="D5" s="10" t="s">
        <x:v>231</x:v>
      </x:c>
      <x:c r="E5" s="10" t="s">
        <x:v>232</x:v>
      </x:c>
      <x:c r="F5" s="10" t="s">
        <x:v>233</x:v>
      </x:c>
    </x:row>
    <x:row r="6" ht="15" customHeight="1">
      <x:c r="B6" s="6" t="s">
        <x:v>234</x:v>
      </x:c>
      <x:c r="C6" s="11"/>
      <x:c r="D6" s="11"/>
      <x:c r="E6" s="11"/>
      <x:c r="F6" s="11"/>
    </x:row>
    <x:row r="7" ht="21.75" customHeight="1">
      <x:c r="B7" s="12" t="s">
        <x:v>235</x:v>
      </x:c>
      <x:c r="C7" s="42" t="n">
        <x:f>Assumptions!$F$11</x:f>
        <x:v>180</x:v>
      </x:c>
      <x:c r="D7" s="42" t="n">
        <x:f>Assumptions!$F$12</x:f>
        <x:v>900</x:v>
      </x:c>
      <x:c r="E7" s="42" t="n">
        <x:f>Assumptions!$F$13</x:f>
        <x:v>3000</x:v>
      </x:c>
      <x:c r="F7" s="16" t="s">
        <x:v>236</x:v>
      </x:c>
    </x:row>
    <x:row r="8" ht="15" customHeight="1">
      <x:c r="B8" s="12" t="s">
        <x:v>237</x:v>
      </x:c>
      <x:c r="C8" s="43" t="n">
        <x:f>Assumptions!$F$14</x:f>
        <x:v>60000</x:v>
      </x:c>
      <x:c r="D8" s="43" t="n">
        <x:f>Assumptions!$F$14</x:f>
        <x:v>60000</x:v>
      </x:c>
      <x:c r="E8" s="43" t="n">
        <x:f>Assumptions!$F$14</x:f>
        <x:v>60000</x:v>
      </x:c>
      <x:c r="F8" s="16" t="s">
        <x:v>238</x:v>
      </x:c>
    </x:row>
    <x:row r="9" ht="21.75" customHeight="1">
      <x:c r="B9" s="12" t="s">
        <x:v>239</x:v>
      </x:c>
      <x:c r="C9" s="38" t="n">
        <x:f>C7*C8</x:f>
        <x:v>10800000</x:v>
      </x:c>
      <x:c r="D9" s="38" t="n">
        <x:f>D7*D8</x:f>
        <x:v>54000000</x:v>
      </x:c>
      <x:c r="E9" s="38" t="n">
        <x:f>E7*E8</x:f>
        <x:v>180000000</x:v>
      </x:c>
      <x:c r="F9" s="16" t="s">
        <x:v>240</x:v>
      </x:c>
    </x:row>
    <x:row r="10" ht="15" customHeight="1">
      <x:c r="B10" s="12" t="str">
        <x:v>Documents processed</x:v>
      </x:c>
      <x:c r="C10" s="42" t="n">
        <x:f>Tier_Economics!E7</x:f>
        <x:v>1215</x:v>
      </x:c>
      <x:c r="D10" s="42" t="n">
        <x:f>Tier_Economics!I7</x:f>
        <x:v>5265</x:v>
      </x:c>
      <x:c r="E10" s="42" t="n">
        <x:f>Tier_Economics!M7</x:f>
        <x:v>15300</x:v>
      </x:c>
      <x:c r="F10" s="16" t="str">
        <x:v>Tier-weighted docs/deal from Tier_Economics</x:v>
      </x:c>
    </x:row>
    <x:row r="11" ht="15" customHeight="1">
      <x:c r="B11" s="12" t="s">
        <x:v>241</x:v>
      </x:c>
      <x:c r="C11" s="42" t="n">
        <x:f>C7*Assumptions!$F$16</x:f>
        <x:v>360</x:v>
      </x:c>
      <x:c r="D11" s="42" t="n">
        <x:f>D7*Assumptions!$F$16</x:f>
        <x:v>1800</x:v>
      </x:c>
      <x:c r="E11" s="42" t="n">
        <x:f>E7*Assumptions!$F$16</x:f>
        <x:v>6000</x:v>
      </x:c>
      <x:c r="F11" s="16"/>
    </x:row>
    <x:row r="12" ht="15" customHeight="1">
      <x:c r="B12" s="12" t="str">
        <x:v>Disputed/amended deals</x:v>
      </x:c>
      <x:c r="C12" s="42" t="n">
        <x:f>Tier_Economics!E16</x:f>
        <x:v>23.58</x:v>
      </x:c>
      <x:c r="D12" s="42" t="n">
        <x:f>Tier_Economics!I16</x:f>
        <x:v>96.3</x:v>
      </x:c>
      <x:c r="E12" s="42" t="n">
        <x:f>Tier_Economics!M16</x:f>
        <x:v>264</x:v>
      </x:c>
      <x:c r="F12" s="16" t="str">
        <x:v>Tier-weighted dispute rates</x:v>
      </x:c>
    </x:row>
    <x:row r="13" ht="15" customHeight="1">
      <x:c r="B13" s="6" t="s">
        <x:v>242</x:v>
      </x:c>
      <x:c r="C13" s="11"/>
      <x:c r="D13" s="11"/>
      <x:c r="E13" s="11"/>
      <x:c r="F13" s="11"/>
    </x:row>
    <x:row r="14" ht="32.25" customHeight="1">
      <x:c r="B14" s="12" t="s">
        <x:v>243</x:v>
      </x:c>
      <x:c r="C14" s="43" t="n">
        <x:f>Tier_Economics!E12</x:f>
        <x:v>62730</x:v>
      </x:c>
      <x:c r="D14" s="43" t="n">
        <x:f>Tier_Economics!I12</x:f>
        <x:v>270450</x:v>
      </x:c>
      <x:c r="E14" s="43" t="n">
        <x:f>Tier_Economics!M12</x:f>
        <x:v>792000</x:v>
      </x:c>
      <x:c r="F14" s="16" t="str">
        <x:v>Tiered fee by A/B/C mix</x:v>
      </x:c>
    </x:row>
    <x:row r="15" ht="15" customHeight="1">
      <x:c r="B15" s="12" t="s">
        <x:v>244</x:v>
      </x:c>
      <x:c r="C15" s="43" t="n">
        <x:f>Tier_Economics!E14</x:f>
        <x:v>29565</x:v>
      </x:c>
      <x:c r="D15" s="43" t="n">
        <x:f>Tier_Economics!I14</x:f>
        <x:v>110700</x:v>
      </x:c>
      <x:c r="E15" s="43" t="n">
        <x:f>Tier_Economics!M14</x:f>
        <x:v>276750</x:v>
      </x:c>
      <x:c r="F15" s="16" t="str">
        <x:v>Tiered document/review fee</x:v>
      </x:c>
    </x:row>
    <x:row r="16" ht="15" customHeight="1">
      <x:c r="B16" s="12" t="s">
        <x:v>245</x:v>
      </x:c>
      <x:c r="C16" s="43" t="n">
        <x:f>Tier_Economics!E18</x:f>
        <x:v>8928</x:v>
      </x:c>
      <x:c r="D16" s="43" t="n">
        <x:f>Tier_Economics!I18</x:f>
        <x:v>31680</x:v>
      </x:c>
      <x:c r="E16" s="43" t="n">
        <x:f>Tier_Economics!M18</x:f>
        <x:v>74400</x:v>
      </x:c>
      <x:c r="F16" s="16" t="str">
        <x:v>Tiered dispute/amendment fee</x:v>
      </x:c>
    </x:row>
    <x:row r="17" ht="21.75" customHeight="1">
      <x:c r="B17" s="12" t="str">
        <x:v>Partner/API + add-on revenue streams</x:v>
      </x:c>
      <x:c r="C17" s="38" t="n">
        <x:f>Revenue_Risk_AddOns!B15</x:f>
        <x:v>9995</x:v>
      </x:c>
      <x:c r="D17" s="43" t="n">
        <x:f>Revenue_Risk_AddOns!C15</x:f>
        <x:v>128178</x:v>
      </x:c>
      <x:c r="E17" s="43" t="n">
        <x:f>Revenue_Risk_AddOns!D15</x:f>
        <x:v>283590</x:v>
      </x:c>
      <x:c r="F17" s="16" t="str">
        <x:v>SaaS/API, setup/minimums, KYC fees, archive, expedited, Tier C pass-through, less first-deal discount</x:v>
      </x:c>
    </x:row>
    <x:row r="18" ht="15" customHeight="1">
      <x:c r="B18" s="34" t="s">
        <x:v>246</x:v>
      </x:c>
      <x:c r="C18" s="36" t="n">
        <x:f>SUM(C14:C17)</x:f>
        <x:v>111218</x:v>
      </x:c>
      <x:c r="D18" s="36" t="n">
        <x:f>SUM(D14:D17)</x:f>
        <x:v>541008</x:v>
      </x:c>
      <x:c r="E18" s="36" t="n">
        <x:f>SUM(E14:E17)</x:f>
        <x:v>1426740</x:v>
      </x:c>
      <x:c r="F18" s="16"/>
    </x:row>
    <x:row r="19" ht="15" customHeight="1">
      <x:c r="B19" s="6" t="s">
        <x:v>247</x:v>
      </x:c>
      <x:c r="C19" s="11"/>
      <x:c r="D19" s="11"/>
      <x:c r="E19" s="11"/>
      <x:c r="F19" s="11"/>
    </x:row>
    <x:row r="20" ht="15" customHeight="1">
      <x:c r="B20" s="12" t="s">
        <x:v>248</x:v>
      </x:c>
      <x:c r="C20" s="43" t="n">
        <x:f>C10*Assumptions!$F$26/Assumptions!$F$8</x:f>
        <x:v>28.476562499999996</x:v>
      </x:c>
      <x:c r="D20" s="43" t="n">
        <x:f>D10*Assumptions!$F$26/Assumptions!$F$8</x:f>
        <x:v>123.39843749999999</x:v>
      </x:c>
      <x:c r="E20" s="43" t="n">
        <x:f>E10*Assumptions!$F$26/Assumptions!$F$8</x:f>
        <x:v>358.59375</x:v>
      </x:c>
      <x:c r="F20" s="16" t="s">
        <x:v>249</x:v>
      </x:c>
    </x:row>
    <x:row r="21" ht="21.75" customHeight="1">
      <x:c r="B21" s="12" t="s">
        <x:v>250</x:v>
      </x:c>
      <x:c r="C21" s="43" t="n">
        <x:f>C7*Assumptions!$F$27/Assumptions!$F$8</x:f>
        <x:v>492.1875</x:v>
      </x:c>
      <x:c r="D21" s="43" t="n">
        <x:f>D7*Assumptions!$F$27/Assumptions!$F$8</x:f>
        <x:v>2460.9375</x:v>
      </x:c>
      <x:c r="E21" s="43" t="n">
        <x:f>E7*Assumptions!$F$27/Assumptions!$F$8</x:f>
        <x:v>8203.125</x:v>
      </x:c>
      <x:c r="F21" s="16" t="s">
        <x:v>251</x:v>
      </x:c>
    </x:row>
    <x:row r="22" ht="15" customHeight="1">
      <x:c r="B22" s="12" t="s">
        <x:v>252</x:v>
      </x:c>
      <x:c r="C22" s="43" t="n">
        <x:f>C11*Assumptions!$F$28/Assumptions!$F$8</x:f>
        <x:v>379.68750000000006</x:v>
      </x:c>
      <x:c r="D22" s="43" t="n">
        <x:f>D11*Assumptions!$F$28/Assumptions!$F$8</x:f>
        <x:v>1898.4375</x:v>
      </x:c>
      <x:c r="E22" s="43" t="n">
        <x:f>E11*Assumptions!$F$28/Assumptions!$F$8</x:f>
        <x:v>6328.125000000001</x:v>
      </x:c>
      <x:c r="F22" s="16" t="s">
        <x:v>253</x:v>
      </x:c>
    </x:row>
    <x:row r="23" ht="15" customHeight="1">
      <x:c r="B23" s="12" t="str">
        <x:v>Tiered document verification ops</x:v>
      </x:c>
      <x:c r="C23" s="43" t="n">
        <x:f>Tier_Economics!E19+Tier_Economics!E20</x:f>
        <x:v>22032</x:v>
      </x:c>
      <x:c r="D23" s="43" t="n">
        <x:f>Tier_Economics!I19+Tier_Economics!I20</x:f>
        <x:v>74520</x:v>
      </x:c>
      <x:c r="E23" s="43" t="n">
        <x:f>Tier_Economics!M19+Tier_Economics!M20</x:f>
        <x:v>165600</x:v>
      </x:c>
      <x:c r="F23" s="16" t="str">
        <x:v>External eBL/API/paper + human examiner cost</x:v>
      </x:c>
    </x:row>
    <x:row r="24" ht="21.75" customHeight="1">
      <x:c r="B24" s="12" t="s">
        <x:v>254</x:v>
      </x:c>
      <x:c r="C24" s="43" t="n">
        <x:f>C7*Assumptions!$F$30/Assumptions!$F$8</x:f>
        <x:v>28.125</x:v>
      </x:c>
      <x:c r="D24" s="43" t="n">
        <x:f>D7*Assumptions!$F$30/Assumptions!$F$8</x:f>
        <x:v>140.625</x:v>
      </x:c>
      <x:c r="E24" s="43" t="n">
        <x:f>E7*Assumptions!$F$30/Assumptions!$F$8</x:f>
        <x:v>468.75</x:v>
      </x:c>
      <x:c r="F24" s="16" t="s">
        <x:v>255</x:v>
      </x:c>
    </x:row>
    <x:row r="25" ht="15" customHeight="1">
      <x:c r="B25" s="12" t="s">
        <x:v>256</x:v>
      </x:c>
      <x:c r="C25" s="43" t="n">
        <x:f>C7*Assumptions!$F$31/Assumptions!$F$8</x:f>
        <x:v>1.40625</x:v>
      </x:c>
      <x:c r="D25" s="43" t="n">
        <x:f>D7*Assumptions!$F$31/Assumptions!$F$8</x:f>
        <x:v>7.03125</x:v>
      </x:c>
      <x:c r="E25" s="43" t="n">
        <x:f>E7*Assumptions!$F$31/Assumptions!$F$8</x:f>
        <x:v>23.4375</x:v>
      </x:c>
      <x:c r="F25" s="16"/>
    </x:row>
    <x:row r="26" ht="15" customHeight="1">
      <x:c r="B26" s="12" t="s">
        <x:v>257</x:v>
      </x:c>
      <x:c r="C26" s="43" t="n">
        <x:f>C7*Assumptions!$F$32/Assumptions!$F$8</x:f>
        <x:v>4.218749999999999</x:v>
      </x:c>
      <x:c r="D26" s="43" t="n">
        <x:f>D7*Assumptions!$F$32/Assumptions!$F$8</x:f>
        <x:v>21.09375</x:v>
      </x:c>
      <x:c r="E26" s="43" t="n">
        <x:f>E7*Assumptions!$F$32/Assumptions!$F$8</x:f>
        <x:v>70.3125</x:v>
      </x:c>
      <x:c r="F26" s="16"/>
    </x:row>
    <x:row r="27" ht="15" customHeight="1">
      <x:c r="B27" s="12" t="s">
        <x:v>258</x:v>
      </x:c>
      <x:c r="C27" s="43" t="n">
        <x:f>Tier_Economics!E21</x:f>
        <x:v>1980</x:v>
      </x:c>
      <x:c r="D27" s="43" t="n">
        <x:f>Tier_Economics!I21</x:f>
        <x:v>7470</x:v>
      </x:c>
      <x:c r="E27" s="43" t="n">
        <x:f>Tier_Economics!M21</x:f>
        <x:v>18900</x:v>
      </x:c>
      <x:c r="F27" s="16" t="str">
        <x:v>Tiered support load</x:v>
      </x:c>
    </x:row>
    <x:row r="28" ht="15" customHeight="1">
      <x:c r="B28" s="12" t="str">
        <x:v>Dispute handling + retained-risk variable costs</x:v>
      </x:c>
      <x:c r="C28" s="43" t="n">
        <x:f>Tier_Economics!E22+Revenue_Risk_AddOns!B24</x:f>
        <x:v>21963.8</x:v>
      </x:c>
      <x:c r="D28" s="43" t="n">
        <x:f>Tier_Economics!I22+Revenue_Risk_AddOns!C24</x:f>
        <x:v>100047</x:v>
      </x:c>
      <x:c r="E28" s="43" t="n">
        <x:f>Tier_Economics!M22+Revenue_Risk_AddOns!D24</x:f>
        <x:v>288442</x:v>
      </x:c>
      <x:c r="F28" s="16" t="str">
        <x:v>Dispute handling plus QA, forum, reserves, commissions, fallback, leakage</x:v>
      </x:c>
    </x:row>
    <x:row r="29" ht="15" customHeight="1">
      <x:c r="B29" s="34" t="s">
        <x:v>259</x:v>
      </x:c>
      <x:c r="C29" s="36" t="n">
        <x:f>SUM(C20:C28)</x:f>
        <x:v>46909.9015625</x:v>
      </x:c>
      <x:c r="D29" s="36" t="n">
        <x:f>SUM(D20:D28)</x:f>
        <x:v>186688.5234375</x:v>
      </x:c>
      <x:c r="E29" s="36" t="n">
        <x:f>SUM(E20:E28)</x:f>
        <x:v>488394.34375</x:v>
      </x:c>
      <x:c r="F29" s="16"/>
    </x:row>
    <x:row r="30" ht="15" customHeight="1">
      <x:c r="B30" s="44" t="s">
        <x:v>260</x:v>
      </x:c>
      <x:c r="C30" s="22" t="n">
        <x:f>C18-C29</x:f>
        <x:v>64308.0984375</x:v>
      </x:c>
      <x:c r="D30" s="22" t="n">
        <x:f>D18-D29</x:f>
        <x:v>354319.4765625</x:v>
      </x:c>
      <x:c r="E30" s="22" t="n">
        <x:f>E18-E29</x:f>
        <x:v>938345.65625</x:v>
      </x:c>
      <x:c r="F30" s="16"/>
    </x:row>
    <x:row r="31" ht="15" customHeight="1">
      <x:c r="B31" s="12" t="s">
        <x:v>261</x:v>
      </x:c>
      <x:c r="C31" s="45" t="n">
        <x:f>IF(C18=0,0,C30/C18)</x:f>
        <x:v>0.5782166415283497</x:v>
      </x:c>
      <x:c r="D31" s="45" t="n">
        <x:f>IF(D18=0,0,D30/D18)</x:f>
        <x:v>0.6549246528008827</x:v>
      </x:c>
      <x:c r="E31" s="45" t="n">
        <x:f>IF(E18=0,0,E30/E18)</x:f>
        <x:v>0.6576851116881842</x:v>
      </x:c>
      <x:c r="F31" s="16"/>
    </x:row>
    <x:row r="32" ht="15" customHeight="1">
      <x:c r="B32" s="6" t="s">
        <x:v>262</x:v>
      </x:c>
      <x:c r="C32" s="11"/>
      <x:c r="D32" s="11"/>
      <x:c r="E32" s="11"/>
      <x:c r="F32" s="11"/>
    </x:row>
    <x:row r="33" ht="15" customHeight="1">
      <x:c r="B33" s="12" t="s">
        <x:v>125</x:v>
      </x:c>
      <x:c r="C33" s="46" t="n">
        <x:f>Assumptions!$F$49</x:f>
        <x:v>2</x:v>
      </x:c>
      <x:c r="D33" s="46" t="n">
        <x:f>Assumptions!$F$49</x:f>
        <x:v>2</x:v>
      </x:c>
      <x:c r="E33" s="46" t="n">
        <x:f>Assumptions!$F$49</x:f>
        <x:v>2</x:v>
      </x:c>
      <x:c r="F33" s="16"/>
    </x:row>
    <x:row r="34" ht="15" customHeight="1">
      <x:c r="B34" s="12" t="s">
        <x:v>263</x:v>
      </x:c>
      <x:c r="C34" s="46" t="n">
        <x:f>Assumptions!$F$50</x:f>
        <x:v>2</x:v>
      </x:c>
      <x:c r="D34" s="46" t="n">
        <x:f>Assumptions!$F$50+1</x:f>
        <x:v>3</x:v>
      </x:c>
      <x:c r="E34" s="46" t="n">
        <x:f>Assumptions!$F$50+2</x:f>
        <x:v>4</x:v>
      </x:c>
      <x:c r="F34" s="16" t="s">
        <x:v>264</x:v>
      </x:c>
    </x:row>
    <x:row r="35" ht="15" customHeight="1">
      <x:c r="B35" s="12" t="s">
        <x:v>265</x:v>
      </x:c>
      <x:c r="C35" s="46" t="n">
        <x:f>Assumptions!$F$51</x:f>
        <x:v>1</x:v>
      </x:c>
      <x:c r="D35" s="46" t="n">
        <x:f>Assumptions!$F$51+1</x:f>
        <x:v>2</x:v>
      </x:c>
      <x:c r="E35" s="46" t="n">
        <x:f>Assumptions!$F$51+2</x:f>
        <x:v>3</x:v>
      </x:c>
      <x:c r="F35" s="16" t="s">
        <x:v>266</x:v>
      </x:c>
    </x:row>
    <x:row r="36" ht="15" customHeight="1">
      <x:c r="B36" s="12" t="s">
        <x:v>267</x:v>
      </x:c>
      <x:c r="C36" s="46" t="n">
        <x:f>Assumptions!$F$52</x:f>
        <x:v>1</x:v>
      </x:c>
      <x:c r="D36" s="46" t="n">
        <x:f>Assumptions!$F$52+1</x:f>
        <x:v>2</x:v>
      </x:c>
      <x:c r="E36" s="46" t="n">
        <x:f>Assumptions!$F$52+2</x:f>
        <x:v>3</x:v>
      </x:c>
      <x:c r="F36" s="16" t="s">
        <x:v>266</x:v>
      </x:c>
    </x:row>
    <x:row r="37" ht="15" customHeight="1">
      <x:c r="B37" s="44" t="s">
        <x:v>268</x:v>
      </x:c>
      <x:c r="C37" s="18" t="n">
        <x:f>C33+C34+C35+C36</x:f>
        <x:v>6</x:v>
      </x:c>
      <x:c r="D37" s="18" t="n">
        <x:f>D33+D34+D35+D36</x:f>
        <x:v>9</x:v>
      </x:c>
      <x:c r="E37" s="18" t="n">
        <x:f>E33+E34+E35+E36</x:f>
        <x:v>12</x:v>
      </x:c>
      <x:c r="F37" s="16"/>
    </x:row>
    <x:row r="38" ht="15" customHeight="1">
      <x:c r="B38" s="12" t="s">
        <x:v>269</x:v>
      </x:c>
      <x:c r="C38" s="43" t="n">
        <x:f>C33*Assumptions!$F$54+C34*Assumptions!$F$55+C35*Assumptions!$F$56+C36*Assumptions!$F$57</x:f>
        <x:v>340000</x:v>
      </x:c>
      <x:c r="D38" s="43" t="n">
        <x:f>D33*Assumptions!$F$54+D34*Assumptions!$F$55+D35*Assumptions!$F$56+D36*Assumptions!$F$57</x:f>
        <x:v>520000</x:v>
      </x:c>
      <x:c r="E38" s="43" t="n">
        <x:f>E33*Assumptions!$F$54+E34*Assumptions!$F$55+E35*Assumptions!$F$56+E36*Assumptions!$F$57</x:f>
        <x:v>700000</x:v>
      </x:c>
      <x:c r="F38" s="16" t="s">
        <x:v>270</x:v>
      </x:c>
    </x:row>
    <x:row r="39" ht="21.75" customHeight="1">
      <x:c r="B39" s="12" t="s">
        <x:v>271</x:v>
      </x:c>
      <x:c r="C39" s="43" t="n">
        <x:f>MAX(0,(C38-Assumptions!$F$59*C37)*Assumptions!$F$58-Assumptions!$F$71)</x:f>
        <x:v>36000</x:v>
      </x:c>
      <x:c r="D39" s="43" t="n">
        <x:f>MAX(0,(D38-Assumptions!$F$59*D37)*Assumptions!$F$58-Assumptions!$F$71)</x:f>
        <x:v>60750</x:v>
      </x:c>
      <x:c r="E39" s="43" t="n">
        <x:f>MAX(0,(E38-Assumptions!$F$59*E37)*Assumptions!$F$58-Assumptions!$F$71)</x:f>
        <x:v>85500</x:v>
      </x:c>
      <x:c r="F39" s="16" t="str">
        <x:v>15% above threshold, less Employment Allowance; confirm eligibility</x:v>
      </x:c>
    </x:row>
    <x:row r="40" ht="15" customHeight="1">
      <x:c r="B40" s="12" t="s">
        <x:v>272</x:v>
      </x:c>
      <x:c r="C40" s="43" t="n">
        <x:f>C38*Assumptions!$F$60</x:f>
        <x:v>13600</x:v>
      </x:c>
      <x:c r="D40" s="43" t="n">
        <x:f>D38*Assumptions!$F$60</x:f>
        <x:v>20800</x:v>
      </x:c>
      <x:c r="E40" s="43" t="n">
        <x:f>E38*Assumptions!$F$60</x:f>
        <x:v>28000</x:v>
      </x:c>
      <x:c r="F40" s="16"/>
    </x:row>
    <x:row r="41" ht="15" customHeight="1">
      <x:c r="B41" s="12" t="s">
        <x:v>150</x:v>
      </x:c>
      <x:c r="C41" s="43" t="n">
        <x:f>C38*Assumptions!$F$61</x:f>
        <x:v>10200</x:v>
      </x:c>
      <x:c r="D41" s="43" t="n">
        <x:f>D38*Assumptions!$F$61</x:f>
        <x:v>15600</x:v>
      </x:c>
      <x:c r="E41" s="43" t="n">
        <x:f>E38*Assumptions!$F$61</x:f>
        <x:v>21000</x:v>
      </x:c>
      <x:c r="F41" s="16"/>
    </x:row>
    <x:row r="42" ht="15" customHeight="1">
      <x:c r="B42" s="34" t="s">
        <x:v>273</x:v>
      </x:c>
      <x:c r="C42" s="36" t="n">
        <x:f>C38+C39+C40+C41</x:f>
        <x:v>399800</x:v>
      </x:c>
      <x:c r="D42" s="36" t="n">
        <x:f>D38+D39+D40+D41</x:f>
        <x:v>617150</x:v>
      </x:c>
      <x:c r="E42" s="36" t="n">
        <x:f>E38+E39+E40+E41</x:f>
        <x:v>834500</x:v>
      </x:c>
      <x:c r="F42" s="16"/>
    </x:row>
    <x:row r="43" ht="15" customHeight="1">
      <x:c r="B43" s="6" t="s">
        <x:v>274</x:v>
      </x:c>
      <x:c r="C43" s="11"/>
      <x:c r="D43" s="11"/>
      <x:c r="E43" s="11"/>
      <x:c r="F43" s="11"/>
    </x:row>
    <x:row r="44" ht="15" customHeight="1">
      <x:c r="B44" s="12" t="s">
        <x:v>99</x:v>
      </x:c>
      <x:c r="C44" s="43" t="n">
        <x:f>Assumptions!$F$36*12</x:f>
        <x:v>3000</x:v>
      </x:c>
      <x:c r="D44" s="43" t="n">
        <x:f>Assumptions!$F$36*12*1.5</x:f>
        <x:v>4500</x:v>
      </x:c>
      <x:c r="E44" s="43" t="n">
        <x:f>Assumptions!$F$36*12*2.5</x:f>
        <x:v>7500</x:v>
      </x:c>
      <x:c r="F44" s="16" t="str">
        <x:v>Monthly base × scale factor</x:v>
      </x:c>
    </x:row>
    <x:row r="45" ht="15" customHeight="1">
      <x:c r="B45" s="12" t="s">
        <x:v>102</x:v>
      </x:c>
      <x:c r="C45" s="43" t="n">
        <x:f>Assumptions!$F$37*12</x:f>
        <x:v>1440</x:v>
      </x:c>
      <x:c r="D45" s="43" t="n">
        <x:f>Assumptions!$F$37*12*1.5</x:f>
        <x:v>2160</x:v>
      </x:c>
      <x:c r="E45" s="43" t="n">
        <x:f>Assumptions!$F$37*12*2.5</x:f>
        <x:v>3600</x:v>
      </x:c>
      <x:c r="F45" s="16" t="str">
        <x:v>Monthly base × scale factor</x:v>
      </x:c>
    </x:row>
    <x:row r="46" ht="15" customHeight="1">
      <x:c r="B46" s="12" t="s">
        <x:v>104</x:v>
      </x:c>
      <x:c r="C46" s="43" t="n">
        <x:f>Assumptions!$F$38*12</x:f>
        <x:v>1800</x:v>
      </x:c>
      <x:c r="D46" s="43" t="n">
        <x:f>Assumptions!$F$38*12*1.5</x:f>
        <x:v>2700</x:v>
      </x:c>
      <x:c r="E46" s="43" t="n">
        <x:f>Assumptions!$F$38*12*2.5</x:f>
        <x:v>4500</x:v>
      </x:c>
      <x:c r="F46" s="16" t="str">
        <x:v>Monthly base × scale factor</x:v>
      </x:c>
    </x:row>
    <x:row r="47" ht="15" customHeight="1">
      <x:c r="B47" s="12" t="s">
        <x:v>106</x:v>
      </x:c>
      <x:c r="C47" s="43" t="n">
        <x:f>Assumptions!$F$39*12*C37/6</x:f>
        <x:v>720</x:v>
      </x:c>
      <x:c r="D47" s="43" t="n">
        <x:f>Assumptions!$F$39*12*D37/6</x:f>
        <x:v>1080</x:v>
      </x:c>
      <x:c r="E47" s="43" t="n">
        <x:f>Assumptions!$F$39*12*E37/6</x:f>
        <x:v>1440</x:v>
      </x:c>
      <x:c r="F47" s="16" t="str">
        <x:v>Monthly base × FTE scale</x:v>
      </x:c>
    </x:row>
    <x:row r="48" ht="15" customHeight="1">
      <x:c r="B48" s="12" t="s">
        <x:v>108</x:v>
      </x:c>
      <x:c r="C48" s="43" t="n">
        <x:f>Assumptions!$F$40*12*C37/6</x:f>
        <x:v>1080</x:v>
      </x:c>
      <x:c r="D48" s="43" t="n">
        <x:f>Assumptions!$F$40*12*D37/6</x:f>
        <x:v>1620</x:v>
      </x:c>
      <x:c r="E48" s="43" t="n">
        <x:f>Assumptions!$F$40*12*E37/6</x:f>
        <x:v>2160</x:v>
      </x:c>
      <x:c r="F48" s="16" t="str">
        <x:v>Monthly base × FTE scale</x:v>
      </x:c>
    </x:row>
    <x:row r="49" ht="15" customHeight="1">
      <x:c r="B49" s="12" t="s">
        <x:v>110</x:v>
      </x:c>
      <x:c r="C49" s="43" t="n">
        <x:f>Assumptions!$F$41*12*MAX(1,C36)</x:f>
        <x:v>960</x:v>
      </x:c>
      <x:c r="D49" s="43" t="n">
        <x:f>Assumptions!$F$41*12*MAX(1,D36)</x:f>
        <x:v>1920</x:v>
      </x:c>
      <x:c r="E49" s="43" t="n">
        <x:f>Assumptions!$F$41*12*MAX(1,E36)</x:f>
        <x:v>2880</x:v>
      </x:c>
      <x:c r="F49" s="16" t="str">
        <x:v>Monthly base × sales/BD scale</x:v>
      </x:c>
    </x:row>
    <x:row r="50" ht="15" customHeight="1">
      <x:c r="B50" s="12" t="s">
        <x:v>112</x:v>
      </x:c>
      <x:c r="C50" s="43" t="n">
        <x:f>Assumptions!$F$42*12</x:f>
        <x:v>4200</x:v>
      </x:c>
      <x:c r="D50" s="43" t="n">
        <x:f>Assumptions!$F$42*12*1.25</x:f>
        <x:v>5250</x:v>
      </x:c>
      <x:c r="E50" s="43" t="n">
        <x:f>Assumptions!$F$42*12*1.5</x:f>
        <x:v>6300</x:v>
      </x:c>
      <x:c r="F50" s="16" t="str">
        <x:v>Monthly base × scale factor</x:v>
      </x:c>
    </x:row>
    <x:row r="51" ht="15" customHeight="1">
      <x:c r="B51" s="12" t="s">
        <x:v>114</x:v>
      </x:c>
      <x:c r="C51" s="43" t="n">
        <x:f>Assumptions!$F$43*12</x:f>
        <x:v>7200</x:v>
      </x:c>
      <x:c r="D51" s="43" t="n">
        <x:f>Assumptions!$F$43*12*1.5</x:f>
        <x:v>10800</x:v>
      </x:c>
      <x:c r="E51" s="43" t="n">
        <x:f>Assumptions!$F$43*12*2</x:f>
        <x:v>14400</x:v>
      </x:c>
      <x:c r="F51" s="16" t="str">
        <x:v>Monthly base × complexity scale</x:v>
      </x:c>
    </x:row>
    <x:row r="52" ht="15" customHeight="1">
      <x:c r="B52" s="12" t="str">
        <x:v>Compliance / MLRO + retained-risk infrastructure</x:v>
      </x:c>
      <x:c r="C52" s="43" t="n">
        <x:f>Assumptions!$F$44*12+Revenue_Risk_AddOns!B36</x:f>
        <x:v>194400</x:v>
      </x:c>
      <x:c r="D52" s="43" t="n">
        <x:f>Assumptions!$F$44*12*1.5+Revenue_Risk_AddOns!C36</x:f>
        <x:v>162850</x:v>
      </x:c>
      <x:c r="E52" s="43" t="n">
        <x:f>Assumptions!$F$44*12*2+Revenue_Risk_AddOns!D36</x:f>
        <x:v>186300</x:v>
      </x:c>
      <x:c r="F52" s="16" t="str">
        <x:v>MLRO support plus carrier/eBL integration, forensics retainer, fraud DB, key security, reg ops, incident reserve</x:v>
      </x:c>
    </x:row>
    <x:row r="53" ht="15" customHeight="1">
      <x:c r="B53" s="12" t="s">
        <x:v>118</x:v>
      </x:c>
      <x:c r="C53" s="43" t="n">
        <x:f>Assumptions!$F$45*12</x:f>
        <x:v>18000</x:v>
      </x:c>
      <x:c r="D53" s="43" t="n">
        <x:f>Assumptions!$F$45*12*2</x:f>
        <x:v>36000</x:v>
      </x:c>
      <x:c r="E53" s="43" t="n">
        <x:f>Assumptions!$F$45*12*3</x:f>
        <x:v>54000</x:v>
      </x:c>
      <x:c r="F53" s="16" t="str">
        <x:v>Monthly base × sales/BD scale</x:v>
      </x:c>
    </x:row>
    <x:row r="54" ht="15" customHeight="1">
      <x:c r="B54" s="12" t="s">
        <x:v>120</x:v>
      </x:c>
      <x:c r="C54" s="43" t="n">
        <x:f>Assumptions!$F$46*12*C37/6</x:f>
        <x:v>4800</x:v>
      </x:c>
      <x:c r="D54" s="43" t="n">
        <x:f>Assumptions!$F$46*12*D37/6</x:f>
        <x:v>7200</x:v>
      </x:c>
      <x:c r="E54" s="43" t="n">
        <x:f>Assumptions!$F$46*12*E37/6</x:f>
        <x:v>9600</x:v>
      </x:c>
      <x:c r="F54" s="16" t="str">
        <x:v>Monthly base × FTE scale</x:v>
      </x:c>
    </x:row>
    <x:row r="55" ht="15" customHeight="1">
      <x:c r="B55" s="12" t="s">
        <x:v>122</x:v>
      </x:c>
      <x:c r="C55" s="43" t="n">
        <x:f>0</x:f>
        <x:v>0</x:v>
      </x:c>
      <x:c r="D55" s="43" t="n">
        <x:f>Assumptions!$F$47*12</x:f>
        <x:v>8400</x:v>
      </x:c>
      <x:c r="E55" s="43" t="n">
        <x:f>Assumptions!$F$47*12</x:f>
        <x:v>8400</x:v>
      </x:c>
      <x:c r="F55" s="16" t="str">
        <x:v>Year 1 prepaid; Years 2–3 monthly ×12</x:v>
      </x:c>
    </x:row>
    <x:row r="56" ht="15" customHeight="1">
      <x:c r="B56" s="34" t="s">
        <x:v>275</x:v>
      </x:c>
      <x:c r="C56" s="36" t="n">
        <x:f>SUM(C44:C55)</x:f>
        <x:v>237600</x:v>
      </x:c>
      <x:c r="D56" s="36" t="n">
        <x:f>SUM(D44:D55)</x:f>
        <x:v>244480</x:v>
      </x:c>
      <x:c r="E56" s="36" t="n">
        <x:f>SUM(E44:E55)</x:f>
        <x:v>301080</x:v>
      </x:c>
      <x:c r="F56" s="16"/>
    </x:row>
    <x:row r="57" ht="15" customHeight="1">
      <x:c r="B57" s="6" t="s">
        <x:v>276</x:v>
      </x:c>
      <x:c r="C57" s="11"/>
      <x:c r="D57" s="11"/>
      <x:c r="E57" s="11"/>
      <x:c r="F57" s="11"/>
    </x:row>
    <x:row r="58" ht="32.25" customHeight="1">
      <x:c r="B58" s="12" t="s">
        <x:v>277</x:v>
      </x:c>
      <x:c r="C58" s="43" t="n">
        <x:f>Startup_6mo!F44</x:f>
        <x:v>241112.45</x:v>
      </x:c>
      <x:c r="D58" s="38" t="n">
        <x:f>0</x:f>
        <x:v>0</x:v>
      </x:c>
      <x:c r="E58" s="38" t="n">
        <x:f>0</x:f>
        <x:v>0</x:v>
      </x:c>
      <x:c r="F58" s="16" t="s">
        <x:v>278</x:v>
      </x:c>
    </x:row>
    <x:row r="59" ht="15" customHeight="1">
      <x:c r="B59" s="6" t="s">
        <x:v>279</x:v>
      </x:c>
      <x:c r="C59" s="11"/>
      <x:c r="D59" s="11"/>
      <x:c r="E59" s="11"/>
      <x:c r="F59" s="11"/>
    </x:row>
    <x:row r="60" ht="21.75" customHeight="1">
      <x:c r="B60" s="44" t="s">
        <x:v>280</x:v>
      </x:c>
      <x:c r="C60" s="22" t="n">
        <x:f>C42+C56+C58</x:f>
        <x:v>878512.45</x:v>
      </x:c>
      <x:c r="D60" s="22" t="n">
        <x:f>D42+D56+D58</x:f>
        <x:v>861630</x:v>
      </x:c>
      <x:c r="E60" s="22" t="n">
        <x:f>E42+E56+E58</x:f>
        <x:v>1135580</x:v>
      </x:c>
      <x:c r="F60" s="16" t="s">
        <x:v>281</x:v>
      </x:c>
    </x:row>
    <x:row r="61" ht="21.75" customHeight="1">
      <x:c r="B61" s="44" t="s">
        <x:v>282</x:v>
      </x:c>
      <x:c r="C61" s="22" t="n">
        <x:f>C30-C42-C56</x:f>
        <x:v>-573091.9015625</x:v>
      </x:c>
      <x:c r="D61" s="22" t="n">
        <x:f>D30-D42-D56</x:f>
        <x:v>-507310.5234375</x:v>
      </x:c>
      <x:c r="E61" s="22" t="n">
        <x:f>E30-E42-E56</x:f>
        <x:v>-197234.34375</x:v>
      </x:c>
      <x:c r="F61" s="16" t="s">
        <x:v>283</x:v>
      </x:c>
    </x:row>
    <x:row r="62" ht="15" customHeight="1">
      <x:c r="B62" s="47" t="s">
        <x:v>284</x:v>
      </x:c>
      <x:c r="C62" s="48" t="n">
        <x:f>C30-C60</x:f>
        <x:v>-814204.3515625</x:v>
      </x:c>
      <x:c r="D62" s="48" t="n">
        <x:f>D30-D60</x:f>
        <x:v>-507310.5234375</x:v>
      </x:c>
      <x:c r="E62" s="48" t="n">
        <x:f>E30-E60</x:f>
        <x:v>-197234.34375</x:v>
      </x:c>
      <x:c r="F62" s="16"/>
    </x:row>
    <x:row r="63" ht="15" customHeight="1">
      <x:c r="B63" s="44" t="s">
        <x:v>285</x:v>
      </x:c>
      <x:c r="C63" s="22" t="n">
        <x:f>C62</x:f>
        <x:v>-814204.3515625</x:v>
      </x:c>
      <x:c r="D63" s="22" t="n">
        <x:f>C62+D62</x:f>
        <x:v>-1321514.875</x:v>
      </x:c>
      <x:c r="E63" s="22" t="n">
        <x:f>C62+D62+E62</x:f>
        <x:v>-1518749.21875</x:v>
      </x:c>
      <x:c r="F63" s="16" t="s">
        <x:v>286</x:v>
      </x:c>
    </x:row>
    <x:row r="64" ht="32.25" customHeight="1">
      <x:c r="B64" s="12" t="s">
        <x:v>287</x:v>
      </x:c>
      <x:c r="C64" s="38" t="n">
        <x:f>-MIN(0,C63)*(1+Assumptions!$F$69)</x:f>
        <x:v>1058465.65703125</x:v>
      </x:c>
      <x:c r="D64" s="38" t="n">
        <x:f>-MIN(0,C63,D63)*(1+Assumptions!$F$69)</x:f>
        <x:v>1717969.3375000001</x:v>
      </x:c>
      <x:c r="E64" s="38" t="n">
        <x:f>-MIN(0,C63,D63,E63)*(1+Assumptions!$F$69)</x:f>
        <x:v>1974373.984375</x:v>
      </x:c>
      <x:c r="F64" s="16" t="str">
        <x:v>Peak cumulative deficit × linked buffer</x:v>
      </x:c>
    </x:row>
    <x:row r="65">
      <x:c r="B65" s="279" t="str">
        <x:v>Funding-only contingency reserve</x:v>
      </x:c>
      <x:c r="C65" s="284" t="n">
        <x:f>ROUND(Revenue_Risk_AddOns!B41,0)</x:f>
        <x:v>240000</x:v>
      </x:c>
      <x:c r="D65" s="284" t="n">
        <x:f>ROUND(Revenue_Risk_AddOns!C41,0)</x:f>
        <x:v>0</x:v>
      </x:c>
      <x:c r="E65" s="284" t="n">
        <x:f>ROUND(Revenue_Risk_AddOns!D41,0)</x:f>
        <x:v>0</x:v>
      </x:c>
      <x:c r="F65" s="279" t="str">
        <x:v>Regulatory delay reserve + zero delivery-liability reserve</x:v>
      </x:c>
    </x:row>
    <x:row r="66">
      <x:c r="B66" s="279" t="str">
        <x:v>Implied funding ask incl. contingency</x:v>
      </x:c>
      <x:c r="C66" s="284" t="n">
        <x:f>ROUND(C64+C65,0)</x:f>
        <x:v>1298466</x:v>
      </x:c>
      <x:c r="D66" s="284" t="n">
        <x:f>ROUND(D64+D65,0)</x:f>
        <x:v>1717969</x:v>
      </x:c>
      <x:c r="E66" s="284" t="n">
        <x:f>ROUND(E64+E65,0)</x:f>
        <x:v>1974374</x:v>
      </x:c>
      <x:c r="F66" s="279" t="str">
        <x:v>Cash need plus funding-only contingency</x:v>
      </x:c>
    </x:row>
    <x:row r="67">
      <x:c r="B67" s="178" t="str">
        <x:v>CUSTOMER ACQUISITION CROSS-CHECK</x:v>
      </x:c>
      <x:c r="C67" s="178" t="str"/>
      <x:c r="D67" s="178" t="str"/>
      <x:c r="E67" s="178" t="str"/>
      <x:c r="F67" s="178" t="str"/>
    </x:row>
    <x:row r="68">
      <x:c r="B68" s="164" t="str">
        <x:v>Line item</x:v>
      </x:c>
      <x:c r="C68" s="164" t="str">
        <x:v>Year 1</x:v>
      </x:c>
      <x:c r="D68" s="164" t="str">
        <x:v>Year 2</x:v>
      </x:c>
      <x:c r="E68" s="164" t="str">
        <x:v>Year 3</x:v>
      </x:c>
      <x:c r="F68" s="164" t="str">
        <x:v>Unit / note</x:v>
      </x:c>
    </x:row>
    <x:row r="69">
      <x:c r="B69" t="str">
        <x:v>Deals / active customer / year</x:v>
      </x:c>
      <x:c r="C69" t="n">
        <x:f>Assumptions!$F$121</x:f>
        <x:v>3</x:v>
      </x:c>
      <x:c r="D69" t="n">
        <x:f>Assumptions!$F$122</x:f>
        <x:v>4</x:v>
      </x:c>
      <x:c r="E69" t="n">
        <x:f>Assumptions!$F$123</x:f>
        <x:v>6</x:v>
      </x:c>
      <x:c r="F69" t="str">
        <x:v>Commercial sanity check from Assumptions</x:v>
      </x:c>
    </x:row>
    <x:row r="70">
      <x:c r="B70" t="str">
        <x:v>Implied active customers</x:v>
      </x:c>
      <x:c r="C70" t="n">
        <x:f>IF(C69=0,0,C7/C69)</x:f>
        <x:v>60</x:v>
      </x:c>
      <x:c r="D70" t="n">
        <x:f>IF(D69=0,0,D7/D69)</x:f>
        <x:v>225</x:v>
      </x:c>
      <x:c r="E70" t="n">
        <x:f>IF(E69=0,0,E7/E69)</x:f>
        <x:v>500</x:v>
      </x:c>
      <x:c r="F70" t="str">
        <x:v>Deals ÷ deals/customer</x:v>
      </x:c>
    </x:row>
    <x:row r="71">
      <x:c r="B71" t="str">
        <x:v>Revenue / deal</x:v>
      </x:c>
      <x:c r="C71" t="n">
        <x:f>IF(C7=0,0,C18/C7)</x:f>
        <x:v>617.8777777777777</x:v>
      </x:c>
      <x:c r="D71" t="n">
        <x:f>IF(D7=0,0,D18/D7)</x:f>
        <x:v>601.12</x:v>
      </x:c>
      <x:c r="E71" t="n">
        <x:f>IF(E7=0,0,E18/E7)</x:f>
        <x:v>475.58</x:v>
      </x:c>
      <x:c r="F71" t="str">
        <x:v>Total revenue ÷ deals</x:v>
      </x:c>
    </x:row>
    <x:row r="72">
      <x:c r="B72" t="str">
        <x:v>Revenue / active customer</x:v>
      </x:c>
      <x:c r="C72" t="n">
        <x:f>IF(C70=0,0,C18/C70)</x:f>
        <x:v>1853.6333333333334</x:v>
      </x:c>
      <x:c r="D72" t="n">
        <x:f>IF(D70=0,0,D18/D70)</x:f>
        <x:v>2404.48</x:v>
      </x:c>
      <x:c r="E72" t="n">
        <x:f>IF(E70=0,0,E18/E70)</x:f>
        <x:v>2853.48</x:v>
      </x:c>
      <x:c r="F72" t="str">
        <x:v>Total revenue ÷ implied customers</x:v>
      </x:c>
    </x:row>
    <x:row r="73">
      <x:c r="B73" t="str">
        <x:v>VAT registration flag</x:v>
      </x:c>
      <x:c r="C73" t="str">
        <x:f>IF(C18&gt;Assumptions!$F$72,"Register / confirm VAT treatment","Below threshold")</x:f>
        <x:v>Register / confirm VAT treatment</x:v>
      </x:c>
      <x:c r="D73" t="str">
        <x:f>IF(D18&gt;Assumptions!$F$72,"Register / confirm VAT treatment","Below threshold")</x:f>
        <x:v>Register / confirm VAT treatment</x:v>
      </x:c>
      <x:c r="E73" t="str">
        <x:f>IF(E18&gt;Assumptions!$F$72,"Register / confirm VAT treatment","Below threshold")</x:f>
        <x:v>Register / confirm VAT treatment</x:v>
      </x:c>
      <x:c r="F73" t="str">
        <x:v>Revenue &gt; threshold</x:v>
      </x:c>
    </x:row>
    <x:row r="74">
      <x:c r="B74" t="str">
        <x:v>Gross margin sanity check</x:v>
      </x:c>
      <x:c r="C74" t="str">
        <x:f>IF(AND(C31&gt;0.9,Assumptions!$F$29&gt;0),"Review COGS: margin may be optimistic","OK")</x:f>
        <x:v>OK</x:v>
      </x:c>
      <x:c r="D74" t="str">
        <x:f>IF(AND(D31&gt;0.9,Assumptions!$F$29&gt;0),"Review COGS: margin may be optimistic","OK")</x:f>
        <x:v>OK</x:v>
      </x:c>
      <x:c r="E74" t="str">
        <x:f>IF(AND(E31&gt;0.9,Assumptions!$F$29&gt;0),"Review COGS: margin may be optimistic","OK")</x:f>
        <x:v>OK</x:v>
      </x:c>
      <x:c r="F74" t="str">
        <x:v>Warn if &gt;90% and human review is material</x:v>
      </x:c>
    </x:row>
    <x:row r="75">
      <x:c r="B75" t="str"/>
      <x:c r="C75" t="str"/>
      <x:c r="D75" t="str"/>
      <x:c r="E75" t="str"/>
      <x:c r="F75" t="str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ColWidth="8.6328125" defaultRowHeight="14.5"/>
  <x:cols>
    <x:col min="1" max="1" width="2" customWidth="1"/>
    <x:col min="2" max="2" width="43.1796875" customWidth="1"/>
    <x:col min="3" max="3" width="18.7265625" customWidth="1"/>
    <x:col min="4" max="6" width="8.90625" customWidth="1"/>
    <x:col min="7" max="7" width="12" customWidth="1"/>
    <x:col min="8" max="8" width="17.26953125" customWidth="1"/>
    <x:col min="9" max="9" width="52" customWidth="1"/>
    <x:col min="10" max="10" width="29.6328125" customWidth="1"/>
    <x:col min="11" max="11" width="13.54296875" customWidth="1"/>
  </x:cols>
  <x:sheetData>
    <x:row r="2" ht="17.25" customHeight="1">
      <x:c r="B2" s="3" t="s">
        <x:v>288</x:v>
      </x:c>
    </x:row>
    <x:row r="3" ht="15" customHeight="1">
      <x:c r="B3" s="4" t="s">
        <x:v>289</x:v>
      </x:c>
    </x:row>
    <x:row r="5" ht="23.25" customHeight="1">
      <x:c r="A5" s="164" t="str">
        <x:v>Cost/Revenue driver</x:v>
      </x:c>
      <x:c r="B5" s="180" t="str">
        <x:v>Category</x:v>
      </x:c>
      <x:c r="C5" s="180" t="str">
        <x:v>Low</x:v>
      </x:c>
      <x:c r="D5" s="180" t="str">
        <x:v>Base</x:v>
      </x:c>
      <x:c r="E5" s="180" t="str">
        <x:v>High</x:v>
      </x:c>
      <x:c r="F5" s="180" t="str">
        <x:v>Currency</x:v>
      </x:c>
      <x:c r="G5" s="180" t="str">
        <x:v>Source quality</x:v>
      </x:c>
      <x:c r="H5" s="180" t="str">
        <x:v>Source URL / note</x:v>
      </x:c>
      <x:c r="I5" s="180" t="str">
        <x:v>Modelling note</x:v>
      </x:c>
      <x:c r="J5" s="180" t="str">
        <x:v>Feeds model?</x:v>
      </x:c>
      <x:c r="K5" s="10"/>
    </x:row>
    <x:row r="6" ht="18.75" customHeight="1">
      <x:c r="A6" t="str">
        <x:v>Escrow transaction fee (take rate)</x:v>
      </x:c>
      <x:c r="B6" s="49" t="str">
        <x:v>Revenue</x:v>
      </x:c>
      <x:c r="C6" s="50" t="n">
        <x:v>0.0015</x:v>
      </x:c>
      <x:c r="D6" s="51" t="n">
        <x:v>0.0035</x:v>
      </x:c>
      <x:c r="E6" s="51" t="n">
        <x:v>0.006</x:v>
      </x:c>
      <x:c r="F6" s="51" t="str">
        <x:v>%</x:v>
      </x:c>
      <x:c r="G6" s="52" t="str">
        <x:v>estimate</x:v>
      </x:c>
      <x:c r="H6" s="53" t="str">
        <x:v>No clean public documentary-escrow comparable; reasoned from payments/escrow norms</x:v>
      </x:c>
      <x:c r="I6" s="54" t="str">
        <x:v>Largest revenue lever; A/B test in pilots</x:v>
      </x:c>
      <x:c r="J6" s="55" t="str">
        <x:v>Yes</x:v>
      </x:c>
      <x:c r="K6" s="37"/>
    </x:row>
    <x:row r="7" ht="15" customHeight="1">
      <x:c r="A7" t="str">
        <x:v>Minimum escrow fee</x:v>
      </x:c>
      <x:c r="B7" s="49" t="str">
        <x:v>Revenue</x:v>
      </x:c>
      <x:c r="C7" s="50" t="n">
        <x:v>50</x:v>
      </x:c>
      <x:c r="D7" s="56" t="n">
        <x:v>100</x:v>
      </x:c>
      <x:c r="E7" s="56" t="n">
        <x:v>200</x:v>
      </x:c>
      <x:c r="F7" s="56" t="str">
        <x:v>£</x:v>
      </x:c>
      <x:c r="G7" s="52" t="str">
        <x:v>estimate</x:v>
      </x:c>
      <x:c r="H7" s="53" t="str">
        <x:v>Protects margin on small deals</x:v>
      </x:c>
      <x:c r="I7" s="54" t="str">
        <x:v>MAX(%×value, min)</x:v>
      </x:c>
      <x:c r="J7" s="55" t="str">
        <x:v>Yes</x:v>
      </x:c>
      <x:c r="K7" s="37"/>
    </x:row>
    <x:row r="8" ht="15" customHeight="1">
      <x:c r="A8" t="str">
        <x:v>Document review fee</x:v>
      </x:c>
      <x:c r="B8" s="49" t="str">
        <x:v>Revenue</x:v>
      </x:c>
      <x:c r="C8" s="50" t="n">
        <x:v>15</x:v>
      </x:c>
      <x:c r="D8" s="56" t="n">
        <x:v>40</x:v>
      </x:c>
      <x:c r="E8" s="56" t="n">
        <x:v>90</x:v>
      </x:c>
      <x:c r="F8" s="56" t="str">
        <x:v>£</x:v>
      </x:c>
      <x:c r="G8" s="52" t="str">
        <x:v>estimate</x:v>
      </x:c>
      <x:c r="H8" s="53" t="str">
        <x:v>Flat per-deal doc-check charge</x:v>
      </x:c>
      <x:c r="I8" s="54" t="str">
        <x:v>× deals</x:v>
      </x:c>
      <x:c r="J8" s="55" t="str">
        <x:v>Yes</x:v>
      </x:c>
      <x:c r="K8" s="37"/>
    </x:row>
    <x:row r="9" ht="15" customHeight="1">
      <x:c r="A9" t="str">
        <x:v>Dispute/amendment fee</x:v>
      </x:c>
      <x:c r="B9" s="49" t="str">
        <x:v>Revenue</x:v>
      </x:c>
      <x:c r="C9" s="50" t="n">
        <x:v>50</x:v>
      </x:c>
      <x:c r="D9" s="56" t="n">
        <x:v>150</x:v>
      </x:c>
      <x:c r="E9" s="56" t="n">
        <x:v>400</x:v>
      </x:c>
      <x:c r="F9" s="56" t="str">
        <x:v>£</x:v>
      </x:c>
      <x:c r="G9" s="52" t="str">
        <x:v>estimate</x:v>
      </x:c>
      <x:c r="H9" s="53" t="str">
        <x:v>Charged only on disputed/amended deals</x:v>
      </x:c>
      <x:c r="I9" s="54" t="str">
        <x:v>× disputed deals</x:v>
      </x:c>
      <x:c r="J9" s="55" t="str">
        <x:v>Yes</x:v>
      </x:c>
      <x:c r="K9" s="37"/>
    </x:row>
    <x:row r="10" ht="15" customHeight="1">
      <x:c r="A10" t="str">
        <x:v>SaaS/API partner fee</x:v>
      </x:c>
      <x:c r="B10" s="49" t="str">
        <x:v>Revenue</x:v>
      </x:c>
      <x:c r="C10" s="50" t="n">
        <x:v>0</x:v>
      </x:c>
      <x:c r="D10" s="56" t="n">
        <x:v>500</x:v>
      </x:c>
      <x:c r="E10" s="56" t="n">
        <x:v>1500</x:v>
      </x:c>
      <x:c r="F10" s="56" t="str">
        <x:v>£</x:v>
      </x:c>
      <x:c r="G10" s="52" t="str">
        <x:v>estimate</x:v>
      </x:c>
      <x:c r="H10" s="53" t="str">
        <x:v>White-label/API from Yr2</x:v>
      </x:c>
      <x:c r="I10" s="54" t="str">
        <x:v>× partners × 12</x:v>
      </x:c>
      <x:c r="J10" s="55" t="str">
        <x:v>Yes</x:v>
      </x:c>
      <x:c r="K10" s="37"/>
    </x:row>
    <x:row r="11" ht="15" customHeight="1">
      <x:c r="A11" t="str">
        <x:v>Pilot→paid conversion</x:v>
      </x:c>
      <x:c r="B11" s="49" t="str">
        <x:v>Revenue</x:v>
      </x:c>
      <x:c r="C11" s="50" t="n">
        <x:v>0.2</x:v>
      </x:c>
      <x:c r="D11" s="51" t="n">
        <x:v>0.35</x:v>
      </x:c>
      <x:c r="E11" s="51" t="n">
        <x:v>0.55</x:v>
      </x:c>
      <x:c r="F11" s="51" t="str">
        <x:v>%</x:v>
      </x:c>
      <x:c r="G11" s="52" t="str">
        <x:v>benchmark</x:v>
      </x:c>
      <x:c r="H11" s="57" t="str">
        <x:v>B2B fintech pilots convert ~20–55%; feeds deal ramp</x:v>
      </x:c>
      <x:c r="I11" s="54" t="str">
        <x:v>Drives Yr1→Yr2 deal growth</x:v>
      </x:c>
      <x:c r="J11" s="55" t="str">
        <x:v>Check / scenario only</x:v>
      </x:c>
      <x:c r="K11" s="37"/>
    </x:row>
    <x:row r="12" ht="18.75" customHeight="1">
      <x:c r="A12" t="str">
        <x:v>Companies House incorporation (digital)</x:v>
      </x:c>
      <x:c r="B12" s="49" t="str">
        <x:v>Startup cost</x:v>
      </x:c>
      <x:c r="C12" s="31" t="n">
        <x:v>100</x:v>
      </x:c>
      <x:c r="D12" s="56" t="n">
        <x:v>100</x:v>
      </x:c>
      <x:c r="E12" s="56" t="n">
        <x:v>100</x:v>
      </x:c>
      <x:c r="F12" s="56" t="str">
        <x:v>£</x:v>
      </x:c>
      <x:c r="G12" s="52" t="str">
        <x:v>official</x:v>
      </x:c>
      <x:c r="H12" s="58" t="str">
        <x:v>https://changestoukcompanylaw.campaign.gov.uk/changes-to-companies-house-fees/</x:v>
      </x:c>
      <x:c r="I12" s="54" t="str">
        <x:v>£100 from 1 Feb 2026</x:v>
      </x:c>
      <x:c r="J12" s="55" t="str">
        <x:v>Yes</x:v>
      </x:c>
      <x:c r="K12" s="37"/>
    </x:row>
    <x:row r="13" ht="18.75" customHeight="1">
      <x:c r="A13" t="str">
        <x:v>Confirmation statement</x:v>
      </x:c>
      <x:c r="B13" s="49" t="str">
        <x:v>Compliance/legal</x:v>
      </x:c>
      <x:c r="C13" s="59" t="n">
        <x:v>50</x:v>
      </x:c>
      <x:c r="D13" s="56" t="n">
        <x:v>50</x:v>
      </x:c>
      <x:c r="E13" s="56" t="n">
        <x:v>50</x:v>
      </x:c>
      <x:c r="F13" s="56" t="str">
        <x:v>£</x:v>
      </x:c>
      <x:c r="G13" s="52" t="str">
        <x:v>official</x:v>
      </x:c>
      <x:c r="H13" s="58" t="str">
        <x:v>https://changestoukcompanylaw.campaign.gov.uk/changes-to-companies-house-fees/</x:v>
      </x:c>
      <x:c r="I13" s="54" t="str">
        <x:v>£50 digital</x:v>
      </x:c>
      <x:c r="J13" s="55" t="str">
        <x:v>Yes</x:v>
      </x:c>
      <x:c r="K13" s="37"/>
    </x:row>
    <x:row r="14" ht="15" customHeight="1">
      <x:c r="A14" t="str">
        <x:v>ACSP registration / director ID</x:v>
      </x:c>
      <x:c r="B14" s="49" t="str">
        <x:v>Compliance/legal</x:v>
      </x:c>
      <x:c r="C14" s="59" t="n">
        <x:v>0</x:v>
      </x:c>
      <x:c r="D14" s="56" t="n">
        <x:v>63</x:v>
      </x:c>
      <x:c r="E14" s="56" t="n">
        <x:v>63</x:v>
      </x:c>
      <x:c r="F14" s="56" t="str">
        <x:v>£</x:v>
      </x:c>
      <x:c r="G14" s="52" t="str">
        <x:v>official</x:v>
      </x:c>
      <x:c r="H14" s="58" t="str">
        <x:v>https://www.icaew.com/ - CH fees 2026</x:v>
      </x:c>
      <x:c r="I14" s="54" t="str">
        <x:v>£63 ACSP; One Login free</x:v>
      </x:c>
      <x:c r="J14" s="55" t="str">
        <x:v>Check / scenario only</x:v>
      </x:c>
      <x:c r="K14" s="37"/>
    </x:row>
    <x:row r="15" ht="15" customHeight="1">
      <x:c r="A15" t="str">
        <x:v>Shareholder agreement</x:v>
      </x:c>
      <x:c r="B15" s="49" t="str">
        <x:v>Startup cost</x:v>
      </x:c>
      <x:c r="C15" s="31" t="n">
        <x:v>375</x:v>
      </x:c>
      <x:c r="D15" s="56" t="n">
        <x:v>1500</x:v>
      </x:c>
      <x:c r="E15" s="56" t="n">
        <x:v>3000</x:v>
      </x:c>
      <x:c r="F15" s="56" t="str">
        <x:v>£</x:v>
      </x:c>
      <x:c r="G15" s="52" t="str">
        <x:v>benchmark</x:v>
      </x:c>
      <x:c r="H15" s="57" t="str">
        <x:v>https://founderdocuments.co.uk / lawyersonline.co.uk</x:v>
      </x:c>
      <x:c r="I15" s="54" t="str">
        <x:v>Fixed-fee range</x:v>
      </x:c>
      <x:c r="J15" s="55" t="str">
        <x:v>Check / scenario only</x:v>
      </x:c>
      <x:c r="K15" s="37"/>
    </x:row>
    <x:row r="16" ht="15" customHeight="1">
      <x:c r="A16" t="str">
        <x:v>IP assignment</x:v>
      </x:c>
      <x:c r="B16" s="49" t="str">
        <x:v>Startup cost</x:v>
      </x:c>
      <x:c r="C16" s="31" t="n">
        <x:v>200</x:v>
      </x:c>
      <x:c r="D16" s="56" t="n">
        <x:v>600</x:v>
      </x:c>
      <x:c r="E16" s="56" t="n">
        <x:v>1500</x:v>
      </x:c>
      <x:c r="F16" s="56" t="str">
        <x:v>£</x:v>
      </x:c>
      <x:c r="G16" s="52" t="str">
        <x:v>estimate</x:v>
      </x:c>
      <x:c r="H16" s="53" t="str">
        <x:v>Founder/contractor IP into NewCo</x:v>
      </x:c>
      <x:c r="I16" s="54"/>
      <x:c r="J16" s="55" t="str">
        <x:v>Check / scenario only</x:v>
      </x:c>
      <x:c r="K16" s="37"/>
    </x:row>
    <x:row r="17" ht="15" customHeight="1">
      <x:c r="A17" t="str">
        <x:v>Terms + privacy policy</x:v>
      </x:c>
      <x:c r="B17" s="49" t="str">
        <x:v>Startup cost</x:v>
      </x:c>
      <x:c r="C17" s="31" t="n">
        <x:v>300</x:v>
      </x:c>
      <x:c r="D17" s="56" t="n">
        <x:v>900</x:v>
      </x:c>
      <x:c r="E17" s="56" t="n">
        <x:v>2500</x:v>
      </x:c>
      <x:c r="F17" s="56" t="str">
        <x:v>£</x:v>
      </x:c>
      <x:c r="G17" s="52" t="str">
        <x:v>estimate</x:v>
      </x:c>
      <x:c r="H17" s="53" t="str">
        <x:v>Fintech-grade</x:v>
      </x:c>
      <x:c r="I17" s="54"/>
      <x:c r="J17" s="55" t="str">
        <x:v>Check / scenario only</x:v>
      </x:c>
      <x:c r="K17" s="37"/>
    </x:row>
    <x:row r="18" ht="15" customHeight="1">
      <x:c r="A18" t="str">
        <x:v>Trade Escrow Agreement (bespoke)</x:v>
      </x:c>
      <x:c r="B18" s="49" t="str">
        <x:v>Compliance/legal</x:v>
      </x:c>
      <x:c r="C18" s="59" t="n">
        <x:v>3000</x:v>
      </x:c>
      <x:c r="D18" s="56" t="n">
        <x:v>8000</x:v>
      </x:c>
      <x:c r="E18" s="56" t="n">
        <x:v>18000</x:v>
      </x:c>
      <x:c r="F18" s="56" t="str">
        <x:v>£</x:v>
      </x:c>
      <x:c r="G18" s="52" t="str">
        <x:v>estimate</x:v>
      </x:c>
      <x:c r="H18" s="53" t="str">
        <x:v>Core product contract; bespoke</x:v>
      </x:c>
      <x:c r="I18" s="54" t="str">
        <x:v>HIGH uncertainty</x:v>
      </x:c>
      <x:c r="J18" s="55" t="str">
        <x:v>Check / scenario only</x:v>
      </x:c>
      <x:c r="K18" s="37"/>
    </x:row>
    <x:row r="19" ht="15" customHeight="1">
      <x:c r="A19" t="str">
        <x:v>Regulatory perimeter advice (crypto)</x:v>
      </x:c>
      <x:c r="B19" s="60" t="str">
        <x:v>Compliance/legal</x:v>
      </x:c>
      <x:c r="C19" s="61" t="n">
        <x:v>8000</x:v>
      </x:c>
      <x:c r="D19" s="62" t="n">
        <x:v>25000</x:v>
      </x:c>
      <x:c r="E19" s="62" t="n">
        <x:v>60000</x:v>
      </x:c>
      <x:c r="F19" s="62" t="str">
        <x:v>£</x:v>
      </x:c>
      <x:c r="G19" s="52" t="str">
        <x:v>estimate</x:v>
      </x:c>
      <x:c r="H19" s="53" t="str">
        <x:v>FCA crypto regime in force Oct 2027; gateway 30 Sep 2026</x:v>
      </x:c>
      <x:c r="I19" s="54" t="str">
        <x:v>HIGH RISK — verify scope</x:v>
      </x:c>
      <x:c r="J19" s="55" t="str">
        <x:v>Check / scenario only</x:v>
      </x:c>
      <x:c r="K19" s="37"/>
    </x:row>
    <x:row r="20" ht="15" customHeight="1">
      <x:c r="A20" t="str">
        <x:v>AML/KYC/sanctions policy setup</x:v>
      </x:c>
      <x:c r="B20" s="49" t="str">
        <x:v>Compliance/legal</x:v>
      </x:c>
      <x:c r="C20" s="59" t="n">
        <x:v>2000</x:v>
      </x:c>
      <x:c r="D20" s="56" t="n">
        <x:v>6000</x:v>
      </x:c>
      <x:c r="E20" s="56" t="n">
        <x:v>15000</x:v>
      </x:c>
      <x:c r="F20" s="56" t="str">
        <x:v>£</x:v>
      </x:c>
      <x:c r="G20" s="52" t="str">
        <x:v>estimate</x:v>
      </x:c>
      <x:c r="H20" s="53" t="str">
        <x:v>MLR 2017 + MLRO</x:v>
      </x:c>
      <x:c r="I20" s="54"/>
      <x:c r="J20" s="55" t="str">
        <x:v>Check / scenario only</x:v>
      </x:c>
      <x:c r="K20" s="37"/>
    </x:row>
    <x:row r="21" ht="15" customHeight="1">
      <x:c r="A21" t="str">
        <x:v>GDPR/data-protection setup</x:v>
      </x:c>
      <x:c r="B21" s="49" t="str">
        <x:v>Compliance/legal</x:v>
      </x:c>
      <x:c r="C21" s="59" t="n">
        <x:v>1000</x:v>
      </x:c>
      <x:c r="D21" s="56" t="n">
        <x:v>3000</x:v>
      </x:c>
      <x:c r="E21" s="56" t="n">
        <x:v>8000</x:v>
      </x:c>
      <x:c r="F21" s="56" t="str">
        <x:v>£</x:v>
      </x:c>
      <x:c r="G21" s="52" t="str">
        <x:v>estimate</x:v>
      </x:c>
      <x:c r="H21" s="53" t="str">
        <x:v>DPIA, ROPA</x:v>
      </x:c>
      <x:c r="I21" s="54"/>
      <x:c r="J21" s="55" t="str">
        <x:v>Check / scenario only</x:v>
      </x:c>
      <x:c r="K21" s="37"/>
    </x:row>
    <x:row r="22" ht="15" customHeight="1">
      <x:c r="A22" t="str">
        <x:v>ICO data protection fee</x:v>
      </x:c>
      <x:c r="B22" s="49" t="str">
        <x:v>Compliance/legal</x:v>
      </x:c>
      <x:c r="C22" s="59" t="n">
        <x:v>52</x:v>
      </x:c>
      <x:c r="D22" s="56" t="n">
        <x:v>60</x:v>
      </x:c>
      <x:c r="E22" s="56" t="n">
        <x:v>60</x:v>
      </x:c>
      <x:c r="F22" s="56" t="str">
        <x:v>£</x:v>
      </x:c>
      <x:c r="G22" s="52" t="str">
        <x:v>official</x:v>
      </x:c>
      <x:c r="H22" s="58" t="str">
        <x:v>https://ico.org.uk - data protection fee</x:v>
      </x:c>
      <x:c r="I22" s="54" t="str">
        <x:v>Tiered £40–£60</x:v>
      </x:c>
      <x:c r="J22" s="55" t="str">
        <x:v>Yes</x:v>
      </x:c>
      <x:c r="K22" s="37"/>
    </x:row>
    <x:row r="23" ht="15" customHeight="1">
      <x:c r="A23" t="str">
        <x:v>Smart-contract audit</x:v>
      </x:c>
      <x:c r="B23" s="49" t="str">
        <x:v>Startup cost</x:v>
      </x:c>
      <x:c r="C23" s="31" t="n">
        <x:v>12000</x:v>
      </x:c>
      <x:c r="D23" s="56" t="n">
        <x:v>30000</x:v>
      </x:c>
      <x:c r="E23" s="56" t="n">
        <x:v>60000</x:v>
      </x:c>
      <x:c r="F23" s="56" t="str">
        <x:v>£</x:v>
      </x:c>
      <x:c r="G23" s="52" t="str">
        <x:v>benchmark</x:v>
      </x:c>
      <x:c r="H23" s="57" t="str">
        <x:v>https://www.zealynx.io/blogs/audit-pricing-2026; sherlock.xyz</x:v>
      </x:c>
      <x:c r="I23" s="54" t="str">
        <x:v>Moderate-complexity escrow</x:v>
      </x:c>
      <x:c r="J23" s="55" t="str">
        <x:v>Yes</x:v>
      </x:c>
      <x:c r="K23" s="37"/>
    </x:row>
    <x:row r="24" ht="15" customHeight="1">
      <x:c r="A24" t="str">
        <x:v>Penetration test</x:v>
      </x:c>
      <x:c r="B24" s="49" t="str">
        <x:v>Startup cost</x:v>
      </x:c>
      <x:c r="C24" s="31" t="n">
        <x:v>3000</x:v>
      </x:c>
      <x:c r="D24" s="56" t="n">
        <x:v>7000</x:v>
      </x:c>
      <x:c r="E24" s="56" t="n">
        <x:v>15000</x:v>
      </x:c>
      <x:c r="F24" s="56" t="str">
        <x:v>£</x:v>
      </x:c>
      <x:c r="G24" s="52" t="str">
        <x:v>estimate</x:v>
      </x:c>
      <x:c r="H24" s="53" t="str">
        <x:v>Pre-launch web app pentest</x:v>
      </x:c>
      <x:c r="I24" s="54"/>
      <x:c r="J24" s="55" t="str">
        <x:v>Yes</x:v>
      </x:c>
      <x:c r="K24" s="37"/>
    </x:row>
    <x:row r="25" ht="15" customHeight="1">
      <x:c r="A25" t="str">
        <x:v>Smart-contract development</x:v>
      </x:c>
      <x:c r="B25" s="49" t="str">
        <x:v>Startup cost</x:v>
      </x:c>
      <x:c r="C25" s="31" t="n">
        <x:v>15000</x:v>
      </x:c>
      <x:c r="D25" s="56" t="n">
        <x:v>40000</x:v>
      </x:c>
      <x:c r="E25" s="56" t="n">
        <x:v>90000</x:v>
      </x:c>
      <x:c r="F25" s="56" t="str">
        <x:v>£</x:v>
      </x:c>
      <x:c r="G25" s="52" t="str">
        <x:v>estimate</x:v>
      </x:c>
      <x:c r="H25" s="53" t="str">
        <x:v>Contract build (days×rate)</x:v>
      </x:c>
      <x:c r="I25" s="54"/>
      <x:c r="J25" s="55" t="str">
        <x:v>Check / scenario only</x:v>
      </x:c>
      <x:c r="K25" s="37"/>
    </x:row>
    <x:row r="26" ht="15" customHeight="1">
      <x:c r="A26" t="str">
        <x:v>Web/full-stack build</x:v>
      </x:c>
      <x:c r="B26" s="49" t="str">
        <x:v>Startup cost</x:v>
      </x:c>
      <x:c r="C26" s="31" t="n">
        <x:v>20000</x:v>
      </x:c>
      <x:c r="D26" s="56" t="n">
        <x:v>50000</x:v>
      </x:c>
      <x:c r="E26" s="56" t="n">
        <x:v>110000</x:v>
      </x:c>
      <x:c r="F26" s="56" t="str">
        <x:v>£</x:v>
      </x:c>
      <x:c r="G26" s="52" t="str">
        <x:v>estimate</x:v>
      </x:c>
      <x:c r="H26" s="53" t="str">
        <x:v>MVP incl integrations</x:v>
      </x:c>
      <x:c r="I26" s="54"/>
      <x:c r="J26" s="55" t="str">
        <x:v>Check / scenario only</x:v>
      </x:c>
      <x:c r="K26" s="37"/>
    </x:row>
    <x:row r="27" ht="15" customHeight="1">
      <x:c r="A27" t="str">
        <x:v>UI/UX design</x:v>
      </x:c>
      <x:c r="B27" s="49" t="str">
        <x:v>Startup cost</x:v>
      </x:c>
      <x:c r="C27" s="31" t="n">
        <x:v>3000</x:v>
      </x:c>
      <x:c r="D27" s="56" t="n">
        <x:v>9000</x:v>
      </x:c>
      <x:c r="E27" s="56" t="n">
        <x:v>20000</x:v>
      </x:c>
      <x:c r="F27" s="56" t="str">
        <x:v>£</x:v>
      </x:c>
      <x:c r="G27" s="52" t="str">
        <x:v>estimate</x:v>
      </x:c>
      <x:c r="H27" s="53"/>
      <x:c r="I27" s="54"/>
      <x:c r="J27" s="55" t="str">
        <x:v>Check / scenario only</x:v>
      </x:c>
      <x:c r="K27" s="37"/>
    </x:row>
    <x:row r="28" ht="15" customHeight="1">
      <x:c r="A28" t="str">
        <x:v>Brand + pitch deck</x:v>
      </x:c>
      <x:c r="B28" s="49" t="str">
        <x:v>Startup cost</x:v>
      </x:c>
      <x:c r="C28" s="31" t="n">
        <x:v>1500</x:v>
      </x:c>
      <x:c r="D28" s="56" t="n">
        <x:v>5000</x:v>
      </x:c>
      <x:c r="E28" s="56" t="n">
        <x:v>12000</x:v>
      </x:c>
      <x:c r="F28" s="56" t="str">
        <x:v>£</x:v>
      </x:c>
      <x:c r="G28" s="52" t="str">
        <x:v>estimate</x:v>
      </x:c>
      <x:c r="H28" s="53"/>
      <x:c r="I28" s="54"/>
      <x:c r="J28" s="55" t="str">
        <x:v>Check / scenario only</x:v>
      </x:c>
      <x:c r="K28" s="37"/>
    </x:row>
    <x:row r="29" ht="15" customHeight="1">
      <x:c r="A29" t="str">
        <x:v>Marketing website + domain</x:v>
      </x:c>
      <x:c r="B29" s="49" t="str">
        <x:v>Startup cost</x:v>
      </x:c>
      <x:c r="C29" s="31" t="n">
        <x:v>1100</x:v>
      </x:c>
      <x:c r="D29" s="56" t="n">
        <x:v>4300</x:v>
      </x:c>
      <x:c r="E29" s="56" t="n">
        <x:v>10800</x:v>
      </x:c>
      <x:c r="F29" s="56" t="str">
        <x:v>£</x:v>
      </x:c>
      <x:c r="G29" s="52" t="str">
        <x:v>vendor/estimate</x:v>
      </x:c>
      <x:c r="H29" s="63" t="str">
        <x:v>Domain/Workspace vendor-priced</x:v>
      </x:c>
      <x:c r="I29" s="54"/>
      <x:c r="J29" s="55" t="str">
        <x:v>Yes</x:v>
      </x:c>
      <x:c r="K29" s="37"/>
    </x:row>
    <x:row r="30" ht="15" customHeight="1">
      <x:c r="A30" t="str">
        <x:v>  </x:v>
      </x:c>
      <x:c r="B30" s="79" t="str">
        <x:v>Business development</x:v>
      </x:c>
      <x:c r="C30" s="50" t="n">
        <x:v>1000</x:v>
      </x:c>
      <x:c r="D30" s="56" t="n">
        <x:v>5000</x:v>
      </x:c>
      <x:c r="E30" s="56" t="n">
        <x:v>15000</x:v>
      </x:c>
      <x:c r="F30" s="56" t="str">
        <x:v>£</x:v>
      </x:c>
      <x:c r="G30" s="52" t="str">
        <x:v>estimate</x:v>
      </x:c>
      <x:c r="H30" s="53" t="str">
        <x:v>ME travel raises high end</x:v>
      </x:c>
      <x:c r="I30" s="54"/>
      <x:c r="J30" s="55" t="str">
        <x:v>Check / scenario only</x:v>
      </x:c>
      <x:c r="K30" s="37"/>
    </x:row>
    <x:row r="31" ht="15" customHeight="1">
      <x:c r="A31" t="str">
        <x:v>Claude API per document</x:v>
      </x:c>
      <x:c r="B31" s="49" t="str">
        <x:v>COGS/variable cost</x:v>
      </x:c>
      <x:c r="C31" s="64" t="n">
        <x:v>0.01</x:v>
      </x:c>
      <x:c r="D31" s="65" t="n">
        <x:v>0.03</x:v>
      </x:c>
      <x:c r="E31" s="65" t="n">
        <x:v>0.08</x:v>
      </x:c>
      <x:c r="F31" s="65" t="str">
        <x:v>$</x:v>
      </x:c>
      <x:c r="G31" s="52" t="str">
        <x:v>vendor</x:v>
      </x:c>
      <x:c r="H31" s="63" t="str">
        <x:v>https://docs.claude.com (Haiku $1/$5, Sonnet $3/$15 per MTok)</x:v>
      </x:c>
      <x:c r="I31" s="54" t="str">
        <x:v>Use Haiku+caching; batch −50%</x:v>
      </x:c>
      <x:c r="J31" s="55" t="str">
        <x:v>Check / scenario only</x:v>
      </x:c>
      <x:c r="K31" s="37"/>
    </x:row>
    <x:row r="32" ht="15" customHeight="1">
      <x:c r="A32" t="str">
        <x:v>OCR alternative (AWS Textract etc.)</x:v>
      </x:c>
      <x:c r="B32" s="49" t="str">
        <x:v>COGS/variable cost</x:v>
      </x:c>
      <x:c r="C32" s="64" t="n">
        <x:v>0.0015</x:v>
      </x:c>
      <x:c r="D32" s="65" t="n">
        <x:v>0.01</x:v>
      </x:c>
      <x:c r="E32" s="65" t="n">
        <x:v>0.05</x:v>
      </x:c>
      <x:c r="F32" s="65" t="str">
        <x:v>$</x:v>
      </x:c>
      <x:c r="G32" s="52" t="str">
        <x:v>vendor</x:v>
      </x:c>
      <x:c r="H32" s="63" t="str">
        <x:v>AWS Textract ~$1.5/1000 pages forms-tier</x:v>
      </x:c>
      <x:c r="I32" s="54" t="str">
        <x:v>Fallback/complement to LLM</x:v>
      </x:c>
      <x:c r="J32" s="55" t="str">
        <x:v>Check / scenario only</x:v>
      </x:c>
      <x:c r="K32" s="37"/>
    </x:row>
    <x:row r="33" ht="15" customHeight="1">
      <x:c r="A33" t="str">
        <x:v>KYB business verification</x:v>
      </x:c>
      <x:c r="B33" s="49" t="str">
        <x:v>COGS/variable cost</x:v>
      </x:c>
      <x:c r="C33" s="64" t="n">
        <x:v>2</x:v>
      </x:c>
      <x:c r="D33" s="56" t="n">
        <x:v>3.5</x:v>
      </x:c>
      <x:c r="E33" s="56" t="n">
        <x:v>6</x:v>
      </x:c>
      <x:c r="F33" s="56" t="str">
        <x:v>$</x:v>
      </x:c>
      <x:c r="G33" s="52" t="str">
        <x:v>vendor</x:v>
      </x:c>
      <x:c r="H33" s="63" t="str">
        <x:v>https://didit.me (fr $2); https://sumsub.com/pricing</x:v>
      </x:c>
      <x:c r="I33" s="54" t="str">
        <x:v>Per entity</x:v>
      </x:c>
      <x:c r="J33" s="55" t="str">
        <x:v>Check / scenario only</x:v>
      </x:c>
      <x:c r="K33" s="37"/>
    </x:row>
    <x:row r="34" ht="15" customHeight="1">
      <x:c r="A34" t="str">
        <x:v>KYC/UBO + sanctions</x:v>
      </x:c>
      <x:c r="B34" s="49" t="str">
        <x:v>COGS/variable cost</x:v>
      </x:c>
      <x:c r="C34" s="64" t="n">
        <x:v>0.3</x:v>
      </x:c>
      <x:c r="D34" s="65" t="n">
        <x:v>1.35</x:v>
      </x:c>
      <x:c r="E34" s="56" t="n">
        <x:v>5</x:v>
      </x:c>
      <x:c r="F34" s="56" t="str">
        <x:v>$</x:v>
      </x:c>
      <x:c r="G34" s="52" t="str">
        <x:v>vendor</x:v>
      </x:c>
      <x:c r="H34" s="63" t="str">
        <x:v>https://sumsub.com/pricing ($1.35); Didit $0.30</x:v>
      </x:c>
      <x:c r="I34" s="54" t="str">
        <x:v>Per counterparty/UBO</x:v>
      </x:c>
      <x:c r="J34" s="55" t="str">
        <x:v>Check / scenario only</x:v>
      </x:c>
      <x:c r="K34" s="37"/>
    </x:row>
    <x:row r="35" ht="15" customHeight="1">
      <x:c r="A35" t="str">
        <x:v>Human document review</x:v>
      </x:c>
      <x:c r="B35" s="49" t="str">
        <x:v>COGS/variable cost</x:v>
      </x:c>
      <x:c r="C35" s="64" t="n">
        <x:v>0.5</x:v>
      </x:c>
      <x:c r="D35" s="65" t="n">
        <x:v>4</x:v>
      </x:c>
      <x:c r="E35" s="56" t="n">
        <x:v>12</x:v>
      </x:c>
      <x:c r="F35" s="56" t="str">
        <x:v>£</x:v>
      </x:c>
      <x:c r="G35" s="52" t="str">
        <x:v>estimate</x:v>
      </x:c>
      <x:c r="H35" s="53" t="str">
        <x:v>Human-in-loop; automate down over time</x:v>
      </x:c>
      <x:c r="I35" s="54" t="str">
        <x:v>Scales with volume</x:v>
      </x:c>
      <x:c r="J35" s="55" t="str">
        <x:v>Check / scenario only</x:v>
      </x:c>
      <x:c r="K35" s="37"/>
    </x:row>
    <x:row r="36" ht="15" customHeight="1">
      <x:c r="A36" t="str">
        <x:v>Blockchain gas (Base L2)</x:v>
      </x:c>
      <x:c r="B36" s="49" t="str">
        <x:v>COGS/variable cost</x:v>
      </x:c>
      <x:c r="C36" s="64" t="n">
        <x:v>0.05</x:v>
      </x:c>
      <x:c r="D36" s="65" t="n">
        <x:v>0.2</x:v>
      </x:c>
      <x:c r="E36" s="65" t="n">
        <x:v>0.8</x:v>
      </x:c>
      <x:c r="F36" s="65" t="str">
        <x:v>$</x:v>
      </x:c>
      <x:c r="G36" s="52" t="str">
        <x:v>official</x:v>
      </x:c>
      <x:c r="H36" s="58" t="str">
        <x:v>https://docs.base.org/.../network-fees (~$0.002/200k gas)</x:v>
      </x:c>
      <x:c r="I36" s="54" t="str">
        <x:v>Several txns/deal (deploy+release)</x:v>
      </x:c>
      <x:c r="J36" s="55" t="str">
        <x:v>Check / scenario only</x:v>
      </x:c>
      <x:c r="K36" s="37"/>
    </x:row>
    <x:row r="37" ht="15" customHeight="1">
      <x:c r="A37" t="str">
        <x:v>RPC/node provider</x:v>
      </x:c>
      <x:c r="B37" s="49" t="str">
        <x:v>COGS/variable cost</x:v>
      </x:c>
      <x:c r="C37" s="64" t="n">
        <x:v>0.002</x:v>
      </x:c>
      <x:c r="D37" s="65" t="n">
        <x:v>0.01</x:v>
      </x:c>
      <x:c r="E37" s="65" t="n">
        <x:v>0.03</x:v>
      </x:c>
      <x:c r="F37" s="65" t="str">
        <x:v>$</x:v>
      </x:c>
      <x:c r="G37" s="52" t="str">
        <x:v>vendor</x:v>
      </x:c>
      <x:c r="H37" s="63" t="str">
        <x:v>Alchemy/QuickNode metered compute units</x:v>
      </x:c>
      <x:c r="I37" s="54"/>
      <x:c r="J37" s="55" t="str">
        <x:v>Check / scenario only</x:v>
      </x:c>
      <x:c r="K37" s="37"/>
    </x:row>
    <x:row r="38" ht="15" customHeight="1">
      <x:c r="A38" t="str">
        <x:v>Doc + ledger storage</x:v>
      </x:c>
      <x:c r="B38" s="49" t="str">
        <x:v>COGS/variable cost</x:v>
      </x:c>
      <x:c r="C38" s="64" t="n">
        <x:v>0.01</x:v>
      </x:c>
      <x:c r="D38" s="65" t="n">
        <x:v>0.03</x:v>
      </x:c>
      <x:c r="E38" s="65" t="n">
        <x:v>0.08</x:v>
      </x:c>
      <x:c r="F38" s="65" t="str">
        <x:v>$</x:v>
      </x:c>
      <x:c r="G38" s="52" t="str">
        <x:v>vendor</x:v>
      </x:c>
      <x:c r="H38" s="63" t="str">
        <x:v>S3 + Glacier audit ledger</x:v>
      </x:c>
      <x:c r="I38" s="54"/>
      <x:c r="J38" s="55" t="str">
        <x:v>Check / scenario only</x:v>
      </x:c>
      <x:c r="K38" s="37"/>
    </x:row>
    <x:row r="39" ht="15" customHeight="1">
      <x:c r="A39" t="str">
        <x:v>Customer support</x:v>
      </x:c>
      <x:c r="B39" s="49" t="str">
        <x:v>COGS/variable cost</x:v>
      </x:c>
      <x:c r="C39" s="64" t="n">
        <x:v>1</x:v>
      </x:c>
      <x:c r="D39" s="56" t="n">
        <x:v>3</x:v>
      </x:c>
      <x:c r="E39" s="56" t="n">
        <x:v>8</x:v>
      </x:c>
      <x:c r="F39" s="56" t="str">
        <x:v>£</x:v>
      </x:c>
      <x:c r="G39" s="52" t="str">
        <x:v>estimate</x:v>
      </x:c>
      <x:c r="H39" s="53" t="str">
        <x:v>Blended</x:v>
      </x:c>
      <x:c r="I39" s="54"/>
      <x:c r="J39" s="55" t="str">
        <x:v>Check / scenario only</x:v>
      </x:c>
      <x:c r="K39" s="37"/>
    </x:row>
    <x:row r="40" ht="15" customHeight="1">
      <x:c r="A40" t="str">
        <x:v>Dispute handling</x:v>
      </x:c>
      <x:c r="B40" s="49" t="str">
        <x:v>COGS/variable cost</x:v>
      </x:c>
      <x:c r="C40" s="64" t="n">
        <x:v>20</x:v>
      </x:c>
      <x:c r="D40" s="56" t="n">
        <x:v>60</x:v>
      </x:c>
      <x:c r="E40" s="56" t="n">
        <x:v>150</x:v>
      </x:c>
      <x:c r="F40" s="56" t="str">
        <x:v>£</x:v>
      </x:c>
      <x:c r="G40" s="52" t="str">
        <x:v>estimate</x:v>
      </x:c>
      <x:c r="H40" s="53" t="str">
        <x:v>Manual labour</x:v>
      </x:c>
      <x:c r="I40" s="54" t="str">
        <x:v>× disputed deals</x:v>
      </x:c>
      <x:c r="J40" s="55" t="str">
        <x:v>Check / scenario only</x:v>
      </x:c>
      <x:c r="K40" s="37"/>
    </x:row>
    <x:row r="41" ht="15" customHeight="1">
      <x:c r="A41" t="str">
        <x:v>Cloud hosting (Vercel/AWS)</x:v>
      </x:c>
      <x:c r="B41" s="49" t="str">
        <x:v>Fixed opex</x:v>
      </x:c>
      <x:c r="C41" s="66" t="n">
        <x:v>50</x:v>
      </x:c>
      <x:c r="D41" s="56" t="n">
        <x:v>250</x:v>
      </x:c>
      <x:c r="E41" s="56" t="n">
        <x:v>900</x:v>
      </x:c>
      <x:c r="F41" s="56" t="str">
        <x:v>£</x:v>
      </x:c>
      <x:c r="G41" s="52" t="str">
        <x:v>vendor</x:v>
      </x:c>
      <x:c r="H41" s="63" t="str">
        <x:v>https://vercel.com/pricing ($20/seat) + AWS usage</x:v>
      </x:c>
      <x:c r="I41" s="54" t="str">
        <x:v>Watch usage overages</x:v>
      </x:c>
      <x:c r="J41" s="55" t="str">
        <x:v>Yes</x:v>
      </x:c>
      <x:c r="K41" s="37"/>
    </x:row>
    <x:row r="42" ht="15" customHeight="1">
      <x:c r="A42" t="str">
        <x:v>Database + object storage</x:v>
      </x:c>
      <x:c r="B42" s="49" t="str">
        <x:v>Fixed opex</x:v>
      </x:c>
      <x:c r="C42" s="66" t="n">
        <x:v>20</x:v>
      </x:c>
      <x:c r="D42" s="56" t="n">
        <x:v>120</x:v>
      </x:c>
      <x:c r="E42" s="56" t="n">
        <x:v>500</x:v>
      </x:c>
      <x:c r="F42" s="56" t="str">
        <x:v>£</x:v>
      </x:c>
      <x:c r="G42" s="52" t="str">
        <x:v>vendor/estimate</x:v>
      </x:c>
      <x:c r="H42" s="63" t="str">
        <x:v>Managed Postgres + S3</x:v>
      </x:c>
      <x:c r="I42" s="54"/>
      <x:c r="J42" s="55" t="str">
        <x:v>Yes</x:v>
      </x:c>
      <x:c r="K42" s="37"/>
    </x:row>
    <x:row r="43" ht="15" customHeight="1">
      <x:c r="A43" t="str">
        <x:v>Monitoring/logging/security</x:v>
      </x:c>
      <x:c r="B43" s="49" t="str">
        <x:v>Fixed opex</x:v>
      </x:c>
      <x:c r="C43" s="66" t="n">
        <x:v>30</x:v>
      </x:c>
      <x:c r="D43" s="56" t="n">
        <x:v>150</x:v>
      </x:c>
      <x:c r="E43" s="56" t="n">
        <x:v>500</x:v>
      </x:c>
      <x:c r="F43" s="56" t="str">
        <x:v>£</x:v>
      </x:c>
      <x:c r="G43" s="52" t="str">
        <x:v>vendor/estimate</x:v>
      </x:c>
      <x:c r="H43" s="63" t="str">
        <x:v>Sentry/Datadog/Snyk</x:v>
      </x:c>
      <x:c r="I43" s="54"/>
      <x:c r="J43" s="55" t="str">
        <x:v>Yes</x:v>
      </x:c>
      <x:c r="K43" s="37"/>
    </x:row>
    <x:row r="44" ht="15" customHeight="1">
      <x:c r="A44" t="str">
        <x:v>GitHub + dev SaaS</x:v>
      </x:c>
      <x:c r="B44" s="49" t="str">
        <x:v>Fixed opex</x:v>
      </x:c>
      <x:c r="C44" s="66" t="n">
        <x:v>20</x:v>
      </x:c>
      <x:c r="D44" s="56" t="n">
        <x:v>60</x:v>
      </x:c>
      <x:c r="E44" s="56" t="n">
        <x:v>200</x:v>
      </x:c>
      <x:c r="F44" s="56" t="str">
        <x:v>£</x:v>
      </x:c>
      <x:c r="G44" s="52" t="str">
        <x:v>vendor</x:v>
      </x:c>
      <x:c r="H44" s="63" t="str">
        <x:v>GitHub $4–21/user</x:v>
      </x:c>
      <x:c r="I44" s="54"/>
      <x:c r="J44" s="55" t="str">
        <x:v>Yes</x:v>
      </x:c>
      <x:c r="K44" s="37"/>
    </x:row>
    <x:row r="45" ht="15" customHeight="1">
      <x:c r="A45" t="str">
        <x:v>Google Workspace</x:v>
      </x:c>
      <x:c r="B45" s="49" t="str">
        <x:v>Fixed opex</x:v>
      </x:c>
      <x:c r="C45" s="66" t="n">
        <x:v>30</x:v>
      </x:c>
      <x:c r="D45" s="56" t="n">
        <x:v>90</x:v>
      </x:c>
      <x:c r="E45" s="56" t="n">
        <x:v>250</x:v>
      </x:c>
      <x:c r="F45" s="56" t="str">
        <x:v>£</x:v>
      </x:c>
      <x:c r="G45" s="52" t="str">
        <x:v>vendor</x:v>
      </x:c>
      <x:c r="H45" s="63" t="str">
        <x:v>~£12/user Business Standard</x:v>
      </x:c>
      <x:c r="I45" s="54"/>
      <x:c r="J45" s="55" t="str">
        <x:v>Yes</x:v>
      </x:c>
      <x:c r="K45" s="37"/>
    </x:row>
    <x:row r="46" ht="15" customHeight="1">
      <x:c r="A46" t="str">
        <x:v>CRM + BD tooling</x:v>
      </x:c>
      <x:c r="B46" s="49" t="str">
        <x:v>Fixed opex</x:v>
      </x:c>
      <x:c r="C46" s="66" t="n">
        <x:v>0</x:v>
      </x:c>
      <x:c r="D46" s="56" t="n">
        <x:v>80</x:v>
      </x:c>
      <x:c r="E46" s="56" t="n">
        <x:v>300</x:v>
      </x:c>
      <x:c r="F46" s="56" t="str">
        <x:v>£</x:v>
      </x:c>
      <x:c r="G46" s="52" t="str">
        <x:v>vendor/estimate</x:v>
      </x:c>
      <x:c r="H46" s="63" t="str">
        <x:v>HubSpot/Pipedrive</x:v>
      </x:c>
      <x:c r="I46" s="54"/>
      <x:c r="J46" s="55" t="str">
        <x:v>Yes</x:v>
      </x:c>
      <x:c r="K46" s="37"/>
    </x:row>
    <x:row r="47" ht="15" customHeight="1">
      <x:c r="A47" t="str">
        <x:v>Accounting/payroll/bookkeeping</x:v>
      </x:c>
      <x:c r="B47" s="49" t="str">
        <x:v>Fixed opex</x:v>
      </x:c>
      <x:c r="C47" s="66" t="n">
        <x:v>150</x:v>
      </x:c>
      <x:c r="D47" s="56" t="n">
        <x:v>350</x:v>
      </x:c>
      <x:c r="E47" s="56" t="n">
        <x:v>800</x:v>
      </x:c>
      <x:c r="F47" s="56" t="str">
        <x:v>£</x:v>
      </x:c>
      <x:c r="G47" s="52" t="str">
        <x:v>estimate</x:v>
      </x:c>
      <x:c r="H47" s="53" t="str">
        <x:v>Outsourced</x:v>
      </x:c>
      <x:c r="I47" s="54"/>
      <x:c r="J47" s="55" t="str">
        <x:v>Yes</x:v>
      </x:c>
      <x:c r="K47" s="37"/>
    </x:row>
    <x:row r="48" ht="15" customHeight="1">
      <x:c r="A48" t="str">
        <x:v>Legal retainer</x:v>
      </x:c>
      <x:c r="B48" s="49" t="str">
        <x:v>Fixed opex</x:v>
      </x:c>
      <x:c r="C48" s="66" t="n">
        <x:v>0</x:v>
      </x:c>
      <x:c r="D48" s="56" t="n">
        <x:v>600</x:v>
      </x:c>
      <x:c r="E48" s="56" t="n">
        <x:v>2000</x:v>
      </x:c>
      <x:c r="F48" s="56" t="str">
        <x:v>£</x:v>
      </x:c>
      <x:c r="G48" s="52" t="str">
        <x:v>estimate</x:v>
      </x:c>
      <x:c r="H48" s="53" t="str">
        <x:v>Ongoing commercial/reg</x:v>
      </x:c>
      <x:c r="I48" s="54"/>
      <x:c r="J48" s="55" t="str">
        <x:v>Yes</x:v>
      </x:c>
      <x:c r="K48" s="37"/>
    </x:row>
    <x:row r="49" ht="15" customHeight="1">
      <x:c r="A49" t="str">
        <x:v>Compliance / MLRO support</x:v>
      </x:c>
      <x:c r="B49" s="49" t="str">
        <x:v>Compliance/legal</x:v>
      </x:c>
      <x:c r="C49" s="59" t="n">
        <x:v>0</x:v>
      </x:c>
      <x:c r="D49" s="56" t="n">
        <x:v>1200</x:v>
      </x:c>
      <x:c r="E49" s="56" t="n">
        <x:v>4000</x:v>
      </x:c>
      <x:c r="F49" s="56" t="str">
        <x:v>£</x:v>
      </x:c>
      <x:c r="G49" s="52" t="str">
        <x:v>benchmark/estimate</x:v>
      </x:c>
      <x:c r="H49" s="57" t="str">
        <x:v>Fractional MLRO/consultant</x:v>
      </x:c>
      <x:c r="I49" s="54"/>
      <x:c r="J49" s="55" t="str">
        <x:v>Yes</x:v>
      </x:c>
      <x:c r="K49" s="37"/>
    </x:row>
    <x:row r="50" ht="15" customHeight="1">
      <x:c r="A50" t="str">
        <x:v>Marketing / conferences</x:v>
      </x:c>
      <x:c r="B50" s="49" t="str">
        <x:v>Business development</x:v>
      </x:c>
      <x:c r="C50" s="50" t="n">
        <x:v>200</x:v>
      </x:c>
      <x:c r="D50" s="56" t="n">
        <x:v>1500</x:v>
      </x:c>
      <x:c r="E50" s="56" t="n">
        <x:v>6000</x:v>
      </x:c>
      <x:c r="F50" s="56" t="str">
        <x:v>£</x:v>
      </x:c>
      <x:c r="G50" s="52" t="str">
        <x:v>estimate</x:v>
      </x:c>
      <x:c r="H50" s="53"/>
      <x:c r="I50" s="54"/>
      <x:c r="J50" s="55" t="str">
        <x:v>Yes</x:v>
      </x:c>
      <x:c r="K50" s="37"/>
    </x:row>
    <x:row r="51" ht="15" customHeight="1">
      <x:c r="A51" t="str">
        <x:v>Office / coworking</x:v>
      </x:c>
      <x:c r="B51" s="49" t="str">
        <x:v>Fixed opex</x:v>
      </x:c>
      <x:c r="C51" s="66" t="n">
        <x:v>0</x:v>
      </x:c>
      <x:c r="D51" s="56" t="n">
        <x:v>400</x:v>
      </x:c>
      <x:c r="E51" s="56" t="n">
        <x:v>1500</x:v>
      </x:c>
      <x:c r="F51" s="56" t="str">
        <x:v>£</x:v>
      </x:c>
      <x:c r="G51" s="52" t="str">
        <x:v>estimate</x:v>
      </x:c>
      <x:c r="H51" s="53"/>
      <x:c r="I51" s="54"/>
      <x:c r="J51" s="55" t="str">
        <x:v>Yes</x:v>
      </x:c>
      <x:c r="K51" s="37"/>
    </x:row>
    <x:row r="52" ht="15" customHeight="1">
      <x:c r="A52" t="str">
        <x:v>Insurance PI+cyber+D&amp;O</x:v>
      </x:c>
      <x:c r="B52" s="49" t="str">
        <x:v>Fixed opex</x:v>
      </x:c>
      <x:c r="C52" s="66" t="n">
        <x:v>250</x:v>
      </x:c>
      <x:c r="D52" s="56" t="n">
        <x:v>700</x:v>
      </x:c>
      <x:c r="E52" s="56" t="n">
        <x:v>2000</x:v>
      </x:c>
      <x:c r="F52" s="56" t="str">
        <x:v>£</x:v>
      </x:c>
      <x:c r="G52" s="52" t="str">
        <x:v>benchmark/estimate</x:v>
      </x:c>
      <x:c r="H52" s="57" t="str">
        <x:v>Superscript/Lockton fintech; PI+cyber+D&amp;O</x:v>
      </x:c>
      <x:c r="I52" s="54" t="str">
        <x:v>Annual /12; fintech loading</x:v>
      </x:c>
      <x:c r="J52" s="55" t="str">
        <x:v>Yes</x:v>
      </x:c>
      <x:c r="K52" s="37"/>
    </x:row>
    <x:row r="53" ht="15" customHeight="1">
      <x:c r="A53" t="str">
        <x:v>Founder salary</x:v>
      </x:c>
      <x:c r="B53" s="49" t="str">
        <x:v>HR</x:v>
      </x:c>
      <x:c r="C53" s="67" t="n">
        <x:v>30000</x:v>
      </x:c>
      <x:c r="D53" s="56" t="n">
        <x:v>45000</x:v>
      </x:c>
      <x:c r="E53" s="56" t="n">
        <x:v>65000</x:v>
      </x:c>
      <x:c r="F53" s="56" t="str">
        <x:v>£</x:v>
      </x:c>
      <x:c r="G53" s="52" t="str">
        <x:v>benchmark</x:v>
      </x:c>
      <x:c r="H53" s="57" t="str">
        <x:v>Pre-seed founder norm</x:v>
      </x:c>
      <x:c r="I53" s="54"/>
      <x:c r="J53" s="55" t="str">
        <x:v>Yes</x:v>
      </x:c>
      <x:c r="K53" s="37"/>
    </x:row>
    <x:row r="54" ht="15" customHeight="1">
      <x:c r="A54" t="str">
        <x:v>Software engineer salary</x:v>
      </x:c>
      <x:c r="B54" s="49" t="str">
        <x:v>HR</x:v>
      </x:c>
      <x:c r="C54" s="67" t="n">
        <x:v>50000</x:v>
      </x:c>
      <x:c r="D54" s="56" t="n">
        <x:v>70000</x:v>
      </x:c>
      <x:c r="E54" s="56" t="n">
        <x:v>95000</x:v>
      </x:c>
      <x:c r="F54" s="56" t="str">
        <x:v>£</x:v>
      </x:c>
      <x:c r="G54" s="52" t="str">
        <x:v>benchmark</x:v>
      </x:c>
      <x:c r="H54" s="57" t="str">
        <x:v>https://savingtool.co.uk; glassdoor UK fintech SWE</x:v>
      </x:c>
      <x:c r="I54" s="54"/>
      <x:c r="J54" s="55" t="str">
        <x:v>Yes</x:v>
      </x:c>
      <x:c r="K54" s="37"/>
    </x:row>
    <x:row r="55" ht="15" customHeight="1">
      <x:c r="A55" t="str">
        <x:v>Compliance/ops salary</x:v>
      </x:c>
      <x:c r="B55" s="49" t="str">
        <x:v>HR</x:v>
      </x:c>
      <x:c r="C55" s="67" t="n">
        <x:v>45000</x:v>
      </x:c>
      <x:c r="D55" s="56" t="n">
        <x:v>60000</x:v>
      </x:c>
      <x:c r="E55" s="56" t="n">
        <x:v>85000</x:v>
      </x:c>
      <x:c r="F55" s="56" t="str">
        <x:v>£</x:v>
      </x:c>
      <x:c r="G55" s="52" t="str">
        <x:v>benchmark</x:v>
      </x:c>
      <x:c r="H55" s="57" t="str">
        <x:v>https://live-digital.co.uk/blog/compliance-officer-salary</x:v>
      </x:c>
      <x:c r="I55" s="54" t="str">
        <x:v>FS compliance officer</x:v>
      </x:c>
      <x:c r="J55" s="55" t="str">
        <x:v>Yes</x:v>
      </x:c>
      <x:c r="K55" s="37"/>
    </x:row>
    <x:row r="56" ht="15" customHeight="1">
      <x:c r="A56" t="str">
        <x:v>Sales/BD/CS salary</x:v>
      </x:c>
      <x:c r="B56" s="49" t="str">
        <x:v>HR</x:v>
      </x:c>
      <x:c r="C56" s="67" t="n">
        <x:v>35000</x:v>
      </x:c>
      <x:c r="D56" s="56" t="n">
        <x:v>50000</x:v>
      </x:c>
      <x:c r="E56" s="56" t="n">
        <x:v>70000</x:v>
      </x:c>
      <x:c r="F56" s="56" t="str">
        <x:v>£</x:v>
      </x:c>
      <x:c r="G56" s="52" t="str">
        <x:v>benchmark</x:v>
      </x:c>
      <x:c r="H56" s="57" t="str">
        <x:v>Morgan McKinley / market</x:v>
      </x:c>
      <x:c r="I56" s="54"/>
      <x:c r="J56" s="55" t="str">
        <x:v>Yes</x:v>
      </x:c>
      <x:c r="K56" s="37"/>
    </x:row>
    <x:row r="57" ht="15" customHeight="1">
      <x:c r="A57" t="str">
        <x:v>Employer NI</x:v>
      </x:c>
      <x:c r="B57" s="49" t="str">
        <x:v>HR</x:v>
      </x:c>
      <x:c r="C57" s="67" t="n">
        <x:v>0.15</x:v>
      </x:c>
      <x:c r="D57" s="51" t="n">
        <x:v>0.15</x:v>
      </x:c>
      <x:c r="E57" s="51" t="n">
        <x:v>0.15</x:v>
      </x:c>
      <x:c r="F57" s="51" t="str">
        <x:v>%</x:v>
      </x:c>
      <x:c r="G57" s="52" t="str">
        <x:v>official</x:v>
      </x:c>
      <x:c r="H57" s="58" t="str">
        <x:v>https://www.gov.uk - NI rates 2026/27</x:v>
      </x:c>
      <x:c r="I57" s="54" t="str">
        <x:v>15% above £5,000 ST</x:v>
      </x:c>
      <x:c r="J57" s="55" t="str">
        <x:v>Yes</x:v>
      </x:c>
      <x:c r="K57" s="37"/>
    </x:row>
    <x:row r="58" ht="15" customHeight="1">
      <x:c r="A58" t="str">
        <x:v>Employer pension</x:v>
      </x:c>
      <x:c r="B58" s="49" t="str">
        <x:v>HR</x:v>
      </x:c>
      <x:c r="C58" s="67" t="n">
        <x:v>0.03</x:v>
      </x:c>
      <x:c r="D58" s="51" t="n">
        <x:v>0.04</x:v>
      </x:c>
      <x:c r="E58" s="51" t="n">
        <x:v>0.05</x:v>
      </x:c>
      <x:c r="F58" s="51" t="str">
        <x:v>%</x:v>
      </x:c>
      <x:c r="G58" s="52" t="str">
        <x:v>official</x:v>
      </x:c>
      <x:c r="H58" s="58" t="str">
        <x:v>The Pensions Regulator auto-enrolment</x:v>
      </x:c>
      <x:c r="I58" s="54" t="str">
        <x:v>Min 3% employer</x:v>
      </x:c>
      <x:c r="J58" s="55" t="str">
        <x:v>Yes</x:v>
      </x:c>
      <x:c r="K58" s="37"/>
    </x:row>
    <x:row r="59" ht="15" customHeight="1">
      <x:c r="A59" t="str">
        <x:v>Smart-contract dev day rate</x:v>
      </x:c>
      <x:c r="B59" s="49" t="str">
        <x:v>HR</x:v>
      </x:c>
      <x:c r="C59" s="67" t="n">
        <x:v>600</x:v>
      </x:c>
      <x:c r="D59" s="56" t="n">
        <x:v>900</x:v>
      </x:c>
      <x:c r="E59" s="56" t="n">
        <x:v>1400</x:v>
      </x:c>
      <x:c r="F59" s="56" t="str">
        <x:v>£</x:v>
      </x:c>
      <x:c r="G59" s="52" t="str">
        <x:v>benchmark/estimate</x:v>
      </x:c>
      <x:c r="H59" s="57" t="str">
        <x:v>Specialist Solidity contractor</x:v>
      </x:c>
      <x:c r="I59" s="54"/>
      <x:c r="J59" s="55" t="str">
        <x:v>Check / scenario only</x:v>
      </x:c>
      <x:c r="K59" s="37"/>
    </x:row>
    <x:row r="60" ht="15" customHeight="1">
      <x:c r="A60" t="str">
        <x:v>Full-stack dev day rate</x:v>
      </x:c>
      <x:c r="B60" s="49" t="str">
        <x:v>HR</x:v>
      </x:c>
      <x:c r="C60" s="67" t="n">
        <x:v>400</x:v>
      </x:c>
      <x:c r="D60" s="56" t="n">
        <x:v>600</x:v>
      </x:c>
      <x:c r="E60" s="56" t="n">
        <x:v>850</x:v>
      </x:c>
      <x:c r="F60" s="56" t="str">
        <x:v>£</x:v>
      </x:c>
      <x:c r="G60" s="52" t="str">
        <x:v>benchmark</x:v>
      </x:c>
      <x:c r="H60" s="57" t="str">
        <x:v>Inside/outside IR35 varies</x:v>
      </x:c>
      <x:c r="I60" s="54"/>
      <x:c r="J60" s="55" t="str">
        <x:v>Check / scenario only</x:v>
      </x:c>
      <x:c r="K60" s="37"/>
    </x:row>
    <x:row r="61" ht="15" customHeight="1">
      <x:c r="A61" t="str">
        <x:v>Compliance consultant day rate</x:v>
      </x:c>
      <x:c r="B61" s="49" t="str">
        <x:v>HR</x:v>
      </x:c>
      <x:c r="C61" s="67" t="n">
        <x:v>600</x:v>
      </x:c>
      <x:c r="D61" s="56" t="n">
        <x:v>900</x:v>
      </x:c>
      <x:c r="E61" s="56" t="n">
        <x:v>1500</x:v>
      </x:c>
      <x:c r="F61" s="56" t="str">
        <x:v>£</x:v>
      </x:c>
      <x:c r="G61" s="52" t="str">
        <x:v>benchmark/estimate</x:v>
      </x:c>
      <x:c r="H61" s="57" t="str">
        <x:v>Crypto reg specialist</x:v>
      </x:c>
      <x:c r="I61" s="54"/>
      <x:c r="J61" s="55" t="str">
        <x:v>Check / scenario only</x:v>
      </x:c>
      <x:c r="K61" s="37"/>
    </x:row>
    <x:row r="62" ht="15" customHeight="1">
      <x:c r="A62" t="str">
        <x:v>UX/design day rate</x:v>
      </x:c>
      <x:c r="B62" s="49" t="str">
        <x:v>HR</x:v>
      </x:c>
      <x:c r="C62" s="67" t="n">
        <x:v>350</x:v>
      </x:c>
      <x:c r="D62" s="56" t="n">
        <x:v>500</x:v>
      </x:c>
      <x:c r="E62" s="56" t="n">
        <x:v>750</x:v>
      </x:c>
      <x:c r="F62" s="56" t="str">
        <x:v>£</x:v>
      </x:c>
      <x:c r="G62" s="52" t="str">
        <x:v>benchmark</x:v>
      </x:c>
      <x:c r="H62" s="57"/>
      <x:c r="I62" s="54"/>
      <x:c r="J62" s="55" t="str">
        <x:v>Check / scenario only</x:v>
      </x:c>
      <x:c r="K62" s="37"/>
    </x:row>
    <x:row r="63" ht="15" customHeight="1">
      <x:c r="A63" t="str">
        <x:v>Pre-seed raise (UK/EU)</x:v>
      </x:c>
      <x:c r="B63" s="49" t="str">
        <x:v>Funding</x:v>
      </x:c>
      <x:c r="C63" s="68" t="n">
        <x:v>400000</x:v>
      </x:c>
      <x:c r="D63" s="56" t="n">
        <x:v>1000000</x:v>
      </x:c>
      <x:c r="E63" s="56" t="n">
        <x:v>2000000</x:v>
      </x:c>
      <x:c r="F63" s="56" t="str">
        <x:v>£</x:v>
      </x:c>
      <x:c r="G63" s="52" t="str">
        <x:v>benchmark</x:v>
      </x:c>
      <x:c r="H63" s="57" t="str">
        <x:v>Carta/PitchBook; UK/EU pre-seed via SAFE</x:v>
      </x:c>
      <x:c r="I63" s="54" t="str">
        <x:v>SAFE common &lt;£4M-equiv</x:v>
      </x:c>
      <x:c r="J63" s="55" t="str">
        <x:v>Check / scenario only</x:v>
      </x:c>
      <x:c r="K63" s="37"/>
    </x:row>
    <x:row r="64" ht="15" customHeight="1">
      <x:c r="A64" t="str">
        <x:v>Seed raise (UK/EU)</x:v>
      </x:c>
      <x:c r="B64" s="49" t="str">
        <x:v>Funding</x:v>
      </x:c>
      <x:c r="C64" s="68" t="n">
        <x:v>2000000</x:v>
      </x:c>
      <x:c r="D64" s="56" t="n">
        <x:v>2800000</x:v>
      </x:c>
      <x:c r="E64" s="56" t="n">
        <x:v>4000000</x:v>
      </x:c>
      <x:c r="F64" s="56" t="str">
        <x:v>£</x:v>
      </x:c>
      <x:c r="G64" s="52" t="str">
        <x:v>benchmark</x:v>
      </x:c>
      <x:c r="H64" s="57" t="str">
        <x:v>Median seed $2.5–3.5M</x:v>
      </x:c>
      <x:c r="I64" s="54" t="str">
        <x:v>Priced round</x:v>
      </x:c>
      <x:c r="J64" s="55" t="str">
        <x:v>Check / scenario only</x:v>
      </x:c>
      <x:c r="K64" s="37"/>
    </x:row>
    <x:row r="65" ht="15" customHeight="1">
      <x:c r="A65" t="str">
        <x:v>Seed raise (Middle East)</x:v>
      </x:c>
      <x:c r="B65" s="49" t="str">
        <x:v>Funding</x:v>
      </x:c>
      <x:c r="C65" s="68" t="n">
        <x:v>2000000</x:v>
      </x:c>
      <x:c r="D65" s="56" t="n">
        <x:v>3700000</x:v>
      </x:c>
      <x:c r="E65" s="56" t="n">
        <x:v>6000000</x:v>
      </x:c>
      <x:c r="F65" s="56" t="str">
        <x:v>$</x:v>
      </x:c>
      <x:c r="G65" s="52" t="str">
        <x:v>benchmark</x:v>
      </x:c>
      <x:c r="H65" s="57" t="str">
        <x:v>ME avg seed ~$3.7M</x:v>
      </x:c>
      <x:c r="I65" s="54" t="str">
        <x:v>Higher dilution ~25%</x:v>
      </x:c>
      <x:c r="J65" s="55" t="str">
        <x:v>Check / scenario only</x:v>
      </x:c>
      <x:c r="K65" s="37"/>
    </x:row>
    <x:row r="66" ht="15" customHeight="1">
      <x:c r="A66" t="str">
        <x:v>Pre-seed dilution</x:v>
      </x:c>
      <x:c r="B66" s="49" t="str">
        <x:v>Funding</x:v>
      </x:c>
      <x:c r="C66" s="68" t="n">
        <x:v>0.1</x:v>
      </x:c>
      <x:c r="D66" s="51" t="n">
        <x:v>0.15</x:v>
      </x:c>
      <x:c r="E66" s="51" t="n">
        <x:v>0.2</x:v>
      </x:c>
      <x:c r="F66" s="51" t="str">
        <x:v>%</x:v>
      </x:c>
      <x:c r="G66" s="52" t="str">
        <x:v>benchmark</x:v>
      </x:c>
      <x:c r="H66" s="57" t="str">
        <x:v>Carta State of Pre-Seed</x:v>
      </x:c>
      <x:c r="I66" s="54"/>
      <x:c r="J66" s="55" t="str">
        <x:v>Check / scenario only</x:v>
      </x:c>
      <x:c r="K66" s="37"/>
    </x:row>
    <x:row r="67" ht="15" customHeight="1">
      <x:c r="A67" t="str">
        <x:v>Runway buffer (regulated fintech)</x:v>
      </x:c>
      <x:c r="B67" s="49" t="str">
        <x:v>Funding</x:v>
      </x:c>
      <x:c r="C67" s="68" t="n">
        <x:v>12</x:v>
      </x:c>
      <x:c r="D67" s="56" t="n">
        <x:v>18</x:v>
      </x:c>
      <x:c r="E67" s="56" t="n">
        <x:v>24</x:v>
      </x:c>
      <x:c r="F67" s="56" t="str">
        <x:v>months</x:v>
      </x:c>
      <x:c r="G67" s="52" t="str">
        <x:v>benchmark/estimate</x:v>
      </x:c>
      <x:c r="H67" s="57" t="str">
        <x:v>Regulated fintech carries longer buffer</x:v>
      </x:c>
      <x:c r="I67" s="54" t="str">
        <x:v>Cash buffer guidance</x:v>
      </x:c>
      <x:c r="J67" s="55" t="str">
        <x:v>Check / scenario only</x:v>
      </x:c>
      <x:c r="K67" s="37"/>
    </x:row>
    <x:row r="69">
      <x:c r="A69" s="262" t="str">
        <x:v>Tier A/B/C mix by year</x:v>
      </x:c>
      <x:c r="B69" s="262" t="str">
        <x:v>Revenue / risk</x:v>
      </x:c>
      <x:c r="C69" s="262" t="str">
        <x:v>See Assumptions rows 75-83</x:v>
      </x:c>
      <x:c r="D69" s="262" t="str">
        <x:v>Base: A 15%-&gt;30%-&gt;45%; B 45%-&gt;45%-&gt;40%; C 40%-&gt;25%-&gt;15%</x:v>
      </x:c>
      <x:c r="E69" s="262" t="str">
        <x:v>Upside shifts faster to eBL</x:v>
      </x:c>
      <x:c r="F69" s="262" t="str">
        <x:v>% of deals</x:v>
      </x:c>
      <x:c r="G69" s="262" t="str">
        <x:v>estimate</x:v>
      </x:c>
      <x:c r="H69" s="262" t="str">
        <x:v>Derived from slide-09 six-layer verification stack and slide-10 tier mix</x:v>
      </x:c>
      <x:c r="I69" s="262" t="str">
        <x:v>Feeds Tier_Economics</x:v>
      </x:c>
      <x:c r="J69" s="262" t="str">
        <x:v>Yes</x:v>
      </x:c>
    </x:row>
    <x:row r="70">
      <x:c r="A70" s="170" t="str">
        <x:v>Tier A eBL take rate/min fee</x:v>
      </x:c>
      <x:c r="B70" s="170" t="str">
        <x:v>Revenue</x:v>
      </x:c>
      <x:c r="C70" s="170" t="str">
        <x:v>0.20% / GBP75</x:v>
      </x:c>
      <x:c r="D70" s="170" t="str">
        <x:v>0.30% / GBP150</x:v>
      </x:c>
      <x:c r="E70" s="170" t="str">
        <x:v>0.40% / GBP250</x:v>
      </x:c>
      <x:c r="F70" s="170" t="str">
        <x:v>% GMV / GBP</x:v>
      </x:c>
      <x:c r="G70" s="170" t="str">
        <x:v>estimate</x:v>
      </x:c>
      <x:c r="H70" s="170" t="str">
        <x:v>eBL/source-of-truth digital rail</x:v>
      </x:c>
      <x:c r="I70" s="170" t="str">
        <x:v>Fast, low-risk tier</x:v>
      </x:c>
      <x:c r="J70" s="170" t="str">
        <x:v>Yes</x:v>
      </x:c>
    </x:row>
    <x:row r="71">
      <x:c r="A71" s="170" t="str">
        <x:v>Tier B carrier/API take rate/min fee</x:v>
      </x:c>
      <x:c r="B71" s="170" t="str">
        <x:v>Revenue</x:v>
      </x:c>
      <x:c r="C71" s="170" t="str">
        <x:v>0.30% / GBP100</x:v>
      </x:c>
      <x:c r="D71" s="170" t="str">
        <x:v>0.45% / GBP250</x:v>
      </x:c>
      <x:c r="E71" s="170" t="str">
        <x:v>0.65% / GBP400</x:v>
      </x:c>
      <x:c r="F71" s="170" t="str">
        <x:v>% GMV / GBP</x:v>
      </x:c>
      <x:c r="G71" s="170" t="str">
        <x:v>estimate</x:v>
      </x:c>
      <x:c r="H71" s="170" t="str">
        <x:v>DCSA/carrier API verification path</x:v>
      </x:c>
      <x:c r="I71" s="170" t="str">
        <x:v>Core commercial tier</x:v>
      </x:c>
      <x:c r="J71" s="170" t="str">
        <x:v>Yes</x:v>
      </x:c>
    </x:row>
    <x:row r="72">
      <x:c r="A72" s="170" t="str">
        <x:v>Tier C paper take rate/min fee</x:v>
      </x:c>
      <x:c r="B72" s="170" t="str">
        <x:v>Revenue</x:v>
      </x:c>
      <x:c r="C72" s="170" t="str">
        <x:v>0.40% / GBP200</x:v>
      </x:c>
      <x:c r="D72" s="170" t="str">
        <x:v>0.70% / GBP500</x:v>
      </x:c>
      <x:c r="E72" s="170" t="str">
        <x:v>1.00% / GBP900</x:v>
      </x:c>
      <x:c r="F72" s="170" t="str">
        <x:v>% GMV / GBP</x:v>
      </x:c>
      <x:c r="G72" s="170" t="str">
        <x:v>estimate</x:v>
      </x:c>
      <x:c r="H72" s="170" t="str">
        <x:v>Paper collection/originals/forensics fallback</x:v>
      </x:c>
      <x:c r="I72" s="170" t="str">
        <x:v>High-risk tier must be priced up</x:v>
      </x:c>
      <x:c r="J72" s="170" t="str">
        <x:v>Yes</x:v>
      </x:c>
    </x:row>
    <x:row r="73">
      <x:c r="A73" s="170" t="str">
        <x:v>Tier A eBL/API handling cost</x:v>
      </x:c>
      <x:c r="B73" s="170" t="str">
        <x:v>COGS/variable cost</x:v>
      </x:c>
      <x:c r="C73" s="170" t="n">
        <x:v>1</x:v>
      </x:c>
      <x:c r="D73" s="170" t="n">
        <x:v>3</x:v>
      </x:c>
      <x:c r="E73" s="170" t="n">
        <x:v>8</x:v>
      </x:c>
      <x:c r="F73" s="170" t="str">
        <x:v>GBP/deal</x:v>
      </x:c>
      <x:c r="G73" s="170" t="str">
        <x:v>estimate/quote-based</x:v>
      </x:c>
      <x:c r="H73" s="170" t="str">
        <x:v>eBL platform/API validation</x:v>
      </x:c>
      <x:c r="I73" s="170" t="str">
        <x:v>Quote required from eBL partners</x:v>
      </x:c>
      <x:c r="J73" s="170" t="str">
        <x:v>Yes</x:v>
      </x:c>
    </x:row>
    <x:row r="74">
      <x:c r="A74" s="170" t="str">
        <x:v>Tier B carrier/API handling cost</x:v>
      </x:c>
      <x:c r="B74" s="170" t="str">
        <x:v>COGS/variable cost</x:v>
      </x:c>
      <x:c r="C74" s="170" t="n">
        <x:v>3</x:v>
      </x:c>
      <x:c r="D74" s="170" t="n">
        <x:v>10</x:v>
      </x:c>
      <x:c r="E74" s="170" t="n">
        <x:v>25</x:v>
      </x:c>
      <x:c r="F74" s="170" t="str">
        <x:v>GBP/deal</x:v>
      </x:c>
      <x:c r="G74" s="170" t="str">
        <x:v>estimate/quote-based</x:v>
      </x:c>
      <x:c r="H74" s="170" t="str">
        <x:v>DCSA/carrier verification</x:v>
      </x:c>
      <x:c r="I74" s="170" t="str">
        <x:v>Carrier/API quote required</x:v>
      </x:c>
      <x:c r="J74" s="170" t="str">
        <x:v>Yes</x:v>
      </x:c>
    </x:row>
    <x:row r="75">
      <x:c r="A75" s="170" t="str">
        <x:v>Tier C paper/forensics handling cost</x:v>
      </x:c>
      <x:c r="B75" s="170" t="str">
        <x:v>COGS/variable cost</x:v>
      </x:c>
      <x:c r="C75" s="170" t="n">
        <x:v>50</x:v>
      </x:c>
      <x:c r="D75" s="170" t="n">
        <x:v>150</x:v>
      </x:c>
      <x:c r="E75" s="170" t="n">
        <x:v>400</x:v>
      </x:c>
      <x:c r="F75" s="170" t="str">
        <x:v>GBP/deal</x:v>
      </x:c>
      <x:c r="G75" s="170" t="str">
        <x:v>estimate/quote-based</x:v>
      </x:c>
      <x:c r="H75" s="170" t="str">
        <x:v>Courier/originals/forensics partner</x:v>
      </x:c>
      <x:c r="I75" s="170" t="str">
        <x:v>High sensitivity</x:v>
      </x:c>
      <x:c r="J75" s="170" t="str">
        <x:v>Yes</x:v>
      </x:c>
    </x:row>
    <x:row r="76">
      <x:c r="A76" s="170" t="str">
        <x:v>Tier A human review cost</x:v>
      </x:c>
      <x:c r="B76" s="170" t="str">
        <x:v>COGS/variable cost</x:v>
      </x:c>
      <x:c r="C76" s="170" t="n">
        <x:v>1</x:v>
      </x:c>
      <x:c r="D76" s="170" t="n">
        <x:v>3</x:v>
      </x:c>
      <x:c r="E76" s="170" t="n">
        <x:v>8</x:v>
      </x:c>
      <x:c r="F76" s="170" t="str">
        <x:v>GBP/deal</x:v>
      </x:c>
      <x:c r="G76" s="170" t="str">
        <x:v>estimate</x:v>
      </x:c>
      <x:c r="H76" s="170" t="str">
        <x:v>Light examiner time</x:v>
      </x:c>
      <x:c r="I76" s="170" t="str">
        <x:v>AI-assisted</x:v>
      </x:c>
      <x:c r="J76" s="170" t="str">
        <x:v>Yes</x:v>
      </x:c>
    </x:row>
    <x:row r="77">
      <x:c r="A77" s="170" t="str">
        <x:v>Tier B human review cost</x:v>
      </x:c>
      <x:c r="B77" s="170" t="str">
        <x:v>COGS/variable cost</x:v>
      </x:c>
      <x:c r="C77" s="170" t="n">
        <x:v>8</x:v>
      </x:c>
      <x:c r="D77" s="170" t="n">
        <x:v>20</x:v>
      </x:c>
      <x:c r="E77" s="170" t="n">
        <x:v>50</x:v>
      </x:c>
      <x:c r="F77" s="170" t="str">
        <x:v>GBP/deal</x:v>
      </x:c>
      <x:c r="G77" s="170" t="str">
        <x:v>estimate</x:v>
      </x:c>
      <x:c r="H77" s="170" t="str">
        <x:v>Examiner plus source check</x:v>
      </x:c>
      <x:c r="I77" s="170" t="str">
        <x:v>Operational cost</x:v>
      </x:c>
      <x:c r="J77" s="170" t="str">
        <x:v>Yes</x:v>
      </x:c>
    </x:row>
    <x:row r="78">
      <x:c r="A78" s="170" t="str">
        <x:v>Tier C human review cost</x:v>
      </x:c>
      <x:c r="B78" s="170" t="str">
        <x:v>COGS/variable cost</x:v>
      </x:c>
      <x:c r="C78" s="170" t="n">
        <x:v>40</x:v>
      </x:c>
      <x:c r="D78" s="170" t="n">
        <x:v>120</x:v>
      </x:c>
      <x:c r="E78" s="170" t="n">
        <x:v>250</x:v>
      </x:c>
      <x:c r="F78" s="170" t="str">
        <x:v>GBP/deal</x:v>
      </x:c>
      <x:c r="G78" s="170" t="str">
        <x:v>estimate</x:v>
      </x:c>
      <x:c r="H78" s="170" t="str">
        <x:v>Paper/manual examiner workflow</x:v>
      </x:c>
      <x:c r="I78" s="170" t="str">
        <x:v>Operational cost</x:v>
      </x:c>
      <x:c r="J78" s="170" t="str">
        <x:v>Yes</x:v>
      </x:c>
    </x:row>
    <x:row r="79">
      <x:c r="A79" s="170" t="str">
        <x:v>Tier A dispute rate</x:v>
      </x:c>
      <x:c r="B79" s="170" t="str">
        <x:v>Risk</x:v>
      </x:c>
      <x:c r="C79" s="170" t="str">
        <x:v>2%</x:v>
      </x:c>
      <x:c r="D79" s="170" t="str">
        <x:v>4%</x:v>
      </x:c>
      <x:c r="E79" s="170" t="str">
        <x:v>7%</x:v>
      </x:c>
      <x:c r="F79" s="170" t="str">
        <x:v>% deals</x:v>
      </x:c>
      <x:c r="G79" s="170" t="str">
        <x:v>estimate</x:v>
      </x:c>
      <x:c r="H79" s="170" t="str">
        <x:v>Lower document-source risk</x:v>
      </x:c>
      <x:c r="I79" s="170" t="str">
        <x:v>Feeds disputes and handling</x:v>
      </x:c>
      <x:c r="J79" s="170" t="str">
        <x:v>Yes</x:v>
      </x:c>
    </x:row>
    <x:row r="80">
      <x:c r="A80" s="170" t="str">
        <x:v>Tier B dispute rate</x:v>
      </x:c>
      <x:c r="B80" s="170" t="str">
        <x:v>Risk</x:v>
      </x:c>
      <x:c r="C80" s="170" t="str">
        <x:v>6%</x:v>
      </x:c>
      <x:c r="D80" s="170" t="str">
        <x:v>10%</x:v>
      </x:c>
      <x:c r="E80" s="170" t="str">
        <x:v>15%</x:v>
      </x:c>
      <x:c r="F80" s="170" t="str">
        <x:v>% deals</x:v>
      </x:c>
      <x:c r="G80" s="170" t="str">
        <x:v>estimate</x:v>
      </x:c>
      <x:c r="H80" s="170" t="str">
        <x:v>Medium mismatch risk</x:v>
      </x:c>
      <x:c r="I80" s="170" t="str">
        <x:v>Feeds disputes and handling</x:v>
      </x:c>
      <x:c r="J80" s="170" t="str">
        <x:v>Yes</x:v>
      </x:c>
    </x:row>
    <x:row r="81">
      <x:c r="A81" s="170" t="str">
        <x:v>Tier C dispute rate</x:v>
      </x:c>
      <x:c r="B81" s="170" t="str">
        <x:v>Risk</x:v>
      </x:c>
      <x:c r="C81" s="170" t="str">
        <x:v>12%</x:v>
      </x:c>
      <x:c r="D81" s="170" t="str">
        <x:v>20%</x:v>
      </x:c>
      <x:c r="E81" s="170" t="str">
        <x:v>30%</x:v>
      </x:c>
      <x:c r="F81" s="170" t="str">
        <x:v>% deals</x:v>
      </x:c>
      <x:c r="G81" s="170" t="str">
        <x:v>estimate</x:v>
      </x:c>
      <x:c r="H81" s="170" t="str">
        <x:v>Paper/originals risk</x:v>
      </x:c>
      <x:c r="I81" s="170" t="str">
        <x:v>Feeds disputes and handling</x:v>
      </x:c>
      <x:c r="J81" s="170" t="str">
        <x:v>Yes</x:v>
      </x:c>
    </x:row>
    <x:row r="82">
      <x:c r="A82" s="170" t="str">
        <x:v>Tier A SLA</x:v>
      </x:c>
      <x:c r="B82" s="170" t="str">
        <x:v>Risk / ops</x:v>
      </x:c>
      <x:c r="C82" s="170" t="str">
        <x:v>0.02d</x:v>
      </x:c>
      <x:c r="D82" s="170" t="str">
        <x:v>0.05d</x:v>
      </x:c>
      <x:c r="E82" s="170" t="str">
        <x:v>0.1d</x:v>
      </x:c>
      <x:c r="F82" s="170" t="str">
        <x:v>days</x:v>
      </x:c>
      <x:c r="G82" s="170" t="str">
        <x:v>estimate</x:v>
      </x:c>
      <x:c r="H82" s="170" t="str">
        <x:v>Minutes to hours</x:v>
      </x:c>
      <x:c r="I82" s="170" t="str">
        <x:v>Pitch speed claim</x:v>
      </x:c>
      <x:c r="J82" s="170" t="str">
        <x:v>Yes</x:v>
      </x:c>
    </x:row>
    <x:row r="83">
      <x:c r="A83" s="170" t="str">
        <x:v>Tier B SLA</x:v>
      </x:c>
      <x:c r="B83" s="170" t="str">
        <x:v>Risk / ops</x:v>
      </x:c>
      <x:c r="C83" s="170" t="str">
        <x:v>0.25d</x:v>
      </x:c>
      <x:c r="D83" s="170" t="str">
        <x:v>0.5d</x:v>
      </x:c>
      <x:c r="E83" s="170" t="str">
        <x:v>1d</x:v>
      </x:c>
      <x:c r="F83" s="170" t="str">
        <x:v>days</x:v>
      </x:c>
      <x:c r="G83" s="170" t="str">
        <x:v>estimate</x:v>
      </x:c>
      <x:c r="H83" s="170" t="str">
        <x:v>Same day to one day</x:v>
      </x:c>
      <x:c r="I83" s="170" t="str">
        <x:v>Pitch ops claim</x:v>
      </x:c>
      <x:c r="J83" s="170" t="str">
        <x:v>Yes</x:v>
      </x:c>
    </x:row>
    <x:row r="84">
      <x:c r="A84" s="170" t="str">
        <x:v>Tier C SLA</x:v>
      </x:c>
      <x:c r="B84" s="170" t="str">
        <x:v>Risk / ops</x:v>
      </x:c>
      <x:c r="C84" s="170" t="str">
        <x:v>5d</x:v>
      </x:c>
      <x:c r="D84" s="170" t="str">
        <x:v>7d</x:v>
      </x:c>
      <x:c r="E84" s="170" t="str">
        <x:v>10d</x:v>
      </x:c>
      <x:c r="F84" s="170" t="str">
        <x:v>days</x:v>
      </x:c>
      <x:c r="G84" s="170" t="str">
        <x:v>estimate</x:v>
      </x:c>
      <x:c r="H84" s="170" t="str">
        <x:v>Physical originals path</x:v>
      </x:c>
      <x:c r="I84" s="170" t="str">
        <x:v>Pitch ops claim</x:v>
      </x:c>
      <x:c r="J84" s="170" t="str">
        <x:v>Yes</x:v>
      </x:c>
    </x:row>
    <x:row r="85">
      <x:c r="A85" s="170" t="str">
        <x:v>Tier A/B/C docs per deal</x:v>
      </x:c>
      <x:c r="B85" s="170" t="str">
        <x:v>COGS/variable cost</x:v>
      </x:c>
      <x:c r="C85" s="170" t="str">
        <x:v>A2/B4/C6</x:v>
      </x:c>
      <x:c r="D85" s="170" t="str">
        <x:v>A3/B6/C9</x:v>
      </x:c>
      <x:c r="E85" s="170" t="str">
        <x:v>A4/B8/C12</x:v>
      </x:c>
      <x:c r="F85" s="170" t="str">
        <x:v>docs/deal</x:v>
      </x:c>
      <x:c r="G85" s="170" t="str">
        <x:v>estimate</x:v>
      </x:c>
      <x:c r="H85" s="170" t="str">
        <x:v>Different intake methods imply different document packs</x:v>
      </x:c>
      <x:c r="I85" s="170" t="str">
        <x:v>Feeds Claude/API doc processing</x:v>
      </x:c>
      <x:c r="J85" s="170" t="str">
        <x:v>Yes</x:v>
      </x:c>
    </x:row>
    <x:row r="86">
      <x:c r="A86" s="170" t="str">
        <x:v>Tier risk score</x:v>
      </x:c>
      <x:c r="B86" s="170" t="str">
        <x:v>Risk</x:v>
      </x:c>
      <x:c r="C86" s="170" t="str">
        <x:v>A1/B2/C4</x:v>
      </x:c>
      <x:c r="D86" s="170" t="str">
        <x:v>A1/B3/C5</x:v>
      </x:c>
      <x:c r="E86" s="170" t="str">
        <x:v>A2/B3/C5</x:v>
      </x:c>
      <x:c r="F86" s="170" t="str">
        <x:v>1 low - 5 high</x:v>
      </x:c>
      <x:c r="G86" s="170" t="str">
        <x:v>estimate</x:v>
      </x:c>
      <x:c r="H86" s="170" t="str">
        <x:v>Narrative risk score for finance/pitch</x:v>
      </x:c>
      <x:c r="I86" s="170" t="str">
        <x:v>Not a regulatory score</x:v>
      </x:c>
      <x:c r="J86" s="170" t="str">
        <x:v>Yes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ColWidth="8.6328125" defaultRowHeight="14.5"/>
  <x:cols>
    <x:col min="1" max="1" width="2" customWidth="1"/>
    <x:col min="2" max="2" width="5" customWidth="1"/>
    <x:col min="3" max="3" width="46" customWidth="1"/>
    <x:col min="4" max="4" width="60" customWidth="1"/>
  </x:cols>
  <x:sheetData>
    <x:row r="2" ht="17.25" customHeight="1">
      <x:c r="B2" s="3" t="s">
        <x:v>290</x:v>
      </x:c>
    </x:row>
    <x:row r="3" ht="15" customHeight="1">
      <x:c r="B3" s="4" t="s">
        <x:v>291</x:v>
      </x:c>
    </x:row>
    <x:row r="5" ht="15" customHeight="1">
      <x:c r="B5" s="10" t="str">
        <x:v>Rank</x:v>
      </x:c>
      <x:c r="C5" s="10" t="s">
        <x:v>27</x:v>
      </x:c>
      <x:c r="D5" s="10" t="s">
        <x:v>292</x:v>
      </x:c>
    </x:row>
    <x:row r="6" ht="33.75" customHeight="1">
      <x:c r="B6" s="18" t="n">
        <x:v>1</x:v>
      </x:c>
      <x:c r="C6" s="44" t="str">
        <x:v>Deal volume (Year 1-3)</x:v>
      </x:c>
      <x:c r="D6" s="69" t="str">
        <x:v>Master driver. Every revenue and COGS line still scales off deal count.</x:v>
      </x:c>
    </x:row>
    <x:row r="7" ht="33.75" customHeight="1">
      <x:c r="B7" s="70" t="n">
        <x:v>2</x:v>
      </x:c>
      <x:c r="C7" s="71" t="str">
        <x:v>Tier mix: A eBL / B carrier API / C paper</x:v>
      </x:c>
      <x:c r="D7" s="72" t="str">
        <x:v>Drives pricing, COGS, dispute risk, SLA and gross margin.</x:v>
      </x:c>
    </x:row>
    <x:row r="8" ht="33.75" customHeight="1">
      <x:c r="B8" s="18" t="n">
        <x:v>3</x:v>
      </x:c>
      <x:c r="C8" s="44" t="str">
        <x:v>Tier C paper/forensics cost and pass-through recovery</x:v>
      </x:c>
      <x:c r="D8" s="69" t="str">
        <x:v>High-risk fallback can destroy margin unless priced and passed through.</x:v>
      </x:c>
    </x:row>
    <x:row r="9" ht="33.75" customHeight="1">
      <x:c r="B9" s="70" t="n">
        <x:v>4</x:v>
      </x:c>
      <x:c r="C9" s="71" t="str">
        <x:v>Escrow take rate by tier</x:v>
      </x:c>
      <x:c r="D9" s="72" t="str">
        <x:v>Largest core revenue lever once volume is set.</x:v>
      </x:c>
    </x:row>
    <x:row r="10" ht="33.75" customHeight="1">
      <x:c r="B10" s="18" t="n">
        <x:v>5</x:v>
      </x:c>
      <x:c r="C10" s="44" t="str">
        <x:v>Average deal value</x:v>
      </x:c>
      <x:c r="D10" s="69" t="str">
        <x:v>Multiplies take-rate revenue and GMV.</x:v>
      </x:c>
    </x:row>
    <x:row r="11" ht="33.75" customHeight="1">
      <x:c r="B11" s="70" t="n">
        <x:v>6</x:v>
      </x:c>
      <x:c r="C11" s="71" t="str">
        <x:v>Regulatory perimeter / authorisation delay</x:v>
      </x:c>
      <x:c r="D11" s="72" t="str">
        <x:v>Can add months of burn and specialist legal/compliance spend.</x:v>
      </x:c>
    </x:row>
    <x:row r="12" ht="33.75" customHeight="1">
      <x:c r="B12" s="18" t="n">
        <x:v>7</x:v>
      </x:c>
      <x:c r="C12" s="44" t="str">
        <x:v>Retained-risk reserves</x:v>
      </x:c>
      <x:c r="D12" s="69" t="str">
        <x:v>Wrongful-release/process-error reserve, deductible reserve and incident budget affect funding ask.</x:v>
      </x:c>
    </x:row>
    <x:row r="13" ht="33.75" customHeight="1">
      <x:c r="B13" s="70" t="n">
        <x:v>8</x:v>
      </x:c>
      <x:c r="C13" s="71" t="str">
        <x:v>Headcount ramp &amp; salaries</x:v>
      </x:c>
      <x:c r="D13" s="72" t="str">
        <x:v>Payroll remains dominant fixed cost.</x:v>
      </x:c>
    </x:row>
    <x:row r="14" ht="33.75" customHeight="1">
      <x:c r="B14" s="18" t="n">
        <x:v>9</x:v>
      </x:c>
      <x:c r="C14" s="44" t="str">
        <x:v>Partner/channel commissions and API outage fallback</x:v>
      </x:c>
      <x:c r="D14" s="69" t="str">
        <x:v>Distribution and carrier/API reliance can erode margin.</x:v>
      </x:c>
    </x:row>
    <x:row r="15" ht="33.75" customHeight="1">
      <x:c r="B15" s="70" t="n">
        <x:v>10</x:v>
      </x:c>
      <x:c r="C15" s="71" t="str">
        <x:v>Pilot-to-paid conversion</x:v>
      </x:c>
      <x:c r="D15" s="72" t="str">
        <x:v>Determines how quickly planned deal volume is reached.</x:v>
      </x:c>
    </x:row>
    <x:row r="18" ht="15" customHeight="1">
      <x:c r="B18" s="2" t="s">
        <x:v>293</x:v>
      </x:c>
      <x:c r="C18" s="2"/>
      <x:c r="D18" s="2"/>
    </x:row>
    <x:row r="19" ht="27.75" customHeight="1">
      <x:c r="C19" s="1" t="s">
        <x:v>294</x:v>
      </x:c>
      <x:c r="D19" s="1"/>
    </x:row>
    <x:row r="20" ht="27.75" customHeight="1">
      <x:c r="C20" s="1" t="s">
        <x:v>295</x:v>
      </x:c>
      <x:c r="D20" s="1"/>
    </x:row>
    <x:row r="21" ht="27.75" customHeight="1">
      <x:c r="C21" s="1" t="s">
        <x:v>296</x:v>
      </x:c>
      <x:c r="D21" s="1"/>
    </x:row>
    <x:row r="22" ht="27.75" customHeight="1">
      <x:c r="C22" s="1" t="s">
        <x:v>297</x:v>
      </x:c>
      <x:c r="D22" s="1"/>
    </x:row>
    <x:row r="23" ht="27.75" customHeight="1">
      <x:c r="C23" s="1" t="s">
        <x:v>298</x:v>
      </x:c>
      <x:c r="D23" s="1"/>
    </x:row>
  </x:sheetData>
  <x:mergeCells>
    <x:mergeCell ref="C23:D23"/>
    <x:mergeCell ref="B18:D18"/>
    <x:mergeCell ref="C19:D19"/>
    <x:mergeCell ref="C20:D20"/>
    <x:mergeCell ref="C21:D21"/>
    <x:mergeCell ref="C22:D2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ColWidth="8.6328125" defaultRowHeight="14.5"/>
  <x:cols>
    <x:col min="1" max="1" width="2" customWidth="1"/>
    <x:col min="2" max="2" width="38" customWidth="1"/>
    <x:col min="3" max="3" width="14" customWidth="1"/>
    <x:col min="4" max="4" width="62" customWidth="1"/>
    <x:col min="5" max="5" width="16" customWidth="1"/>
  </x:cols>
  <x:sheetData>
    <x:row r="2" ht="17.25" customHeight="1">
      <x:c r="B2" s="3" t="s">
        <x:v>299</x:v>
      </x:c>
    </x:row>
    <x:row r="3" ht="15" customHeight="1">
      <x:c r="B3" s="4" t="s">
        <x:v>300</x:v>
      </x:c>
    </x:row>
    <x:row r="5" ht="15" customHeight="1">
      <x:c r="B5" s="10" t="s">
        <x:v>301</x:v>
      </x:c>
      <x:c r="C5" s="10" t="s">
        <x:v>302</x:v>
      </x:c>
      <x:c r="D5" s="10" t="s">
        <x:v>303</x:v>
      </x:c>
      <x:c r="E5" s="10" t="s">
        <x:v>304</x:v>
      </x:c>
    </x:row>
    <x:row r="6" ht="63.75" customHeight="1">
      <x:c r="B6" s="73" t="s">
        <x:v>305</x:v>
      </x:c>
      <x:c r="C6" s="74" t="s">
        <x:v>306</x:v>
      </x:c>
      <x:c r="D6" s="69" t="s">
        <x:v>307</x:v>
      </x:c>
      <x:c r="E6" s="75" t="s">
        <x:v>308</x:v>
      </x:c>
    </x:row>
    <x:row r="7" ht="63.75" customHeight="1">
      <x:c r="B7" s="73" t="s">
        <x:v>309</x:v>
      </x:c>
      <x:c r="C7" s="74" t="s">
        <x:v>306</x:v>
      </x:c>
      <x:c r="D7" s="69" t="s">
        <x:v>310</x:v>
      </x:c>
      <x:c r="E7" s="75" t="s">
        <x:v>311</x:v>
      </x:c>
    </x:row>
    <x:row r="8" ht="63.75" customHeight="1">
      <x:c r="B8" s="73" t="s">
        <x:v>312</x:v>
      </x:c>
      <x:c r="C8" s="76" t="s">
        <x:v>313</x:v>
      </x:c>
      <x:c r="D8" s="69" t="s">
        <x:v>314</x:v>
      </x:c>
      <x:c r="E8" s="75" t="s">
        <x:v>315</x:v>
      </x:c>
    </x:row>
    <x:row r="9" ht="63.75" customHeight="1">
      <x:c r="B9" s="73" t="s">
        <x:v>316</x:v>
      </x:c>
      <x:c r="C9" s="76" t="s">
        <x:v>313</x:v>
      </x:c>
      <x:c r="D9" s="69" t="s">
        <x:v>317</x:v>
      </x:c>
      <x:c r="E9" s="75" t="s">
        <x:v>318</x:v>
      </x:c>
    </x:row>
    <x:row r="10" ht="63.75" customHeight="1">
      <x:c r="B10" s="73" t="s">
        <x:v>319</x:v>
      </x:c>
      <x:c r="C10" s="77" t="s">
        <x:v>320</x:v>
      </x:c>
      <x:c r="D10" s="69" t="s">
        <x:v>321</x:v>
      </x:c>
      <x:c r="E10" s="75" t="s">
        <x:v>322</x:v>
      </x:c>
    </x:row>
    <x:row r="11" ht="63.75" customHeight="1">
      <x:c r="B11" s="73" t="s">
        <x:v>323</x:v>
      </x:c>
      <x:c r="C11" s="76" t="s">
        <x:v>313</x:v>
      </x:c>
      <x:c r="D11" s="69" t="s">
        <x:v>324</x:v>
      </x:c>
      <x:c r="E11" s="75" t="s">
        <x:v>325</x:v>
      </x:c>
    </x:row>
    <x:row r="12" ht="63.75" customHeight="1">
      <x:c r="B12" s="73" t="s">
        <x:v>326</x:v>
      </x:c>
      <x:c r="C12" s="77" t="s">
        <x:v>320</x:v>
      </x:c>
      <x:c r="D12" s="69" t="s">
        <x:v>327</x:v>
      </x:c>
      <x:c r="E12" s="75" t="s">
        <x:v>328</x:v>
      </x:c>
    </x:row>
    <x:row r="13" ht="63.75" customHeight="1">
      <x:c r="B13" s="73" t="s">
        <x:v>329</x:v>
      </x:c>
      <x:c r="C13" s="77" t="s">
        <x:v>320</x:v>
      </x:c>
      <x:c r="D13" s="69" t="s">
        <x:v>330</x:v>
      </x:c>
      <x:c r="E13" s="75" t="s">
        <x:v>331</x:v>
      </x:c>
    </x:row>
    <x:row r="14" ht="63.75" customHeight="1">
      <x:c r="B14" s="73" t="s">
        <x:v>332</x:v>
      </x:c>
      <x:c r="C14" s="78" t="s">
        <x:v>333</x:v>
      </x:c>
      <x:c r="D14" s="69" t="s">
        <x:v>334</x:v>
      </x:c>
      <x:c r="E14" s="75" t="s">
        <x:v>335</x:v>
      </x:c>
    </x:row>
    <x:row r="15" ht="63.75" customHeight="1">
      <x:c r="B15" s="73" t="s">
        <x:v>336</x:v>
      </x:c>
      <x:c r="C15" s="77" t="s">
        <x:v>320</x:v>
      </x:c>
      <x:c r="D15" s="69" t="s">
        <x:v>337</x:v>
      </x:c>
      <x:c r="E15" s="75" t="s">
        <x:v>338</x:v>
      </x:c>
    </x:row>
    <x:row r="17" ht="34.5" customHeight="1">
      <x:c r="B17" s="304" t="str">
        <x:v>Goods delivery / quality / performance risk</x:v>
      </x:c>
      <x:c r="C17" s="308" t="str">
        <x:v>EXCLUDED</x:v>
      </x:c>
      <x:c r="D17" s="288" t="str">
        <x:v>Core premise: Blockmediary releases against documents, not actual delivery/condition. Must be drafted explicitly in TEA and customer terms.</x:v>
      </x:c>
      <x:c r="E17" s="288" t="str">
        <x:v>Trade finance counsel</x:v>
      </x:c>
    </x:row>
    <x:row r="18" ht="34.5" customHeight="1">
      <x:c r="B18" s="304" t="str">
        <x:v>Wrongful release / process error</x:v>
      </x:c>
      <x:c r="C18" s="310" t="str">
        <x:v>HIGH</x:v>
      </x:c>
      <x:c r="D18" s="288" t="str">
        <x:v>Retained risk: if our rules engine, examiner, API integration or release workflow makes a bad decision, we may face claims.</x:v>
      </x:c>
      <x:c r="E18" s="288" t="str">
        <x:v>PI/E&amp;O insurer + counsel</x:v>
      </x:c>
    </x:row>
    <x:row r="19" ht="34.5" customHeight="1">
      <x:c r="B19" s="304" t="str">
        <x:v>Document-source failure or outage</x:v>
      </x:c>
      <x:c r="C19" s="312" t="str">
        <x:v>MEDIUM</x:v>
      </x:c>
      <x:c r="D19" s="288" t="str">
        <x:v>Carrier/eBL/API source may be unavailable or wrong; model includes fallback and integration costs.</x:v>
      </x:c>
      <x:c r="E19" s="288" t="str">
        <x:v>Carrier/eBL partners</x:v>
      </x:c>
    </x:row>
    <x:row r="20" ht="34.5" customHeight="1">
      <x:c r="B20" s="304" t="str">
        <x:v>Tier C paper/originals risk</x:v>
      </x:c>
      <x:c r="C20" s="314" t="str">
        <x:v>HIGH</x:v>
      </x:c>
      <x:c r="D20" s="288" t="str">
        <x:v>Manual paper, courier, originals and forensics create higher operational error and dispute risk.</x:v>
      </x:c>
      <x:c r="E20" s="288" t="str">
        <x:v>Forensics partner + ops lead</x:v>
      </x:c>
    </x:row>
    <x:row r="21" ht="34.5" customHeight="1">
      <x:c r="B21" s="304" t="str">
        <x:v>Partner indemnities / pass-throughs</x:v>
      </x:c>
      <x:c r="C21" s="314" t="str">
        <x:v>HIGH</x:v>
      </x:c>
      <x:c r="D21" s="288" t="str">
        <x:v>Need contracts with eBL, carrier API, forensics, courier and KYC providers to push source failures and direct costs outward.</x:v>
      </x:c>
      <x:c r="E21" s="288" t="str">
        <x:v>Commercial counsel</x:v>
      </x:c>
    </x:row>
    <x:row r="22" ht="34.5" customHeight="1">
      <x:c r="B22" s="304" t="str">
        <x:v>Operational error reserve adequacy</x:v>
      </x:c>
      <x:c r="C22" s="312" t="str">
        <x:v>MEDIUM</x:v>
      </x:c>
      <x:c r="D22" s="288" t="str">
        <x:v>Reserve is assumption-based, not actuarial. Must be revisited after pilot loss/dispute history.</x:v>
      </x:c>
      <x:c r="E22" s="288" t="str">
        <x:v>CFO + insurer</x:v>
      </x:c>
    </x:row>
    <x:row r="23" ht="34.5" customHeight="1">
      <x:c r="B23" s="304" t="str">
        <x:v>Regulatory delay reserve</x:v>
      </x:c>
      <x:c r="C23" s="314" t="str">
        <x:v>HIGH</x:v>
      </x:c>
      <x:c r="D23" s="288" t="str">
        <x:v>Not a P&amp;L cost but a funding requirement if authorisation/legal sign-off delays launch.</x:v>
      </x:c>
      <x:c r="E23" s="288" t="str">
        <x:v>Regulatory counsel / investors</x:v>
      </x:c>
    </x:row>
    <x:row r="24" ht="34.5" customHeight="1">
      <x:c r="B24" s="304" t="str">
        <x:v>Yield share upside</x:v>
      </x:c>
      <x:c r="C24" s="314" t="str">
        <x:v>HIGH</x:v>
      </x:c>
      <x:c r="D24" s="288" t="str">
        <x:v>Kept off in base case. Only use if regulated yield infrastructure and customer terms permit it.</x:v>
      </x:c>
      <x:c r="E24" s="288" t="str">
        <x:v>Crypto/payments counsel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9.290000915527344" hidden="0" customWidth="1"/>
    <x:col min="2" max="2" width="14.289999961853027" hidden="0" customWidth="1"/>
    <x:col min="3" max="3" width="14.289999961853027" hidden="0" customWidth="1"/>
    <x:col min="4" max="4" width="14.289999961853027" hidden="0" customWidth="1"/>
    <x:col min="5" max="5" width="14.289999961853027" hidden="0" customWidth="1"/>
    <x:col min="6" max="6" width="14.289999961853027" hidden="0" customWidth="1"/>
    <x:col min="7" max="7" width="14.289999961853027" hidden="0" customWidth="1"/>
    <x:col min="8" max="8" width="14.289999961853027" hidden="0" customWidth="1"/>
    <x:col min="9" max="9" width="14.289999961853027" hidden="0" customWidth="1"/>
    <x:col min="10" max="10" width="14.289999961853027" hidden="0" customWidth="1"/>
    <x:col min="11" max="11" width="14.289999961853027" hidden="0" customWidth="1"/>
    <x:col min="12" max="12" width="14.289999961853027" hidden="0" customWidth="1"/>
    <x:col min="13" max="13" width="14.289999961853027" hidden="0" customWidth="1"/>
    <x:col min="14" max="14" width="14.289999961853027" hidden="0" customWidth="1"/>
  </x:cols>
  <x:sheetData>
    <x:row r="1">
      <x:c r="A1" s="160" t="str">
        <x:v>Funding Timeline — 18-month cash plan</x:v>
      </x:c>
      <x:c r="B1" t="str"/>
      <x:c r="C1" t="str"/>
      <x:c r="D1" t="str"/>
      <x:c r="E1" t="str"/>
      <x:c r="F1" t="str"/>
      <x:c r="G1" t="str"/>
      <x:c r="H1" t="str"/>
      <x:c r="I1" t="str"/>
      <x:c r="J1" t="str"/>
      <x:c r="K1" t="str"/>
      <x:c r="L1" t="str"/>
      <x:c r="M1" t="str"/>
      <x:c r="N1" t="str"/>
    </x:row>
    <x:row r="3">
      <x:c r="A3" s="168" t="str">
        <x:v>Line item (£k)</x:v>
      </x:c>
      <x:c r="B3" s="168" t="str">
        <x:v>M1</x:v>
      </x:c>
      <x:c r="C3" s="168" t="str">
        <x:v>M2</x:v>
      </x:c>
      <x:c r="D3" s="168" t="str">
        <x:v>M3</x:v>
      </x:c>
      <x:c r="E3" s="168" t="str">
        <x:v>M4</x:v>
      </x:c>
      <x:c r="F3" s="168" t="str">
        <x:v>M5</x:v>
      </x:c>
      <x:c r="G3" s="168" t="str">
        <x:v>M6</x:v>
      </x:c>
      <x:c r="H3" s="168" t="str">
        <x:v>M7</x:v>
      </x:c>
      <x:c r="I3" s="168" t="str">
        <x:v>M8</x:v>
      </x:c>
      <x:c r="J3" s="168" t="str">
        <x:v>M9</x:v>
      </x:c>
      <x:c r="K3" s="168" t="str">
        <x:v>M10</x:v>
      </x:c>
      <x:c r="L3" s="168" t="str">
        <x:v>M11</x:v>
      </x:c>
      <x:c r="M3" s="168" t="str">
        <x:v>M12</x:v>
      </x:c>
      <x:c r="N3" s="168" t="str">
        <x:v>Total</x:v>
      </x:c>
    </x:row>
    <x:row r="4">
      <x:c r="A4" s="169" t="str">
        <x:v>Opening cash</x:v>
      </x:c>
      <x:c r="B4" s="174" t="n">
        <x:f>$B$5</x:f>
        <x:v>1058.46565703125</x:v>
      </x:c>
      <x:c r="C4" s="174" t="n">
        <x:f>B12</x:f>
        <x:v>2023.6292390625</x:v>
      </x:c>
      <x:c r="D4" s="174" t="n">
        <x:f>C12</x:f>
        <x:v>1930.3271640624998</x:v>
      </x:c>
      <x:c r="E4" s="174" t="n">
        <x:f>D12</x:f>
        <x:v>1837.0250890624998</x:v>
      </x:c>
      <x:c r="F4" s="174" t="n">
        <x:f>E12</x:f>
        <x:v>1743.7230140624997</x:v>
      </x:c>
      <x:c r="G4" s="174" t="n">
        <x:f>F12</x:f>
        <x:v>1650.4209390624997</x:v>
      </x:c>
      <x:c r="H4" s="174" t="n">
        <x:f>G12</x:f>
        <x:v>1557.1188640624996</x:v>
      </x:c>
      <x:c r="I4" s="174" t="n">
        <x:f>H12</x:f>
        <x:v>1514.720213802083</x:v>
      </x:c>
      <x:c r="J4" s="174" t="n">
        <x:f>I12</x:f>
        <x:v>1472.3215635416664</x:v>
      </x:c>
      <x:c r="K4" s="174" t="n">
        <x:f>J12</x:f>
        <x:v>1429.9229132812497</x:v>
      </x:c>
      <x:c r="L4" s="174" t="n">
        <x:f>K12</x:f>
        <x:v>1387.5242630208331</x:v>
      </x:c>
      <x:c r="M4" s="174" t="n">
        <x:f>L12</x:f>
        <x:v>1345.1256127604165</x:v>
      </x:c>
      <x:c r="N4" s="174" t="n">
        <x:f>B4</x:f>
        <x:v>1058.46565703125</x:v>
      </x:c>
    </x:row>
    <x:row r="5">
      <x:c r="A5" s="169" t="str">
        <x:v>Suggested pre-seed raise</x:v>
      </x:c>
      <x:c r="B5" s="174" t="n">
        <x:f>'P&amp;L_3yr'!$C$64/1000</x:f>
        <x:v>1058.46565703125</x:v>
      </x:c>
      <x:c r="C5" s="174" t="n">
        <x:f>0</x:f>
        <x:v>0</x:v>
      </x:c>
      <x:c r="D5" s="174" t="n">
        <x:f>0</x:f>
        <x:v>0</x:v>
      </x:c>
      <x:c r="E5" s="174" t="n">
        <x:f>0</x:f>
        <x:v>0</x:v>
      </x:c>
      <x:c r="F5" s="174" t="n">
        <x:f>0</x:f>
        <x:v>0</x:v>
      </x:c>
      <x:c r="G5" s="174" t="n">
        <x:f>0</x:f>
        <x:v>0</x:v>
      </x:c>
      <x:c r="H5" s="174" t="n">
        <x:f>0</x:f>
        <x:v>0</x:v>
      </x:c>
      <x:c r="I5" s="174" t="n">
        <x:f>0</x:f>
        <x:v>0</x:v>
      </x:c>
      <x:c r="J5" s="174" t="n">
        <x:f>0</x:f>
        <x:v>0</x:v>
      </x:c>
      <x:c r="K5" s="174" t="n">
        <x:f>0</x:f>
        <x:v>0</x:v>
      </x:c>
      <x:c r="L5" s="174" t="n">
        <x:f>0</x:f>
        <x:v>0</x:v>
      </x:c>
      <x:c r="M5" s="174" t="n">
        <x:f>0</x:f>
        <x:v>0</x:v>
      </x:c>
      <x:c r="N5" s="174" t="n">
        <x:f>SUM(B5:M5)</x:f>
        <x:v>1058.46565703125</x:v>
      </x:c>
    </x:row>
    <x:row r="6">
      <x:c r="A6" s="169" t="str">
        <x:v>Revenue receipts</x:v>
      </x:c>
      <x:c r="B6" s="174" t="n">
        <x:f>0</x:f>
        <x:v>0</x:v>
      </x:c>
      <x:c r="C6" s="174" t="n">
        <x:f>0</x:f>
        <x:v>0</x:v>
      </x:c>
      <x:c r="D6" s="174" t="n">
        <x:f>0</x:f>
        <x:v>0</x:v>
      </x:c>
      <x:c r="E6" s="174" t="n">
        <x:f>0</x:f>
        <x:v>0</x:v>
      </x:c>
      <x:c r="F6" s="174" t="n">
        <x:f>0</x:f>
        <x:v>0</x:v>
      </x:c>
      <x:c r="G6" s="174" t="n">
        <x:f>0</x:f>
        <x:v>0</x:v>
      </x:c>
      <x:c r="H6" s="174" t="n">
        <x:f>'P&amp;L_3yr'!$C$18/(12-Assumptions!$F$70)/1000</x:f>
        <x:v>18.53633333333333</x:v>
      </x:c>
      <x:c r="I6" s="174" t="n">
        <x:f>'P&amp;L_3yr'!$C$18/(12-Assumptions!$F$70)/1000</x:f>
        <x:v>18.53633333333333</x:v>
      </x:c>
      <x:c r="J6" s="174" t="n">
        <x:f>'P&amp;L_3yr'!$C$18/(12-Assumptions!$F$70)/1000</x:f>
        <x:v>18.53633333333333</x:v>
      </x:c>
      <x:c r="K6" s="174" t="n">
        <x:f>'P&amp;L_3yr'!$C$18/(12-Assumptions!$F$70)/1000</x:f>
        <x:v>18.53633333333333</x:v>
      </x:c>
      <x:c r="L6" s="174" t="n">
        <x:f>'P&amp;L_3yr'!$C$18/(12-Assumptions!$F$70)/1000</x:f>
        <x:v>18.53633333333333</x:v>
      </x:c>
      <x:c r="M6" s="174" t="n">
        <x:f>'P&amp;L_3yr'!$C$18/(12-Assumptions!$F$70)/1000</x:f>
        <x:v>18.53633333333333</x:v>
      </x:c>
      <x:c r="N6" s="174" t="n">
        <x:f>SUM(B6:M6)</x:f>
        <x:v>111.21799999999999</x:v>
      </x:c>
    </x:row>
    <x:row r="7">
      <x:c r="A7" s="169" t="str">
        <x:v>Startup one-off spend</x:v>
      </x:c>
      <x:c r="B7" s="174" t="n">
        <x:f>Startup_6mo!$F$44/6/1000</x:f>
        <x:v>40.185408333333335</x:v>
      </x:c>
      <x:c r="C7" s="174" t="n">
        <x:f>Startup_6mo!$F$44/6/1000</x:f>
        <x:v>40.185408333333335</x:v>
      </x:c>
      <x:c r="D7" s="174" t="n">
        <x:f>Startup_6mo!$F$44/6/1000</x:f>
        <x:v>40.185408333333335</x:v>
      </x:c>
      <x:c r="E7" s="174" t="n">
        <x:f>Startup_6mo!$F$44/6/1000</x:f>
        <x:v>40.185408333333335</x:v>
      </x:c>
      <x:c r="F7" s="174" t="n">
        <x:f>Startup_6mo!$F$44/6/1000</x:f>
        <x:v>40.185408333333335</x:v>
      </x:c>
      <x:c r="G7" s="174" t="n">
        <x:f>Startup_6mo!$F$44/6/1000</x:f>
        <x:v>40.185408333333335</x:v>
      </x:c>
      <x:c r="H7" s="174" t="n">
        <x:f>0</x:f>
        <x:v>0</x:v>
      </x:c>
      <x:c r="I7" s="174" t="n">
        <x:f>0</x:f>
        <x:v>0</x:v>
      </x:c>
      <x:c r="J7" s="174" t="n">
        <x:f>0</x:f>
        <x:v>0</x:v>
      </x:c>
      <x:c r="K7" s="174" t="n">
        <x:f>0</x:f>
        <x:v>0</x:v>
      </x:c>
      <x:c r="L7" s="174" t="n">
        <x:f>0</x:f>
        <x:v>0</x:v>
      </x:c>
      <x:c r="M7" s="174" t="n">
        <x:f>0</x:f>
        <x:v>0</x:v>
      </x:c>
      <x:c r="N7" s="174" t="n">
        <x:f>SUM(B7:M7)</x:f>
        <x:v>241.11245</x:v>
      </x:c>
    </x:row>
    <x:row r="8">
      <x:c r="A8" s="169" t="str">
        <x:v>Payroll cash burn</x:v>
      </x:c>
      <x:c r="B8" s="174" t="n">
        <x:f>'P&amp;L_3yr'!$C$42/12/1000</x:f>
        <x:v>33.31666666666666</x:v>
      </x:c>
      <x:c r="C8" s="174" t="n">
        <x:f>'P&amp;L_3yr'!$C$42/12/1000</x:f>
        <x:v>33.31666666666666</x:v>
      </x:c>
      <x:c r="D8" s="174" t="n">
        <x:f>'P&amp;L_3yr'!$C$42/12/1000</x:f>
        <x:v>33.31666666666666</x:v>
      </x:c>
      <x:c r="E8" s="174" t="n">
        <x:f>'P&amp;L_3yr'!$C$42/12/1000</x:f>
        <x:v>33.31666666666666</x:v>
      </x:c>
      <x:c r="F8" s="174" t="n">
        <x:f>'P&amp;L_3yr'!$C$42/12/1000</x:f>
        <x:v>33.31666666666666</x:v>
      </x:c>
      <x:c r="G8" s="174" t="n">
        <x:f>'P&amp;L_3yr'!$C$42/12/1000</x:f>
        <x:v>33.31666666666666</x:v>
      </x:c>
      <x:c r="H8" s="174" t="n">
        <x:f>'P&amp;L_3yr'!$C$42/12/1000</x:f>
        <x:v>33.31666666666666</x:v>
      </x:c>
      <x:c r="I8" s="174" t="n">
        <x:f>'P&amp;L_3yr'!$C$42/12/1000</x:f>
        <x:v>33.31666666666666</x:v>
      </x:c>
      <x:c r="J8" s="174" t="n">
        <x:f>'P&amp;L_3yr'!$C$42/12/1000</x:f>
        <x:v>33.31666666666666</x:v>
      </x:c>
      <x:c r="K8" s="174" t="n">
        <x:f>'P&amp;L_3yr'!$C$42/12/1000</x:f>
        <x:v>33.31666666666666</x:v>
      </x:c>
      <x:c r="L8" s="174" t="n">
        <x:f>'P&amp;L_3yr'!$C$42/12/1000</x:f>
        <x:v>33.31666666666666</x:v>
      </x:c>
      <x:c r="M8" s="174" t="n">
        <x:f>'P&amp;L_3yr'!$C$42/12/1000</x:f>
        <x:v>33.31666666666666</x:v>
      </x:c>
      <x:c r="N8" s="174" t="n">
        <x:f>SUM(B8:M8)</x:f>
        <x:v>399.79999999999995</x:v>
      </x:c>
    </x:row>
    <x:row r="9">
      <x:c r="A9" s="169" t="str">
        <x:v>Fixed opex cash burn</x:v>
      </x:c>
      <x:c r="B9" s="174" t="n">
        <x:f>'P&amp;L_3yr'!$C$56/12/1000</x:f>
        <x:v>19.8</x:v>
      </x:c>
      <x:c r="C9" s="174" t="n">
        <x:f>'P&amp;L_3yr'!$C$56/12/1000</x:f>
        <x:v>19.8</x:v>
      </x:c>
      <x:c r="D9" s="174" t="n">
        <x:f>'P&amp;L_3yr'!$C$56/12/1000</x:f>
        <x:v>19.8</x:v>
      </x:c>
      <x:c r="E9" s="174" t="n">
        <x:f>'P&amp;L_3yr'!$C$56/12/1000</x:f>
        <x:v>19.8</x:v>
      </x:c>
      <x:c r="F9" s="174" t="n">
        <x:f>'P&amp;L_3yr'!$C$56/12/1000</x:f>
        <x:v>19.8</x:v>
      </x:c>
      <x:c r="G9" s="174" t="n">
        <x:f>'P&amp;L_3yr'!$C$56/12/1000</x:f>
        <x:v>19.8</x:v>
      </x:c>
      <x:c r="H9" s="174" t="n">
        <x:f>'P&amp;L_3yr'!$C$56/12/1000</x:f>
        <x:v>19.8</x:v>
      </x:c>
      <x:c r="I9" s="174" t="n">
        <x:f>'P&amp;L_3yr'!$C$56/12/1000</x:f>
        <x:v>19.8</x:v>
      </x:c>
      <x:c r="J9" s="174" t="n">
        <x:f>'P&amp;L_3yr'!$C$56/12/1000</x:f>
        <x:v>19.8</x:v>
      </x:c>
      <x:c r="K9" s="174" t="n">
        <x:f>'P&amp;L_3yr'!$C$56/12/1000</x:f>
        <x:v>19.8</x:v>
      </x:c>
      <x:c r="L9" s="174" t="n">
        <x:f>'P&amp;L_3yr'!$C$56/12/1000</x:f>
        <x:v>19.8</x:v>
      </x:c>
      <x:c r="M9" s="174" t="n">
        <x:f>'P&amp;L_3yr'!$C$56/12/1000</x:f>
        <x:v>19.8</x:v>
      </x:c>
      <x:c r="N9" s="174" t="n">
        <x:f>SUM(B9:M9)</x:f>
        <x:v>237.60000000000005</x:v>
      </x:c>
    </x:row>
    <x:row r="10">
      <x:c r="A10" s="169" t="str">
        <x:v>COGS cash burn</x:v>
      </x:c>
      <x:c r="B10" s="174" t="n">
        <x:f>0</x:f>
        <x:v>0</x:v>
      </x:c>
      <x:c r="C10" s="174" t="n">
        <x:f>0</x:f>
        <x:v>0</x:v>
      </x:c>
      <x:c r="D10" s="174" t="n">
        <x:f>0</x:f>
        <x:v>0</x:v>
      </x:c>
      <x:c r="E10" s="174" t="n">
        <x:f>0</x:f>
        <x:v>0</x:v>
      </x:c>
      <x:c r="F10" s="174" t="n">
        <x:f>0</x:f>
        <x:v>0</x:v>
      </x:c>
      <x:c r="G10" s="174" t="n">
        <x:f>0</x:f>
        <x:v>0</x:v>
      </x:c>
      <x:c r="H10" s="174" t="n">
        <x:f>'P&amp;L_3yr'!$C$29/(12-Assumptions!$F$70)/1000</x:f>
        <x:v>7.818316927083334</x:v>
      </x:c>
      <x:c r="I10" s="174" t="n">
        <x:f>'P&amp;L_3yr'!$C$29/(12-Assumptions!$F$70)/1000</x:f>
        <x:v>7.818316927083334</x:v>
      </x:c>
      <x:c r="J10" s="174" t="n">
        <x:f>'P&amp;L_3yr'!$C$29/(12-Assumptions!$F$70)/1000</x:f>
        <x:v>7.818316927083334</x:v>
      </x:c>
      <x:c r="K10" s="174" t="n">
        <x:f>'P&amp;L_3yr'!$C$29/(12-Assumptions!$F$70)/1000</x:f>
        <x:v>7.818316927083334</x:v>
      </x:c>
      <x:c r="L10" s="174" t="n">
        <x:f>'P&amp;L_3yr'!$C$29/(12-Assumptions!$F$70)/1000</x:f>
        <x:v>7.818316927083334</x:v>
      </x:c>
      <x:c r="M10" s="174" t="n">
        <x:f>'P&amp;L_3yr'!$C$29/(12-Assumptions!$F$70)/1000</x:f>
        <x:v>7.818316927083334</x:v>
      </x:c>
      <x:c r="N10" s="174" t="n">
        <x:f>SUM(B10:M10)</x:f>
        <x:v>46.909901562499996</x:v>
      </x:c>
    </x:row>
    <x:row r="11">
      <x:c r="A11" s="169" t="str">
        <x:v>Net monthly cash flow</x:v>
      </x:c>
      <x:c r="B11" s="174" t="n">
        <x:f>B5+B6-B7-B8-B9-B10</x:f>
        <x:v>965.1635820312499</x:v>
      </x:c>
      <x:c r="C11" s="174" t="n">
        <x:f>C6-C7-C8-C9-C10</x:f>
        <x:v>-93.30207499999999</x:v>
      </x:c>
      <x:c r="D11" s="174" t="n">
        <x:f>D6-D7-D8-D9-D10</x:f>
        <x:v>-93.30207499999999</x:v>
      </x:c>
      <x:c r="E11" s="174" t="n">
        <x:f>E6-E7-E8-E9-E10</x:f>
        <x:v>-93.30207499999999</x:v>
      </x:c>
      <x:c r="F11" s="174" t="n">
        <x:f>F6-F7-F8-F9-F10</x:f>
        <x:v>-93.30207499999999</x:v>
      </x:c>
      <x:c r="G11" s="174" t="n">
        <x:f>G6-G7-G8-G9-G10</x:f>
        <x:v>-93.30207499999999</x:v>
      </x:c>
      <x:c r="H11" s="174" t="n">
        <x:f>H6-H7-H8-H9-H10</x:f>
        <x:v>-42.39865026041666</x:v>
      </x:c>
      <x:c r="I11" s="174" t="n">
        <x:f>I6-I7-I8-I9-I10</x:f>
        <x:v>-42.39865026041666</x:v>
      </x:c>
      <x:c r="J11" s="174" t="n">
        <x:f>J6-J7-J8-J9-J10</x:f>
        <x:v>-42.39865026041666</x:v>
      </x:c>
      <x:c r="K11" s="174" t="n">
        <x:f>K6-K7-K8-K9-K10</x:f>
        <x:v>-42.39865026041666</x:v>
      </x:c>
      <x:c r="L11" s="174" t="n">
        <x:f>L6-L7-L8-L9-L10</x:f>
        <x:v>-42.39865026041666</x:v>
      </x:c>
      <x:c r="M11" s="174" t="n">
        <x:f>M6-M7-M8-M9-M10</x:f>
        <x:v>-42.39865026041666</x:v>
      </x:c>
      <x:c r="N11" s="174" t="n">
        <x:f>SUM(B11:M11)</x:f>
        <x:v>244.2613054687501</x:v>
      </x:c>
    </x:row>
    <x:row r="12">
      <x:c r="A12" s="169" t="str">
        <x:v>Closing cash</x:v>
      </x:c>
      <x:c r="B12" s="174" t="n">
        <x:f>B4+B11</x:f>
        <x:v>2023.6292390625</x:v>
      </x:c>
      <x:c r="C12" s="174" t="n">
        <x:f>C4+C11</x:f>
        <x:v>1930.3271640624998</x:v>
      </x:c>
      <x:c r="D12" s="174" t="n">
        <x:f>D4+D11</x:f>
        <x:v>1837.0250890624998</x:v>
      </x:c>
      <x:c r="E12" s="174" t="n">
        <x:f>E4+E11</x:f>
        <x:v>1743.7230140624997</x:v>
      </x:c>
      <x:c r="F12" s="174" t="n">
        <x:f>F4+F11</x:f>
        <x:v>1650.4209390624997</x:v>
      </x:c>
      <x:c r="G12" s="174" t="n">
        <x:f>G4+G11</x:f>
        <x:v>1557.1188640624996</x:v>
      </x:c>
      <x:c r="H12" s="174" t="n">
        <x:f>H4+H11</x:f>
        <x:v>1514.720213802083</x:v>
      </x:c>
      <x:c r="I12" s="174" t="n">
        <x:f>I4+I11</x:f>
        <x:v>1472.3215635416664</x:v>
      </x:c>
      <x:c r="J12" s="174" t="n">
        <x:f>J4+J11</x:f>
        <x:v>1429.9229132812497</x:v>
      </x:c>
      <x:c r="K12" s="174" t="n">
        <x:f>K4+K11</x:f>
        <x:v>1387.5242630208331</x:v>
      </x:c>
      <x:c r="L12" s="174" t="n">
        <x:f>L4+L11</x:f>
        <x:v>1345.1256127604165</x:v>
      </x:c>
      <x:c r="M12" s="174" t="n">
        <x:f>M4+M11</x:f>
        <x:v>1302.7269625</x:v>
      </x:c>
      <x:c r="N12" s="174" t="n">
        <x:f>M12</x:f>
        <x:v>1302.7269625</x:v>
      </x:c>
    </x:row>
    <x:row r="13">
      <x:c r="A13" s="169" t="str"/>
      <x:c r="B13" s="170"/>
      <x:c r="C13" s="170"/>
      <x:c r="D13" s="170"/>
      <x:c r="E13" s="170"/>
      <x:c r="F13" s="170"/>
      <x:c r="G13" s="170"/>
      <x:c r="H13" s="170"/>
      <x:c r="I13" s="170"/>
      <x:c r="J13" s="170"/>
      <x:c r="K13" s="170"/>
      <x:c r="L13" s="170"/>
      <x:c r="M13" s="170"/>
      <x:c r="N13" s="170"/>
    </x:row>
    <x:row r="14">
      <x:c r="A14" s="169" t="str">
        <x:v>Milestone</x:v>
      </x:c>
      <x:c r="B14" s="176" t="str">
        <x:v>Setup</x:v>
      </x:c>
      <x:c r="C14" s="176" t="str">
        <x:v>Legal/reg review</x:v>
      </x:c>
      <x:c r="D14" s="176" t="str">
        <x:v>Prototype</x:v>
      </x:c>
      <x:c r="E14" s="176" t="str">
        <x:v>MVP build</x:v>
      </x:c>
      <x:c r="F14" s="176" t="str">
        <x:v>Pilot outreach</x:v>
      </x:c>
      <x:c r="G14" s="176" t="str">
        <x:v>Pilot ready</x:v>
      </x:c>
      <x:c r="H14" s="176" t="str">
        <x:v>First pilots</x:v>
      </x:c>
      <x:c r="I14" s="176" t="str">
        <x:v>Paid pilot</x:v>
      </x:c>
      <x:c r="J14" s="176" t="str">
        <x:v>Compliance hardening</x:v>
      </x:c>
      <x:c r="K14" s="176" t="str">
        <x:v>Partner outreach</x:v>
      </x:c>
      <x:c r="L14" s="176" t="str">
        <x:v>Seed prep</x:v>
      </x:c>
      <x:c r="M14" s="176" t="str">
        <x:v>Year 1 close</x:v>
      </x:c>
      <x:c r="N14" s="170"/>
    </x:row>
    <x:row r="15">
      <x:c r="A15" s="169" t="str">
        <x:v>Runway warning</x:v>
      </x:c>
      <x:c r="B15" s="176" t="str">
        <x:f>IF(B12&lt;0,"Raise sooner","OK")</x:f>
        <x:v>OK</x:v>
      </x:c>
      <x:c r="C15" s="176" t="str">
        <x:f>IF(C12&lt;0,"Raise sooner","OK")</x:f>
        <x:v>OK</x:v>
      </x:c>
      <x:c r="D15" s="176" t="str">
        <x:f>IF(D12&lt;0,"Raise sooner","OK")</x:f>
        <x:v>OK</x:v>
      </x:c>
      <x:c r="E15" s="176" t="str">
        <x:f>IF(E12&lt;0,"Raise sooner","OK")</x:f>
        <x:v>OK</x:v>
      </x:c>
      <x:c r="F15" s="176" t="str">
        <x:f>IF(F12&lt;0,"Raise sooner","OK")</x:f>
        <x:v>OK</x:v>
      </x:c>
      <x:c r="G15" s="176" t="str">
        <x:f>IF(G12&lt;0,"Raise sooner","OK")</x:f>
        <x:v>OK</x:v>
      </x:c>
      <x:c r="H15" s="176" t="str">
        <x:f>IF(H12&lt;0,"Raise sooner","OK")</x:f>
        <x:v>OK</x:v>
      </x:c>
      <x:c r="I15" s="176" t="str">
        <x:f>IF(I12&lt;0,"Raise sooner","OK")</x:f>
        <x:v>OK</x:v>
      </x:c>
      <x:c r="J15" s="176" t="str">
        <x:f>IF(J12&lt;0,"Raise sooner","OK")</x:f>
        <x:v>OK</x:v>
      </x:c>
      <x:c r="K15" s="176" t="str">
        <x:f>IF(K12&lt;0,"Raise sooner","OK")</x:f>
        <x:v>OK</x:v>
      </x:c>
      <x:c r="L15" s="176" t="str">
        <x:f>IF(L12&lt;0,"Raise sooner","OK")</x:f>
        <x:v>OK</x:v>
      </x:c>
      <x:c r="M15" s="176" t="str">
        <x:f>IF(M12&lt;0,"Raise sooner","OK")</x:f>
        <x:v>OK</x:v>
      </x:c>
      <x:c r="N15" s="170"/>
    </x:row>
    <x:row r="16">
      <x:c r="A16" s="169" t="str"/>
      <x:c r="B16" s="170"/>
      <x:c r="C16" s="170"/>
      <x:c r="D16" s="170"/>
      <x:c r="E16" s="170"/>
      <x:c r="F16" s="170"/>
      <x:c r="G16" s="170"/>
      <x:c r="H16" s="170"/>
      <x:c r="I16" s="170"/>
      <x:c r="J16" s="170"/>
      <x:c r="K16" s="170"/>
      <x:c r="L16" s="170"/>
      <x:c r="M16" s="170"/>
      <x:c r="N16" s="170"/>
    </x:row>
    <x:row r="17">
      <x:c r="A17" s="169" t="str">
        <x:v>Year 1 annual revenue</x:v>
      </x:c>
      <x:c r="B17" s="170"/>
      <x:c r="C17" s="170"/>
      <x:c r="D17" s="170"/>
      <x:c r="E17" s="170"/>
      <x:c r="F17" s="170"/>
      <x:c r="G17" s="170"/>
      <x:c r="H17" s="170"/>
      <x:c r="I17" s="170"/>
      <x:c r="J17" s="170"/>
      <x:c r="K17" s="170"/>
      <x:c r="L17" s="170"/>
      <x:c r="M17" s="170"/>
      <x:c r="N17" s="170"/>
    </x:row>
    <x:row r="18">
      <x:c r="A18" s="169" t="str">
        <x:v>Year 1 annual COGS</x:v>
      </x:c>
      <x:c r="B18" s="174" t="n">
        <x:f>'P&amp;L_3yr'!$C$18/1000</x:f>
        <x:v>111.218</x:v>
      </x:c>
      <x:c r="C18" s="170"/>
      <x:c r="D18" s="170"/>
      <x:c r="E18" s="170"/>
      <x:c r="F18" s="170"/>
      <x:c r="G18" s="170"/>
      <x:c r="H18" s="170"/>
      <x:c r="I18" s="170"/>
      <x:c r="J18" s="170"/>
      <x:c r="K18" s="170"/>
      <x:c r="L18" s="170"/>
      <x:c r="M18" s="170"/>
      <x:c r="N18" s="170"/>
    </x:row>
    <x:row r="19">
      <x:c r="A19" s="169" t="str">
        <x:v>Year 1 annual payroll</x:v>
      </x:c>
      <x:c r="B19" s="174" t="n">
        <x:f>'P&amp;L_3yr'!$C$29/1000</x:f>
        <x:v>46.9099015625</x:v>
      </x:c>
      <x:c r="C19" s="170"/>
      <x:c r="D19" s="170"/>
      <x:c r="E19" s="170"/>
      <x:c r="F19" s="170"/>
      <x:c r="G19" s="170"/>
      <x:c r="H19" s="170"/>
      <x:c r="I19" s="170"/>
      <x:c r="J19" s="170"/>
      <x:c r="K19" s="170"/>
      <x:c r="L19" s="170"/>
      <x:c r="M19" s="170"/>
      <x:c r="N19" s="170"/>
    </x:row>
    <x:row r="20">
      <x:c r="A20" s="169" t="str">
        <x:v>Year 1 annual fixed opex</x:v>
      </x:c>
      <x:c r="B20" s="174" t="n">
        <x:f>'P&amp;L_3yr'!$C$42/1000</x:f>
        <x:v>399.8</x:v>
      </x:c>
      <x:c r="C20" s="170"/>
      <x:c r="D20" s="170"/>
      <x:c r="E20" s="170"/>
      <x:c r="F20" s="170"/>
      <x:c r="G20" s="170"/>
      <x:c r="H20" s="170"/>
      <x:c r="I20" s="170"/>
      <x:c r="J20" s="170"/>
      <x:c r="K20" s="170"/>
      <x:c r="L20" s="170"/>
      <x:c r="M20" s="170"/>
      <x:c r="N20" s="170"/>
    </x:row>
    <x:row r="21">
      <x:c r="A21" s="169"/>
      <x:c r="B21" s="174" t="n">
        <x:f>'P&amp;L_3yr'!$C$56/1000</x:f>
        <x:v>237.6</x:v>
      </x:c>
      <x:c r="C21" s="170"/>
      <x:c r="D21" s="170"/>
      <x:c r="E21" s="170"/>
      <x:c r="F21" s="170"/>
      <x:c r="G21" s="170"/>
      <x:c r="H21" s="170"/>
      <x:c r="I21" s="170"/>
      <x:c r="J21" s="170"/>
      <x:c r="K21" s="170"/>
      <x:c r="L21" s="170"/>
      <x:c r="M21" s="170"/>
      <x:c r="N21" s="170"/>
    </x:row>
  </x:sheetData>
  <x:mergeCells>
    <x:mergeCell ref="A1:N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.13999938964844" hidden="0" customWidth="1"/>
    <x:col min="2" max="2" width="17.56999969482422" hidden="0" customWidth="1"/>
    <x:col min="3" max="3" width="17.56999969482422" hidden="0" customWidth="1"/>
    <x:col min="4" max="4" width="17.56999969482422" hidden="0" customWidth="1"/>
    <x:col min="5" max="5" width="17.56999969482422" hidden="0" customWidth="1"/>
    <x:col min="6" max="6" width="17.56999969482422" hidden="0" customWidth="1"/>
    <x:col min="7" max="7" width="17.56999969482422" hidden="0" customWidth="1"/>
    <x:col min="8" max="8" width="17.56999969482422" hidden="0" customWidth="1"/>
    <x:col min="9" max="9" width="17.56999969482422" hidden="0" customWidth="1"/>
    <x:col min="10" max="10" width="17.56999969482422" hidden="0" customWidth="1"/>
    <x:col min="11" max="11" width="17.56999969482422" hidden="0" customWidth="1"/>
    <x:col min="12" max="12" width="17.56999969482422" hidden="0" customWidth="1"/>
    <x:col min="13" max="13" width="17.56999969482422" hidden="0" customWidth="1"/>
  </x:cols>
  <x:sheetData>
    <x:row r="1">
      <x:c r="A1" s="253" t="str">
        <x:v>Tier Economics - revenue, cost and risk by document-intake tier</x:v>
      </x:c>
      <x:c r="B1" t="str"/>
      <x:c r="C1" t="str"/>
      <x:c r="D1" t="str"/>
      <x:c r="E1" t="str"/>
      <x:c r="F1" t="str"/>
      <x:c r="G1" t="str"/>
      <x:c r="H1" t="str"/>
      <x:c r="I1" t="str"/>
      <x:c r="J1" t="str"/>
      <x:c r="K1" t="str"/>
      <x:c r="L1" t="str"/>
      <x:c r="M1" t="str"/>
    </x:row>
    <x:row r="3">
      <x:c r="A3" s="255" t="str">
        <x:v>Metric</x:v>
      </x:c>
      <x:c r="B3" s="255" t="str">
        <x:v>Tier A eBL Y1</x:v>
      </x:c>
      <x:c r="C3" s="255" t="str">
        <x:v>Tier B API Y1</x:v>
      </x:c>
      <x:c r="D3" s="255" t="str">
        <x:v>Tier C Paper Y1</x:v>
      </x:c>
      <x:c r="E3" s="255" t="str">
        <x:v>Total Y1</x:v>
      </x:c>
      <x:c r="F3" s="255" t="str">
        <x:v>Tier A eBL Y2</x:v>
      </x:c>
      <x:c r="G3" s="255" t="str">
        <x:v>Tier B API Y2</x:v>
      </x:c>
      <x:c r="H3" s="255" t="str">
        <x:v>Tier C Paper Y2</x:v>
      </x:c>
      <x:c r="I3" s="255" t="str">
        <x:v>Total Y2</x:v>
      </x:c>
      <x:c r="J3" s="255" t="str">
        <x:v>Tier A eBL Y3</x:v>
      </x:c>
      <x:c r="K3" s="255" t="str">
        <x:v>Tier B API Y3</x:v>
      </x:c>
      <x:c r="L3" s="255" t="str">
        <x:v>Tier C Paper Y3</x:v>
      </x:c>
      <x:c r="M3" s="255" t="str">
        <x:v>Total Y3</x:v>
      </x:c>
    </x:row>
    <x:row r="4">
      <x:c r="A4" s="166" t="str">
        <x:v>Tier mix</x:v>
      </x:c>
      <x:c r="B4" s="256" t="n">
        <x:f>Assumptions!$F$75</x:f>
        <x:v>0.15</x:v>
      </x:c>
      <x:c r="C4" s="256" t="n">
        <x:f>Assumptions!$F$76</x:f>
        <x:v>0.45</x:v>
      </x:c>
      <x:c r="D4" s="256" t="n">
        <x:f>Assumptions!$F$77</x:f>
        <x:v>0.4</x:v>
      </x:c>
      <x:c r="E4" s="256" t="n">
        <x:f>SUM(B4:D4)</x:f>
        <x:v>1</x:v>
      </x:c>
      <x:c r="F4" s="256" t="n">
        <x:f>Assumptions!$F$78</x:f>
        <x:v>0.3</x:v>
      </x:c>
      <x:c r="G4" s="256" t="n">
        <x:f>Assumptions!$F$79</x:f>
        <x:v>0.45</x:v>
      </x:c>
      <x:c r="H4" s="256" t="n">
        <x:f>Assumptions!$F$80</x:f>
        <x:v>0.25</x:v>
      </x:c>
      <x:c r="I4" s="256" t="n">
        <x:f>SUM(F4:H4)</x:f>
        <x:v>1</x:v>
      </x:c>
      <x:c r="J4" s="256" t="n">
        <x:f>Assumptions!$F$81</x:f>
        <x:v>0.45</x:v>
      </x:c>
      <x:c r="K4" s="256" t="n">
        <x:f>Assumptions!$F$82</x:f>
        <x:v>0.4</x:v>
      </x:c>
      <x:c r="L4" s="256" t="n">
        <x:f>Assumptions!$F$83</x:f>
        <x:v>0.15</x:v>
      </x:c>
      <x:c r="M4" s="256" t="n">
        <x:f>SUM(J4:L4)</x:f>
        <x:v>1</x:v>
      </x:c>
    </x:row>
    <x:row r="5">
      <x:c r="A5" s="166" t="str">
        <x:v>Deals</x:v>
      </x:c>
      <x:c r="B5" s="257" t="n">
        <x:f>'P&amp;L_3yr'!$C$7*B4</x:f>
        <x:v>27</x:v>
      </x:c>
      <x:c r="C5" s="257" t="n">
        <x:f>'P&amp;L_3yr'!$C$7*C4</x:f>
        <x:v>81</x:v>
      </x:c>
      <x:c r="D5" s="257" t="n">
        <x:f>'P&amp;L_3yr'!$C$7*D4</x:f>
        <x:v>72</x:v>
      </x:c>
      <x:c r="E5" s="257" t="n">
        <x:f>SUM(B5:D5)</x:f>
        <x:v>180</x:v>
      </x:c>
      <x:c r="F5" s="257" t="n">
        <x:f>'P&amp;L_3yr'!$D$7*F4</x:f>
        <x:v>270</x:v>
      </x:c>
      <x:c r="G5" s="257" t="n">
        <x:f>'P&amp;L_3yr'!$D$7*G4</x:f>
        <x:v>405</x:v>
      </x:c>
      <x:c r="H5" s="257" t="n">
        <x:f>'P&amp;L_3yr'!$D$7*H4</x:f>
        <x:v>225</x:v>
      </x:c>
      <x:c r="I5" s="257" t="n">
        <x:f>SUM(F5:H5)</x:f>
        <x:v>900</x:v>
      </x:c>
      <x:c r="J5" s="257" t="n">
        <x:f>'P&amp;L_3yr'!$E$7*J4</x:f>
        <x:v>1350</x:v>
      </x:c>
      <x:c r="K5" s="257" t="n">
        <x:f>'P&amp;L_3yr'!$E$7*K4</x:f>
        <x:v>1200</x:v>
      </x:c>
      <x:c r="L5" s="257" t="n">
        <x:f>'P&amp;L_3yr'!$E$7*L4</x:f>
        <x:v>450</x:v>
      </x:c>
      <x:c r="M5" s="257" t="n">
        <x:f>SUM(J5:L5)</x:f>
        <x:v>3000</x:v>
      </x:c>
    </x:row>
    <x:row r="6">
      <x:c r="A6" s="166" t="str">
        <x:v>Docs per deal</x:v>
      </x:c>
      <x:c r="B6" s="257" t="n">
        <x:f>Assumptions!$F$117</x:f>
        <x:v>3</x:v>
      </x:c>
      <x:c r="C6" s="257" t="n">
        <x:f>Assumptions!$F$118</x:f>
        <x:v>6</x:v>
      </x:c>
      <x:c r="D6" s="257" t="n">
        <x:f>Assumptions!$F$119</x:f>
        <x:v>9</x:v>
      </x:c>
      <x:c r="E6" s="257" t="n">
        <x:f>IF(E5=0,0,E7/E5)</x:f>
        <x:v>6.75</x:v>
      </x:c>
      <x:c r="F6" s="257" t="n">
        <x:f>Assumptions!$F$117</x:f>
        <x:v>3</x:v>
      </x:c>
      <x:c r="G6" s="257" t="n">
        <x:f>Assumptions!$F$118</x:f>
        <x:v>6</x:v>
      </x:c>
      <x:c r="H6" s="257" t="n">
        <x:f>Assumptions!$F$119</x:f>
        <x:v>9</x:v>
      </x:c>
      <x:c r="I6" s="257" t="n">
        <x:f>IF(I5=0,0,I7/I5)</x:f>
        <x:v>5.85</x:v>
      </x:c>
      <x:c r="J6" s="257" t="n">
        <x:f>Assumptions!$F$117</x:f>
        <x:v>3</x:v>
      </x:c>
      <x:c r="K6" s="257" t="n">
        <x:f>Assumptions!$F$118</x:f>
        <x:v>6</x:v>
      </x:c>
      <x:c r="L6" s="257" t="n">
        <x:f>Assumptions!$F$119</x:f>
        <x:v>9</x:v>
      </x:c>
      <x:c r="M6" s="257" t="n">
        <x:f>IF(M5=0,0,M7/M5)</x:f>
        <x:v>5.1</x:v>
      </x:c>
    </x:row>
    <x:row r="7">
      <x:c r="A7" s="166" t="str">
        <x:v>Documents processed</x:v>
      </x:c>
      <x:c r="B7" s="257" t="n">
        <x:f>B5*B6</x:f>
        <x:v>81</x:v>
      </x:c>
      <x:c r="C7" s="257" t="n">
        <x:f>C5*C6</x:f>
        <x:v>486</x:v>
      </x:c>
      <x:c r="D7" s="257" t="n">
        <x:f>D5*D6</x:f>
        <x:v>648</x:v>
      </x:c>
      <x:c r="E7" s="257" t="n">
        <x:f>SUM(B7:D7)</x:f>
        <x:v>1215</x:v>
      </x:c>
      <x:c r="F7" s="257" t="n">
        <x:f>F5*F6</x:f>
        <x:v>810</x:v>
      </x:c>
      <x:c r="G7" s="257" t="n">
        <x:f>G5*G6</x:f>
        <x:v>2430</x:v>
      </x:c>
      <x:c r="H7" s="257" t="n">
        <x:f>H5*H6</x:f>
        <x:v>2025</x:v>
      </x:c>
      <x:c r="I7" s="257" t="n">
        <x:f>SUM(F7:H7)</x:f>
        <x:v>5265</x:v>
      </x:c>
      <x:c r="J7" s="257" t="n">
        <x:f>J5*J6</x:f>
        <x:v>4050</x:v>
      </x:c>
      <x:c r="K7" s="257" t="n">
        <x:f>K5*K6</x:f>
        <x:v>7200</x:v>
      </x:c>
      <x:c r="L7" s="257" t="n">
        <x:f>L5*L6</x:f>
        <x:v>4050</x:v>
      </x:c>
      <x:c r="M7" s="257" t="n">
        <x:f>SUM(J7:L7)</x:f>
        <x:v>15300</x:v>
      </x:c>
    </x:row>
    <x:row r="8">
      <x:c r="A8" s="166" t="str">
        <x:v>Avg deal value</x:v>
      </x:c>
      <x:c r="B8" s="257" t="n">
        <x:f>'P&amp;L_3yr'!$C$8</x:f>
        <x:v>60000</x:v>
      </x:c>
      <x:c r="C8" s="257" t="n">
        <x:f>'P&amp;L_3yr'!$C$8</x:f>
        <x:v>60000</x:v>
      </x:c>
      <x:c r="D8" s="257" t="n">
        <x:f>'P&amp;L_3yr'!$C$8</x:f>
        <x:v>60000</x:v>
      </x:c>
      <x:c r="E8" s="257" t="n">
        <x:f>'P&amp;L_3yr'!$C$8</x:f>
        <x:v>60000</x:v>
      </x:c>
      <x:c r="F8" s="257" t="n">
        <x:f>'P&amp;L_3yr'!$D$8</x:f>
        <x:v>60000</x:v>
      </x:c>
      <x:c r="G8" s="257" t="n">
        <x:f>'P&amp;L_3yr'!$D$8</x:f>
        <x:v>60000</x:v>
      </x:c>
      <x:c r="H8" s="257" t="n">
        <x:f>'P&amp;L_3yr'!$D$8</x:f>
        <x:v>60000</x:v>
      </x:c>
      <x:c r="I8" s="257" t="n">
        <x:f>'P&amp;L_3yr'!$D$8</x:f>
        <x:v>60000</x:v>
      </x:c>
      <x:c r="J8" s="257" t="n">
        <x:f>'P&amp;L_3yr'!$E$8</x:f>
        <x:v>60000</x:v>
      </x:c>
      <x:c r="K8" s="257" t="n">
        <x:f>'P&amp;L_3yr'!$E$8</x:f>
        <x:v>60000</x:v>
      </x:c>
      <x:c r="L8" s="257" t="n">
        <x:f>'P&amp;L_3yr'!$E$8</x:f>
        <x:v>60000</x:v>
      </x:c>
      <x:c r="M8" s="257" t="n">
        <x:f>'P&amp;L_3yr'!$E$8</x:f>
        <x:v>60000</x:v>
      </x:c>
    </x:row>
    <x:row r="9">
      <x:c r="A9" s="166" t="str">
        <x:v>GMV</x:v>
      </x:c>
      <x:c r="B9" s="257" t="n">
        <x:f>B5*B8</x:f>
        <x:v>1620000</x:v>
      </x:c>
      <x:c r="C9" s="257" t="n">
        <x:f>C5*C8</x:f>
        <x:v>4860000</x:v>
      </x:c>
      <x:c r="D9" s="257" t="n">
        <x:f>D5*D8</x:f>
        <x:v>4320000</x:v>
      </x:c>
      <x:c r="E9" s="257" t="n">
        <x:f>SUM(B9:D9)</x:f>
        <x:v>10800000</x:v>
      </x:c>
      <x:c r="F9" s="257" t="n">
        <x:f>F5*F8</x:f>
        <x:v>16200000</x:v>
      </x:c>
      <x:c r="G9" s="257" t="n">
        <x:f>G5*G8</x:f>
        <x:v>24300000</x:v>
      </x:c>
      <x:c r="H9" s="257" t="n">
        <x:f>H5*H8</x:f>
        <x:v>13500000</x:v>
      </x:c>
      <x:c r="I9" s="257" t="n">
        <x:f>SUM(F9:H9)</x:f>
        <x:v>54000000</x:v>
      </x:c>
      <x:c r="J9" s="257" t="n">
        <x:f>J5*J8</x:f>
        <x:v>81000000</x:v>
      </x:c>
      <x:c r="K9" s="257" t="n">
        <x:f>K5*K8</x:f>
        <x:v>72000000</x:v>
      </x:c>
      <x:c r="L9" s="257" t="n">
        <x:f>L5*L8</x:f>
        <x:v>27000000</x:v>
      </x:c>
      <x:c r="M9" s="257" t="n">
        <x:f>SUM(J9:L9)</x:f>
        <x:v>180000000</x:v>
      </x:c>
    </x:row>
    <x:row r="10">
      <x:c r="A10" s="166" t="str">
        <x:v>Escrow take rate</x:v>
      </x:c>
      <x:c r="B10" s="258" t="n">
        <x:f>Assumptions!$F$84</x:f>
        <x:v>0.003</x:v>
      </x:c>
      <x:c r="C10" s="258" t="n">
        <x:f>Assumptions!$F$85</x:f>
        <x:v>0.0045</x:v>
      </x:c>
      <x:c r="D10" s="258" t="n">
        <x:f>Assumptions!$F$86</x:f>
        <x:v>0.007</x:v>
      </x:c>
      <x:c r="E10" s="258" t="n">
        <x:f>IF(E9=0,0,SUM(B9*B10,C9*C10,D9*D10)/E9)</x:f>
        <x:v>0.005275</x:v>
      </x:c>
      <x:c r="F10" s="258" t="n">
        <x:f>Assumptions!$F$84</x:f>
        <x:v>0.003</x:v>
      </x:c>
      <x:c r="G10" s="258" t="n">
        <x:f>Assumptions!$F$85</x:f>
        <x:v>0.0045</x:v>
      </x:c>
      <x:c r="H10" s="258" t="n">
        <x:f>Assumptions!$F$86</x:f>
        <x:v>0.007</x:v>
      </x:c>
      <x:c r="I10" s="258" t="n">
        <x:f>IF(I9=0,0,SUM(F9*F10,G9*G10,H9*H10)/I9)</x:f>
        <x:v>0.004675</x:v>
      </x:c>
      <x:c r="J10" s="258" t="n">
        <x:f>Assumptions!$F$84</x:f>
        <x:v>0.003</x:v>
      </x:c>
      <x:c r="K10" s="258" t="n">
        <x:f>Assumptions!$F$85</x:f>
        <x:v>0.0045</x:v>
      </x:c>
      <x:c r="L10" s="258" t="n">
        <x:f>Assumptions!$F$86</x:f>
        <x:v>0.007</x:v>
      </x:c>
      <x:c r="M10" s="258" t="n">
        <x:f>IF(M9=0,0,SUM(J9*J10,K9*K10,L9*L10)/M9)</x:f>
        <x:v>0.0042</x:v>
      </x:c>
    </x:row>
    <x:row r="11">
      <x:c r="A11" s="166" t="str">
        <x:v>Minimum escrow fee</x:v>
      </x:c>
      <x:c r="B11" s="259" t="n">
        <x:f>Assumptions!$F$87</x:f>
        <x:v>150</x:v>
      </x:c>
      <x:c r="C11" s="259" t="n">
        <x:f>Assumptions!$F$88</x:f>
        <x:v>250</x:v>
      </x:c>
      <x:c r="D11" s="259" t="n">
        <x:f>Assumptions!$F$89</x:f>
        <x:v>500</x:v>
      </x:c>
      <x:c r="E11" s="259" t="n">
        <x:f>IF(E5=0,0,SUM(B5*B11,C5*C11,D5*D11)/E5)</x:f>
        <x:v>335</x:v>
      </x:c>
      <x:c r="F11" s="259" t="n">
        <x:f>Assumptions!$F$87</x:f>
        <x:v>150</x:v>
      </x:c>
      <x:c r="G11" s="259" t="n">
        <x:f>Assumptions!$F$88</x:f>
        <x:v>250</x:v>
      </x:c>
      <x:c r="H11" s="259" t="n">
        <x:f>Assumptions!$F$89</x:f>
        <x:v>500</x:v>
      </x:c>
      <x:c r="I11" s="259" t="n">
        <x:f>IF(I5=0,0,SUM(F5*F11,G5*G11,H5*H11)/I5)</x:f>
        <x:v>282.5</x:v>
      </x:c>
      <x:c r="J11" s="259" t="n">
        <x:f>Assumptions!$F$87</x:f>
        <x:v>150</x:v>
      </x:c>
      <x:c r="K11" s="259" t="n">
        <x:f>Assumptions!$F$88</x:f>
        <x:v>250</x:v>
      </x:c>
      <x:c r="L11" s="259" t="n">
        <x:f>Assumptions!$F$89</x:f>
        <x:v>500</x:v>
      </x:c>
      <x:c r="M11" s="259" t="n">
        <x:f>IF(M5=0,0,SUM(J5*J11,K5*K11,L5*L11)/M5)</x:f>
        <x:v>242.5</x:v>
      </x:c>
    </x:row>
    <x:row r="12">
      <x:c r="A12" s="166" t="str">
        <x:v>Escrow fee revenue</x:v>
      </x:c>
      <x:c r="B12" s="259" t="n">
        <x:f>B5*MAX(B8*B10,B11)</x:f>
        <x:v>4860</x:v>
      </x:c>
      <x:c r="C12" s="259" t="n">
        <x:f>C5*MAX(C8*C10,C11)</x:f>
        <x:v>21870</x:v>
      </x:c>
      <x:c r="D12" s="259" t="n">
        <x:f>D5*MAX(D8*D10,D11)</x:f>
        <x:v>36000</x:v>
      </x:c>
      <x:c r="E12" s="259" t="n">
        <x:f>SUM(B12:D12)</x:f>
        <x:v>62730</x:v>
      </x:c>
      <x:c r="F12" s="259" t="n">
        <x:f>F5*MAX(F8*F10,F11)</x:f>
        <x:v>48600</x:v>
      </x:c>
      <x:c r="G12" s="259" t="n">
        <x:f>G5*MAX(G8*G10,G11)</x:f>
        <x:v>109350</x:v>
      </x:c>
      <x:c r="H12" s="259" t="n">
        <x:f>H5*MAX(H8*H10,H11)</x:f>
        <x:v>112500</x:v>
      </x:c>
      <x:c r="I12" s="259" t="n">
        <x:f>SUM(F12:H12)</x:f>
        <x:v>270450</x:v>
      </x:c>
      <x:c r="J12" s="259" t="n">
        <x:f>J5*MAX(J8*J10,J11)</x:f>
        <x:v>243000</x:v>
      </x:c>
      <x:c r="K12" s="259" t="n">
        <x:f>K5*MAX(K8*K10,K11)</x:f>
        <x:v>324000</x:v>
      </x:c>
      <x:c r="L12" s="259" t="n">
        <x:f>L5*MAX(L8*L10,L11)</x:f>
        <x:v>225000</x:v>
      </x:c>
      <x:c r="M12" s="259" t="n">
        <x:f>SUM(J12:L12)</x:f>
        <x:v>792000</x:v>
      </x:c>
    </x:row>
    <x:row r="13">
      <x:c r="A13" s="166" t="str">
        <x:v>Doc/review fee per deal</x:v>
      </x:c>
      <x:c r="B13" s="259" t="n">
        <x:f>Assumptions!$F$90</x:f>
        <x:v>25</x:v>
      </x:c>
      <x:c r="C13" s="259" t="n">
        <x:f>Assumptions!$F$91</x:f>
        <x:v>90</x:v>
      </x:c>
      <x:c r="D13" s="259" t="n">
        <x:f>Assumptions!$F$92</x:f>
        <x:v>300</x:v>
      </x:c>
      <x:c r="E13" s="259" t="n">
        <x:f>IF(E5=0,0,SUM(B5*B13,C5*C13,D5*D13)/E5)</x:f>
        <x:v>164.25</x:v>
      </x:c>
      <x:c r="F13" s="259" t="n">
        <x:f>Assumptions!$F$90</x:f>
        <x:v>25</x:v>
      </x:c>
      <x:c r="G13" s="259" t="n">
        <x:f>Assumptions!$F$91</x:f>
        <x:v>90</x:v>
      </x:c>
      <x:c r="H13" s="259" t="n">
        <x:f>Assumptions!$F$92</x:f>
        <x:v>300</x:v>
      </x:c>
      <x:c r="I13" s="259" t="n">
        <x:f>IF(I5=0,0,SUM(F5*F13,G5*G13,H5*H13)/I5)</x:f>
        <x:v>123</x:v>
      </x:c>
      <x:c r="J13" s="259" t="n">
        <x:f>Assumptions!$F$90</x:f>
        <x:v>25</x:v>
      </x:c>
      <x:c r="K13" s="259" t="n">
        <x:f>Assumptions!$F$91</x:f>
        <x:v>90</x:v>
      </x:c>
      <x:c r="L13" s="259" t="n">
        <x:f>Assumptions!$F$92</x:f>
        <x:v>300</x:v>
      </x:c>
      <x:c r="M13" s="259" t="n">
        <x:f>IF(M5=0,0,SUM(J5*J13,K5*K13,L5*L13)/M5)</x:f>
        <x:v>92.25</x:v>
      </x:c>
    </x:row>
    <x:row r="14">
      <x:c r="A14" s="166" t="str">
        <x:v>Doc/review revenue</x:v>
      </x:c>
      <x:c r="B14" s="259" t="n">
        <x:f>B5*B13</x:f>
        <x:v>675</x:v>
      </x:c>
      <x:c r="C14" s="259" t="n">
        <x:f>C5*C13</x:f>
        <x:v>7290</x:v>
      </x:c>
      <x:c r="D14" s="259" t="n">
        <x:f>D5*D13</x:f>
        <x:v>21600</x:v>
      </x:c>
      <x:c r="E14" s="259" t="n">
        <x:f>SUM(B14:D14)</x:f>
        <x:v>29565</x:v>
      </x:c>
      <x:c r="F14" s="259" t="n">
        <x:f>F5*F13</x:f>
        <x:v>6750</x:v>
      </x:c>
      <x:c r="G14" s="259" t="n">
        <x:f>G5*G13</x:f>
        <x:v>36450</x:v>
      </x:c>
      <x:c r="H14" s="259" t="n">
        <x:f>H5*H13</x:f>
        <x:v>67500</x:v>
      </x:c>
      <x:c r="I14" s="259" t="n">
        <x:f>SUM(F14:H14)</x:f>
        <x:v>110700</x:v>
      </x:c>
      <x:c r="J14" s="259" t="n">
        <x:f>J5*J13</x:f>
        <x:v>33750</x:v>
      </x:c>
      <x:c r="K14" s="259" t="n">
        <x:f>K5*K13</x:f>
        <x:v>108000</x:v>
      </x:c>
      <x:c r="L14" s="259" t="n">
        <x:f>L5*L13</x:f>
        <x:v>135000</x:v>
      </x:c>
      <x:c r="M14" s="259" t="n">
        <x:f>SUM(J14:L14)</x:f>
        <x:v>276750</x:v>
      </x:c>
    </x:row>
    <x:row r="15">
      <x:c r="A15" s="166" t="str">
        <x:v>Dispute rate</x:v>
      </x:c>
      <x:c r="B15" s="259" t="n">
        <x:f>Assumptions!$F$105</x:f>
        <x:v>0.04</x:v>
      </x:c>
      <x:c r="C15" s="259" t="n">
        <x:f>Assumptions!$F$106</x:f>
        <x:v>0.1</x:v>
      </x:c>
      <x:c r="D15" s="259" t="n">
        <x:f>Assumptions!$F$107</x:f>
        <x:v>0.2</x:v>
      </x:c>
      <x:c r="E15" s="259" t="n">
        <x:f>IF(E5=0,0,E16/E5)</x:f>
        <x:v>0.13099999999999998</x:v>
      </x:c>
      <x:c r="F15" s="259" t="n">
        <x:f>Assumptions!$F$105</x:f>
        <x:v>0.04</x:v>
      </x:c>
      <x:c r="G15" s="259" t="n">
        <x:f>Assumptions!$F$106</x:f>
        <x:v>0.1</x:v>
      </x:c>
      <x:c r="H15" s="259" t="n">
        <x:f>Assumptions!$F$107</x:f>
        <x:v>0.2</x:v>
      </x:c>
      <x:c r="I15" s="259" t="n">
        <x:f>IF(I5=0,0,I16/I5)</x:f>
        <x:v>0.107</x:v>
      </x:c>
      <x:c r="J15" s="259" t="n">
        <x:f>Assumptions!$F$105</x:f>
        <x:v>0.04</x:v>
      </x:c>
      <x:c r="K15" s="259" t="n">
        <x:f>Assumptions!$F$106</x:f>
        <x:v>0.1</x:v>
      </x:c>
      <x:c r="L15" s="259" t="n">
        <x:f>Assumptions!$F$107</x:f>
        <x:v>0.2</x:v>
      </x:c>
      <x:c r="M15" s="259" t="n">
        <x:f>IF(M5=0,0,M16/M5)</x:f>
        <x:v>0.088</x:v>
      </x:c>
    </x:row>
    <x:row r="16">
      <x:c r="A16" s="166" t="str">
        <x:v>Disputed deals</x:v>
      </x:c>
      <x:c r="B16" s="259" t="n">
        <x:f>B5*B15</x:f>
        <x:v>1.08</x:v>
      </x:c>
      <x:c r="C16" s="259" t="n">
        <x:f>C5*C15</x:f>
        <x:v>8.1</x:v>
      </x:c>
      <x:c r="D16" s="259" t="n">
        <x:f>D5*D15</x:f>
        <x:v>14.4</x:v>
      </x:c>
      <x:c r="E16" s="259" t="n">
        <x:f>SUM(B16:D16)</x:f>
        <x:v>23.58</x:v>
      </x:c>
      <x:c r="F16" s="259" t="n">
        <x:f>F5*F15</x:f>
        <x:v>10.8</x:v>
      </x:c>
      <x:c r="G16" s="259" t="n">
        <x:f>G5*G15</x:f>
        <x:v>40.5</x:v>
      </x:c>
      <x:c r="H16" s="259" t="n">
        <x:f>H5*H15</x:f>
        <x:v>45</x:v>
      </x:c>
      <x:c r="I16" s="259" t="n">
        <x:f>SUM(F16:H16)</x:f>
        <x:v>96.3</x:v>
      </x:c>
      <x:c r="J16" s="259" t="n">
        <x:f>J5*J15</x:f>
        <x:v>54</x:v>
      </x:c>
      <x:c r="K16" s="259" t="n">
        <x:f>K5*K15</x:f>
        <x:v>120</x:v>
      </x:c>
      <x:c r="L16" s="259" t="n">
        <x:f>L5*L15</x:f>
        <x:v>90</x:v>
      </x:c>
      <x:c r="M16" s="259" t="n">
        <x:f>SUM(J16:L16)</x:f>
        <x:v>264</x:v>
      </x:c>
    </x:row>
    <x:row r="17">
      <x:c r="A17" s="166" t="str">
        <x:v>Dispute/amendment fee</x:v>
      </x:c>
      <x:c r="B17" s="259" t="n">
        <x:f>Assumptions!$F$93</x:f>
        <x:v>100</x:v>
      </x:c>
      <x:c r="C17" s="259" t="n">
        <x:f>Assumptions!$F$94</x:f>
        <x:v>200</x:v>
      </x:c>
      <x:c r="D17" s="259" t="n">
        <x:f>Assumptions!$F$95</x:f>
        <x:v>500</x:v>
      </x:c>
      <x:c r="E17" s="259" t="n">
        <x:f>IF(E16=0,0,SUM(B16*B17,C16*C17,D16*D17)/E16)</x:f>
        <x:v>378.6259541984733</x:v>
      </x:c>
      <x:c r="F17" s="259" t="n">
        <x:f>Assumptions!$F$93</x:f>
        <x:v>100</x:v>
      </x:c>
      <x:c r="G17" s="259" t="n">
        <x:f>Assumptions!$F$94</x:f>
        <x:v>200</x:v>
      </x:c>
      <x:c r="H17" s="259" t="n">
        <x:f>Assumptions!$F$95</x:f>
        <x:v>500</x:v>
      </x:c>
      <x:c r="I17" s="259" t="n">
        <x:f>IF(I16=0,0,SUM(F16*F17,G16*G17,H16*H17)/I16)</x:f>
        <x:v>328.97196261682245</x:v>
      </x:c>
      <x:c r="J17" s="259" t="n">
        <x:f>Assumptions!$F$93</x:f>
        <x:v>100</x:v>
      </x:c>
      <x:c r="K17" s="259" t="n">
        <x:f>Assumptions!$F$94</x:f>
        <x:v>200</x:v>
      </x:c>
      <x:c r="L17" s="259" t="n">
        <x:f>Assumptions!$F$95</x:f>
        <x:v>500</x:v>
      </x:c>
      <x:c r="M17" s="259" t="n">
        <x:f>IF(M16=0,0,SUM(J16*J17,K16*K17,L16*L17)/M16)</x:f>
        <x:v>281.8181818181818</x:v>
      </x:c>
    </x:row>
    <x:row r="18">
      <x:c r="A18" s="166" t="str">
        <x:v>Dispute/amendment revenue</x:v>
      </x:c>
      <x:c r="B18" s="259" t="n">
        <x:f>B16*B17</x:f>
        <x:v>108</x:v>
      </x:c>
      <x:c r="C18" s="259" t="n">
        <x:f>C16*C17</x:f>
        <x:v>1620</x:v>
      </x:c>
      <x:c r="D18" s="259" t="n">
        <x:f>D16*D17</x:f>
        <x:v>7200</x:v>
      </x:c>
      <x:c r="E18" s="259" t="n">
        <x:f>SUM(B18:D18)</x:f>
        <x:v>8928</x:v>
      </x:c>
      <x:c r="F18" s="259" t="n">
        <x:f>F16*F17</x:f>
        <x:v>1080</x:v>
      </x:c>
      <x:c r="G18" s="259" t="n">
        <x:f>G16*G17</x:f>
        <x:v>8100</x:v>
      </x:c>
      <x:c r="H18" s="259" t="n">
        <x:f>H16*H17</x:f>
        <x:v>22500</x:v>
      </x:c>
      <x:c r="I18" s="259" t="n">
        <x:f>SUM(F18:H18)</x:f>
        <x:v>31680</x:v>
      </x:c>
      <x:c r="J18" s="259" t="n">
        <x:f>J16*J17</x:f>
        <x:v>5400</x:v>
      </x:c>
      <x:c r="K18" s="259" t="n">
        <x:f>K16*K17</x:f>
        <x:v>24000</x:v>
      </x:c>
      <x:c r="L18" s="259" t="n">
        <x:f>L16*L17</x:f>
        <x:v>45000</x:v>
      </x:c>
      <x:c r="M18" s="259" t="n">
        <x:f>SUM(J18:L18)</x:f>
        <x:v>74400</x:v>
      </x:c>
    </x:row>
    <x:row r="19">
      <x:c r="A19" s="166" t="str">
        <x:v>External eBL/API/paper cost</x:v>
      </x:c>
      <x:c r="B19" s="259" t="n">
        <x:f>B5*Assumptions!$F$96</x:f>
        <x:v>81</x:v>
      </x:c>
      <x:c r="C19" s="259" t="n">
        <x:f>C5*Assumptions!$F$97</x:f>
        <x:v>810</x:v>
      </x:c>
      <x:c r="D19" s="259" t="n">
        <x:f>D5*Assumptions!$F$98</x:f>
        <x:v>10800</x:v>
      </x:c>
      <x:c r="E19" s="259" t="n">
        <x:f>SUM(B19:D19)</x:f>
        <x:v>11691</x:v>
      </x:c>
      <x:c r="F19" s="259" t="n">
        <x:f>F5*Assumptions!$F$96</x:f>
        <x:v>810</x:v>
      </x:c>
      <x:c r="G19" s="259" t="n">
        <x:f>G5*Assumptions!$F$97</x:f>
        <x:v>4050</x:v>
      </x:c>
      <x:c r="H19" s="259" t="n">
        <x:f>H5*Assumptions!$F$98</x:f>
        <x:v>33750</x:v>
      </x:c>
      <x:c r="I19" s="259" t="n">
        <x:f>SUM(F19:H19)</x:f>
        <x:v>38610</x:v>
      </x:c>
      <x:c r="J19" s="259" t="n">
        <x:f>J5*Assumptions!$F$96</x:f>
        <x:v>4050</x:v>
      </x:c>
      <x:c r="K19" s="259" t="n">
        <x:f>K5*Assumptions!$F$97</x:f>
        <x:v>12000</x:v>
      </x:c>
      <x:c r="L19" s="259" t="n">
        <x:f>L5*Assumptions!$F$98</x:f>
        <x:v>67500</x:v>
      </x:c>
      <x:c r="M19" s="259" t="n">
        <x:f>SUM(J19:L19)</x:f>
        <x:v>83550</x:v>
      </x:c>
    </x:row>
    <x:row r="20">
      <x:c r="A20" s="166" t="str">
        <x:v>Human review cost</x:v>
      </x:c>
      <x:c r="B20" s="259" t="n">
        <x:f>B5*Assumptions!$F$99</x:f>
        <x:v>81</x:v>
      </x:c>
      <x:c r="C20" s="259" t="n">
        <x:f>C5*Assumptions!$F$100</x:f>
        <x:v>1620</x:v>
      </x:c>
      <x:c r="D20" s="259" t="n">
        <x:f>D5*Assumptions!$F$101</x:f>
        <x:v>8640</x:v>
      </x:c>
      <x:c r="E20" s="259" t="n">
        <x:f>SUM(B20:D20)</x:f>
        <x:v>10341</x:v>
      </x:c>
      <x:c r="F20" s="259" t="n">
        <x:f>F5*Assumptions!$F$99</x:f>
        <x:v>810</x:v>
      </x:c>
      <x:c r="G20" s="259" t="n">
        <x:f>G5*Assumptions!$F$100</x:f>
        <x:v>8100</x:v>
      </x:c>
      <x:c r="H20" s="259" t="n">
        <x:f>H5*Assumptions!$F$101</x:f>
        <x:v>27000</x:v>
      </x:c>
      <x:c r="I20" s="259" t="n">
        <x:f>SUM(F20:H20)</x:f>
        <x:v>35910</x:v>
      </x:c>
      <x:c r="J20" s="259" t="n">
        <x:f>J5*Assumptions!$F$99</x:f>
        <x:v>4050</x:v>
      </x:c>
      <x:c r="K20" s="259" t="n">
        <x:f>K5*Assumptions!$F$100</x:f>
        <x:v>24000</x:v>
      </x:c>
      <x:c r="L20" s="259" t="n">
        <x:f>L5*Assumptions!$F$101</x:f>
        <x:v>54000</x:v>
      </x:c>
      <x:c r="M20" s="259" t="n">
        <x:f>SUM(J20:L20)</x:f>
        <x:v>82050</x:v>
      </x:c>
    </x:row>
    <x:row r="21">
      <x:c r="A21" s="166" t="str">
        <x:v>Support cost</x:v>
      </x:c>
      <x:c r="B21" s="259" t="n">
        <x:f>B5*Assumptions!$F$102</x:f>
        <x:v>54</x:v>
      </x:c>
      <x:c r="C21" s="259" t="n">
        <x:f>C5*Assumptions!$F$103</x:f>
        <x:v>486</x:v>
      </x:c>
      <x:c r="D21" s="259" t="n">
        <x:f>D5*Assumptions!$F$104</x:f>
        <x:v>1440</x:v>
      </x:c>
      <x:c r="E21" s="259" t="n">
        <x:f>SUM(B21:D21)</x:f>
        <x:v>1980</x:v>
      </x:c>
      <x:c r="F21" s="259" t="n">
        <x:f>F5*Assumptions!$F$102</x:f>
        <x:v>540</x:v>
      </x:c>
      <x:c r="G21" s="259" t="n">
        <x:f>G5*Assumptions!$F$103</x:f>
        <x:v>2430</x:v>
      </x:c>
      <x:c r="H21" s="259" t="n">
        <x:f>H5*Assumptions!$F$104</x:f>
        <x:v>4500</x:v>
      </x:c>
      <x:c r="I21" s="259" t="n">
        <x:f>SUM(F21:H21)</x:f>
        <x:v>7470</x:v>
      </x:c>
      <x:c r="J21" s="259" t="n">
        <x:f>J5*Assumptions!$F$102</x:f>
        <x:v>2700</x:v>
      </x:c>
      <x:c r="K21" s="259" t="n">
        <x:f>K5*Assumptions!$F$103</x:f>
        <x:v>7200</x:v>
      </x:c>
      <x:c r="L21" s="259" t="n">
        <x:f>L5*Assumptions!$F$104</x:f>
        <x:v>9000</x:v>
      </x:c>
      <x:c r="M21" s="259" t="n">
        <x:f>SUM(J21:L21)</x:f>
        <x:v>18900</x:v>
      </x:c>
    </x:row>
    <x:row r="22">
      <x:c r="A22" s="166" t="str">
        <x:v>Dispute handling cost</x:v>
      </x:c>
      <x:c r="B22" s="259" t="n">
        <x:f>B16*Assumptions!$F$108</x:f>
        <x:v>64.80000000000001</x:v>
      </x:c>
      <x:c r="C22" s="259" t="n">
        <x:f>C16*Assumptions!$F$109</x:f>
        <x:v>972</x:v>
      </x:c>
      <x:c r="D22" s="259" t="n">
        <x:f>D16*Assumptions!$F$110</x:f>
        <x:v>5040</x:v>
      </x:c>
      <x:c r="E22" s="259" t="n">
        <x:f>SUM(B22:D22)</x:f>
        <x:v>6076.8</x:v>
      </x:c>
      <x:c r="F22" s="259" t="n">
        <x:f>F16*Assumptions!$F$108</x:f>
        <x:v>648</x:v>
      </x:c>
      <x:c r="G22" s="259" t="n">
        <x:f>G16*Assumptions!$F$109</x:f>
        <x:v>4860</x:v>
      </x:c>
      <x:c r="H22" s="259" t="n">
        <x:f>H16*Assumptions!$F$110</x:f>
        <x:v>15750</x:v>
      </x:c>
      <x:c r="I22" s="259" t="n">
        <x:f>SUM(F22:H22)</x:f>
        <x:v>21258</x:v>
      </x:c>
      <x:c r="J22" s="259" t="n">
        <x:f>J16*Assumptions!$F$108</x:f>
        <x:v>3240</x:v>
      </x:c>
      <x:c r="K22" s="259" t="n">
        <x:f>K16*Assumptions!$F$109</x:f>
        <x:v>14400</x:v>
      </x:c>
      <x:c r="L22" s="259" t="n">
        <x:f>L16*Assumptions!$F$110</x:f>
        <x:v>31500</x:v>
      </x:c>
      <x:c r="M22" s="259" t="n">
        <x:f>SUM(J22:L22)</x:f>
        <x:v>49140</x:v>
      </x:c>
    </x:row>
    <x:row r="23">
      <x:c r="A23" s="166" t="str">
        <x:v>Total tier-specific COGS</x:v>
      </x:c>
      <x:c r="B23" s="259" t="n">
        <x:f>SUM(B19:B22)</x:f>
        <x:v>280.8</x:v>
      </x:c>
      <x:c r="C23" s="259" t="n">
        <x:f>SUM(C19:C22)</x:f>
        <x:v>3888</x:v>
      </x:c>
      <x:c r="D23" s="259" t="n">
        <x:f>SUM(D19:D22)</x:f>
        <x:v>25920</x:v>
      </x:c>
      <x:c r="E23" s="259" t="n">
        <x:f>SUM(B23:D23)</x:f>
        <x:v>30088.8</x:v>
      </x:c>
      <x:c r="F23" s="259" t="n">
        <x:f>SUM(F19:F22)</x:f>
        <x:v>2808</x:v>
      </x:c>
      <x:c r="G23" s="259" t="n">
        <x:f>SUM(G19:G22)</x:f>
        <x:v>19440</x:v>
      </x:c>
      <x:c r="H23" s="259" t="n">
        <x:f>SUM(H19:H22)</x:f>
        <x:v>81000</x:v>
      </x:c>
      <x:c r="I23" s="259" t="n">
        <x:f>SUM(F23:H23)</x:f>
        <x:v>103248</x:v>
      </x:c>
      <x:c r="J23" s="259" t="n">
        <x:f>SUM(J19:J22)</x:f>
        <x:v>14040</x:v>
      </x:c>
      <x:c r="K23" s="259" t="n">
        <x:f>SUM(K19:K22)</x:f>
        <x:v>57600</x:v>
      </x:c>
      <x:c r="L23" s="259" t="n">
        <x:f>SUM(L19:L22)</x:f>
        <x:v>162000</x:v>
      </x:c>
      <x:c r="M23" s="259" t="n">
        <x:f>SUM(J23:L23)</x:f>
        <x:v>233640</x:v>
      </x:c>
    </x:row>
    <x:row r="24">
      <x:c r="A24" s="166" t="str">
        <x:v>Tier revenue</x:v>
      </x:c>
      <x:c r="B24" s="259" t="n">
        <x:f>SUM(B12,B14,B18)</x:f>
        <x:v>5643</x:v>
      </x:c>
      <x:c r="C24" s="259" t="n">
        <x:f>SUM(C12,C14,C18)</x:f>
        <x:v>30780</x:v>
      </x:c>
      <x:c r="D24" s="259" t="n">
        <x:f>SUM(D12,D14,D18)</x:f>
        <x:v>64800</x:v>
      </x:c>
      <x:c r="E24" s="259" t="n">
        <x:f>SUM(B24:D24)</x:f>
        <x:v>101223</x:v>
      </x:c>
      <x:c r="F24" s="259" t="n">
        <x:f>SUM(F12,F14,F18)</x:f>
        <x:v>56430</x:v>
      </x:c>
      <x:c r="G24" s="259" t="n">
        <x:f>SUM(G12,G14,G18)</x:f>
        <x:v>153900</x:v>
      </x:c>
      <x:c r="H24" s="259" t="n">
        <x:f>SUM(H12,H14,H18)</x:f>
        <x:v>202500</x:v>
      </x:c>
      <x:c r="I24" s="259" t="n">
        <x:f>SUM(F24:H24)</x:f>
        <x:v>412830</x:v>
      </x:c>
      <x:c r="J24" s="259" t="n">
        <x:f>SUM(J12,J14,J18)</x:f>
        <x:v>282150</x:v>
      </x:c>
      <x:c r="K24" s="259" t="n">
        <x:f>SUM(K12,K14,K18)</x:f>
        <x:v>456000</x:v>
      </x:c>
      <x:c r="L24" s="259" t="n">
        <x:f>SUM(L12,L14,L18)</x:f>
        <x:v>405000</x:v>
      </x:c>
      <x:c r="M24" s="259" t="n">
        <x:f>SUM(J24:L24)</x:f>
        <x:v>1143150</x:v>
      </x:c>
    </x:row>
    <x:row r="25">
      <x:c r="A25" s="166" t="str">
        <x:v>Gross profit before shared COGS</x:v>
      </x:c>
      <x:c r="B25" s="259" t="n">
        <x:f>B24-B23</x:f>
        <x:v>5362.2</x:v>
      </x:c>
      <x:c r="C25" s="259" t="n">
        <x:f>C24-C23</x:f>
        <x:v>26892</x:v>
      </x:c>
      <x:c r="D25" s="259" t="n">
        <x:f>D24-D23</x:f>
        <x:v>38880</x:v>
      </x:c>
      <x:c r="E25" s="259" t="n">
        <x:f>E24-E23</x:f>
        <x:v>71134.2</x:v>
      </x:c>
      <x:c r="F25" s="259" t="n">
        <x:f>F24-F23</x:f>
        <x:v>53622</x:v>
      </x:c>
      <x:c r="G25" s="259" t="n">
        <x:f>G24-G23</x:f>
        <x:v>134460</x:v>
      </x:c>
      <x:c r="H25" s="259" t="n">
        <x:f>H24-H23</x:f>
        <x:v>121500</x:v>
      </x:c>
      <x:c r="I25" s="259" t="n">
        <x:f>I24-I23</x:f>
        <x:v>309582</x:v>
      </x:c>
      <x:c r="J25" s="259" t="n">
        <x:f>J24-J23</x:f>
        <x:v>268110</x:v>
      </x:c>
      <x:c r="K25" s="259" t="n">
        <x:f>K24-K23</x:f>
        <x:v>398400</x:v>
      </x:c>
      <x:c r="L25" s="259" t="n">
        <x:f>L24-L23</x:f>
        <x:v>243000</x:v>
      </x:c>
      <x:c r="M25" s="259" t="n">
        <x:f>M24-M23</x:f>
        <x:v>909510</x:v>
      </x:c>
    </x:row>
    <x:row r="26">
      <x:c r="A26" s="166" t="str">
        <x:v>Gross margin</x:v>
      </x:c>
      <x:c r="B26" s="256" t="n">
        <x:f>IF(B24=0,0,B25/B24)</x:f>
        <x:v>0.9502392344497608</x:v>
      </x:c>
      <x:c r="C26" s="256" t="n">
        <x:f>IF(C24=0,0,C25/C24)</x:f>
        <x:v>0.8736842105263158</x:v>
      </x:c>
      <x:c r="D26" s="256" t="n">
        <x:f>IF(D24=0,0,D25/D24)</x:f>
        <x:v>0.6</x:v>
      </x:c>
      <x:c r="E26" s="256" t="n">
        <x:f>IF(E24=0,0,E25/E24)</x:f>
        <x:v>0.7027473993064817</x:v>
      </x:c>
      <x:c r="F26" s="256" t="n">
        <x:f>IF(F24=0,0,F25/F24)</x:f>
        <x:v>0.9502392344497608</x:v>
      </x:c>
      <x:c r="G26" s="256" t="n">
        <x:f>IF(G24=0,0,G25/G24)</x:f>
        <x:v>0.8736842105263158</x:v>
      </x:c>
      <x:c r="H26" s="256" t="n">
        <x:f>IF(H24=0,0,H25/H24)</x:f>
        <x:v>0.6</x:v>
      </x:c>
      <x:c r="I26" s="256" t="n">
        <x:f>IF(I24=0,0,I25/I24)</x:f>
        <x:v>0.7499018966644866</x:v>
      </x:c>
      <x:c r="J26" s="256" t="n">
        <x:f>IF(J24=0,0,J25/J24)</x:f>
        <x:v>0.9502392344497608</x:v>
      </x:c>
      <x:c r="K26" s="256" t="n">
        <x:f>IF(K24=0,0,K25/K24)</x:f>
        <x:v>0.8736842105263158</x:v>
      </x:c>
      <x:c r="L26" s="256" t="n">
        <x:f>IF(L24=0,0,L25/L24)</x:f>
        <x:v>0.6</x:v>
      </x:c>
      <x:c r="M26" s="256" t="n">
        <x:f>IF(M24=0,0,M25/M24)</x:f>
        <x:v>0.7956173730481564</x:v>
      </x:c>
    </x:row>
    <x:row r="27">
      <x:c r="A27" s="166" t="str">
        <x:v>Weighted risk score</x:v>
      </x:c>
      <x:c r="B27" s="257" t="n">
        <x:f>B4*Assumptions!$F$111</x:f>
        <x:v>0.15</x:v>
      </x:c>
      <x:c r="C27" s="257" t="n">
        <x:f>C4*Assumptions!$F$112</x:f>
        <x:v>1.35</x:v>
      </x:c>
      <x:c r="D27" s="257" t="n">
        <x:f>D4*Assumptions!$F$113</x:f>
        <x:v>2</x:v>
      </x:c>
      <x:c r="E27" s="257" t="n">
        <x:f>SUM(B27:D27)</x:f>
        <x:v>3.5</x:v>
      </x:c>
      <x:c r="F27" s="257" t="n">
        <x:f>F4*Assumptions!$F$111</x:f>
        <x:v>0.3</x:v>
      </x:c>
      <x:c r="G27" s="257" t="n">
        <x:f>G4*Assumptions!$F$112</x:f>
        <x:v>1.35</x:v>
      </x:c>
      <x:c r="H27" s="257" t="n">
        <x:f>H4*Assumptions!$F$113</x:f>
        <x:v>1.25</x:v>
      </x:c>
      <x:c r="I27" s="257" t="n">
        <x:f>SUM(F27:H27)</x:f>
        <x:v>2.9000000000000004</x:v>
      </x:c>
      <x:c r="J27" s="257" t="n">
        <x:f>J4*Assumptions!$F$111</x:f>
        <x:v>0.45</x:v>
      </x:c>
      <x:c r="K27" s="257" t="n">
        <x:f>K4*Assumptions!$F$112</x:f>
        <x:v>1.2000000000000002</x:v>
      </x:c>
      <x:c r="L27" s="257" t="n">
        <x:f>L4*Assumptions!$F$113</x:f>
        <x:v>0.75</x:v>
      </x:c>
      <x:c r="M27" s="257" t="n">
        <x:f>SUM(J27:L27)</x:f>
        <x:v>2.4000000000000004</x:v>
      </x:c>
    </x:row>
    <x:row r="28">
      <x:c r="A28" s="166" t="str">
        <x:v>SLA days</x:v>
      </x:c>
      <x:c r="B28" s="257" t="n">
        <x:f>Assumptions!$F$114</x:f>
        <x:v>0.05</x:v>
      </x:c>
      <x:c r="C28" s="257" t="n">
        <x:f>Assumptions!$F$115</x:f>
        <x:v>0.5</x:v>
      </x:c>
      <x:c r="D28" s="257" t="n">
        <x:f>Assumptions!$F$116</x:f>
        <x:v>7</x:v>
      </x:c>
      <x:c r="E28" s="257" t="n">
        <x:f>IF(E5=0,0,SUM(B5*B28,C5*C28,D5*D28)/E5)</x:f>
        <x:v>3.0325</x:v>
      </x:c>
      <x:c r="F28" s="257" t="n">
        <x:f>Assumptions!$F$114</x:f>
        <x:v>0.05</x:v>
      </x:c>
      <x:c r="G28" s="257" t="n">
        <x:f>Assumptions!$F$115</x:f>
        <x:v>0.5</x:v>
      </x:c>
      <x:c r="H28" s="257" t="n">
        <x:f>Assumptions!$F$116</x:f>
        <x:v>7</x:v>
      </x:c>
      <x:c r="I28" s="257" t="n">
        <x:f>IF(I5=0,0,SUM(F5*F28,G5*G28,H5*H28)/I5)</x:f>
        <x:v>1.99</x:v>
      </x:c>
      <x:c r="J28" s="257" t="n">
        <x:f>Assumptions!$F$114</x:f>
        <x:v>0.05</x:v>
      </x:c>
      <x:c r="K28" s="257" t="n">
        <x:f>Assumptions!$F$115</x:f>
        <x:v>0.5</x:v>
      </x:c>
      <x:c r="L28" s="257" t="n">
        <x:f>Assumptions!$F$116</x:f>
        <x:v>7</x:v>
      </x:c>
      <x:c r="M28" s="257" t="n">
        <x:f>IF(M5=0,0,SUM(J5*J28,K5*K28,L5*L28)/M5)</x:f>
        <x:v>1.2725</x:v>
      </x:c>
    </x:row>
    <x:row r="29">
      <x:c r="A29" s="166" t="str">
        <x:v>Tier mix sums check</x:v>
      </x:c>
      <x:c r="B29" s="257"/>
      <x:c r="C29" s="257"/>
      <x:c r="D29" s="257"/>
      <x:c r="E29" s="257" t="str">
        <x:f>IF(ABS(E4-1)&lt;0.0001,"OK","CHECK MIX")</x:f>
        <x:v>OK</x:v>
      </x:c>
      <x:c r="F29" s="257"/>
      <x:c r="G29" s="257"/>
      <x:c r="H29" s="257"/>
      <x:c r="I29" s="257" t="str">
        <x:f>IF(ABS(I4-1)&lt;0.0001,"OK","CHECK MIX")</x:f>
        <x:v>OK</x:v>
      </x:c>
      <x:c r="J29" s="257"/>
      <x:c r="K29" s="257"/>
      <x:c r="L29" s="257"/>
      <x:c r="M29" s="257" t="str">
        <x:f>IF(ABS(M4-1)&lt;0.0001,"OK","CHECK MIX")</x:f>
        <x:v>OK</x:v>
      </x:c>
    </x:row>
    <x:row r="30">
      <x:c r="A30" s="166" t="str">
        <x:v>Pricing / risk profile</x:v>
      </x:c>
      <x:c r="B30" s="257" t="str">
        <x:f>"Fastest / lowest risk"</x:f>
        <x:v>Fastest / lowest risk</x:v>
      </x:c>
      <x:c r="C30" s="257" t="str">
        <x:f>"Core verified tier"</x:f>
        <x:v>Core verified tier</x:v>
      </x:c>
      <x:c r="D30" s="257" t="str">
        <x:f>"Highest cost / highest risk"</x:f>
        <x:v>Highest cost / highest risk</x:v>
      </x:c>
      <x:c r="E30" s="257" t="str">
        <x:f>"Portfolio blend"</x:f>
        <x:v>Portfolio blend</x:v>
      </x:c>
      <x:c r="F30" s="257" t="str">
        <x:f>"Fastest / lowest risk"</x:f>
        <x:v>Fastest / lowest risk</x:v>
      </x:c>
      <x:c r="G30" s="257" t="str">
        <x:f>"Core verified tier"</x:f>
        <x:v>Core verified tier</x:v>
      </x:c>
      <x:c r="H30" s="257" t="str">
        <x:f>"Highest cost / highest risk"</x:f>
        <x:v>Highest cost / highest risk</x:v>
      </x:c>
      <x:c r="I30" s="257" t="str">
        <x:f>"Portfolio blend"</x:f>
        <x:v>Portfolio blend</x:v>
      </x:c>
      <x:c r="J30" s="257" t="str">
        <x:f>"Fastest / lowest risk"</x:f>
        <x:v>Fastest / lowest risk</x:v>
      </x:c>
      <x:c r="K30" s="257" t="str">
        <x:f>"Core verified tier"</x:f>
        <x:v>Core verified tier</x:v>
      </x:c>
      <x:c r="L30" s="257" t="str">
        <x:f>"Highest cost / highest risk"</x:f>
        <x:v>Highest cost / highest risk</x:v>
      </x:c>
      <x:c r="M30" s="257" t="str">
        <x:f>"Portfolio blend"</x:f>
        <x:v>Portfolio blend</x:v>
      </x:c>
    </x:row>
  </x:sheetData>
  <x:mergeCells>
    <x:mergeCell ref="A1:M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3.56999969482422" hidden="0" customWidth="1"/>
    <x:col min="2" max="2" width="20.709999084472656" hidden="0" customWidth="1"/>
    <x:col min="3" max="3" width="20.709999084472656" hidden="0" customWidth="1"/>
    <x:col min="4" max="4" width="20.709999084472656" hidden="0" customWidth="1"/>
    <x:col min="5" max="5" width="66.43000030517578" hidden="0" customWidth="1"/>
  </x:cols>
  <x:sheetData>
    <x:row r="1" ht="18" customHeight="1">
      <x:c r="A1" s="287" t="str">
        <x:v>Revenue add-ons and retained-risk offsets</x:v>
      </x:c>
      <x:c r="B1" s="288" t="str"/>
      <x:c r="C1" s="288" t="str"/>
      <x:c r="D1" s="288" t="str"/>
      <x:c r="E1" s="288" t="str"/>
    </x:row>
    <x:row r="2" ht="18" customHeight="1">
      <x:c r="A2" s="289"/>
      <x:c r="B2" s="289"/>
      <x:c r="C2" s="289"/>
      <x:c r="D2" s="289"/>
      <x:c r="E2" s="289"/>
    </x:row>
    <x:row r="3" ht="18" customHeight="1">
      <x:c r="A3" s="290" t="str">
        <x:v>Line item</x:v>
      </x:c>
      <x:c r="B3" s="290" t="str">
        <x:v>Year 1</x:v>
      </x:c>
      <x:c r="C3" s="290" t="str">
        <x:v>Year 2</x:v>
      </x:c>
      <x:c r="D3" s="290" t="str">
        <x:v>Year 3</x:v>
      </x:c>
      <x:c r="E3" s="290" t="str">
        <x:v>Logic / note</x:v>
      </x:c>
    </x:row>
    <x:row r="4" ht="18" customHeight="1">
      <x:c r="A4" s="291" t="str">
        <x:v>REVENUE ADD-ONS</x:v>
      </x:c>
      <x:c r="B4" s="291"/>
      <x:c r="C4" s="291"/>
      <x:c r="D4" s="291"/>
      <x:c r="E4" s="291"/>
    </x:row>
    <x:row r="5" ht="18" customHeight="1">
      <x:c r="A5" s="289" t="str">
        <x:v>First-deal discount drag</x:v>
      </x:c>
      <x:c r="B5" s="292" t="n">
        <x:f>ROUND(-MIN('P&amp;L_3yr'!C7,'P&amp;L_3yr'!C70)*('P&amp;L_3yr'!C14/'P&amp;L_3yr'!C7)*Assumptions!$F$126,0)</x:f>
        <x:v>-10455</x:v>
      </x:c>
      <x:c r="C5" s="292" t="n">
        <x:f>ROUND(0,0)</x:f>
        <x:v>0</x:v>
      </x:c>
      <x:c r="D5" s="292" t="n">
        <x:f>ROUND(0,0)</x:f>
        <x:v>0</x:v>
      </x:c>
      <x:c r="E5" s="289"/>
    </x:row>
    <x:row r="6" ht="18" customHeight="1">
      <x:c r="A6" s="289" t="str">
        <x:v>Expedited review fees</x:v>
      </x:c>
      <x:c r="B6" s="292" t="n">
        <x:f>ROUND(Tier_Economics!C5*Assumptions!$F$127*Assumptions!$F$129+Tier_Economics!D5*Assumptions!$F$128*Assumptions!$F$130,0)</x:f>
        <x:v>5535</x:v>
      </x:c>
      <x:c r="C6" s="292" t="n">
        <x:f>ROUND(Tier_Economics!G5*Assumptions!$F$127*Assumptions!$F$129+Tier_Economics!H5*Assumptions!$F$128*Assumptions!$F$130,0)</x:f>
        <x:v>19575</x:v>
      </x:c>
      <x:c r="D6" s="292" t="n">
        <x:f>ROUND(Tier_Economics!K5*Assumptions!$F$127*Assumptions!$F$129+Tier_Economics!L5*Assumptions!$F$128*Assumptions!$F$130,0)</x:f>
        <x:v>45000</x:v>
      </x:c>
      <x:c r="E6" s="289"/>
    </x:row>
    <x:row r="7" ht="18" customHeight="1">
      <x:c r="A7" s="289" t="str">
        <x:v>KYC/KYB onboarding fees</x:v>
      </x:c>
      <x:c r="B7" s="292" t="n">
        <x:f>ROUND('P&amp;L_3yr'!C11*Assumptions!$F$131,0)</x:f>
        <x:v>5400</x:v>
      </x:c>
      <x:c r="C7" s="292" t="n">
        <x:f>ROUND('P&amp;L_3yr'!D11*Assumptions!$F$131,0)</x:f>
        <x:v>27000</x:v>
      </x:c>
      <x:c r="D7" s="292" t="n">
        <x:f>ROUND('P&amp;L_3yr'!E11*Assumptions!$F$131,0)</x:f>
        <x:v>90000</x:v>
      </x:c>
      <x:c r="E7" s="289"/>
    </x:row>
    <x:row r="8" ht="18" customHeight="1">
      <x:c r="A8" s="289" t="str">
        <x:v>Tier C forensics pass-through margin</x:v>
      </x:c>
      <x:c r="B8" s="292" t="n">
        <x:f>ROUND(Tier_Economics!D19*Assumptions!$F$132,0)</x:f>
        <x:v>2160</x:v>
      </x:c>
      <x:c r="C8" s="292" t="n">
        <x:f>ROUND(Tier_Economics!H19*Assumptions!$F$132,0)</x:f>
        <x:v>6750</x:v>
      </x:c>
      <x:c r="D8" s="292" t="n">
        <x:f>ROUND(Tier_Economics!L19*Assumptions!$F$132,0)</x:f>
        <x:v>13500</x:v>
      </x:c>
      <x:c r="E8" s="289"/>
    </x:row>
    <x:row r="9" ht="18" customHeight="1">
      <x:c r="A9" s="289" t="str">
        <x:v>Tier C courier/original handling fees</x:v>
      </x:c>
      <x:c r="B9" s="292" t="n">
        <x:f>ROUND(Tier_Economics!D5*Assumptions!$F$133,0)</x:f>
        <x:v>5400</x:v>
      </x:c>
      <x:c r="C9" s="292" t="n">
        <x:f>ROUND(Tier_Economics!H5*Assumptions!$F$133,0)</x:f>
        <x:v>16875</x:v>
      </x:c>
      <x:c r="D9" s="292" t="n">
        <x:f>ROUND(Tier_Economics!L5*Assumptions!$F$133,0)</x:f>
        <x:v>33750</x:v>
      </x:c>
      <x:c r="E9" s="289"/>
    </x:row>
    <x:row r="10" ht="18" customHeight="1">
      <x:c r="A10" s="289" t="str">
        <x:v>Discrepancy cure / waiver fees</x:v>
      </x:c>
      <x:c r="B10" s="292" t="n">
        <x:f>ROUND('P&amp;L_3yr'!C12*Assumptions!$F$135*Assumptions!$F$134,0)</x:f>
        <x:v>1415</x:v>
      </x:c>
      <x:c r="C10" s="292" t="n">
        <x:f>ROUND('P&amp;L_3yr'!D12*Assumptions!$F$135*Assumptions!$F$134,0)</x:f>
        <x:v>5778</x:v>
      </x:c>
      <x:c r="D10" s="292" t="n">
        <x:f>ROUND('P&amp;L_3yr'!E12*Assumptions!$F$135*Assumptions!$F$134,0)</x:f>
        <x:v>15840</x:v>
      </x:c>
      <x:c r="E10" s="289"/>
    </x:row>
    <x:row r="11" ht="18" customHeight="1">
      <x:c r="A11" s="289" t="str">
        <x:v>Partner setup / integration fees</x:v>
      </x:c>
      <x:c r="B11" s="292" t="n">
        <x:f>ROUND(0,0)</x:f>
        <x:v>0</x:v>
      </x:c>
      <x:c r="C11" s="292" t="n">
        <x:f>ROUND(Assumptions!$F$24*Assumptions!$F$136,0)</x:f>
        <x:v>22500</x:v>
      </x:c>
      <x:c r="D11" s="292" t="n">
        <x:f>ROUND(Assumptions!$F$24*Assumptions!$F$136,0)</x:f>
        <x:v>22500</x:v>
      </x:c>
      <x:c r="E11" s="289"/>
    </x:row>
    <x:row r="12" ht="18" customHeight="1">
      <x:c r="A12" s="289" t="str">
        <x:v>Monthly minimum / committed volume fees</x:v>
      </x:c>
      <x:c r="B12" s="292" t="n">
        <x:f>ROUND(0,0)</x:f>
        <x:v>0</x:v>
      </x:c>
      <x:c r="C12" s="292" t="n">
        <x:f>ROUND(Assumptions!$F$24*Assumptions!$F$137*12,0)</x:f>
        <x:v>27000</x:v>
      </x:c>
      <x:c r="D12" s="292" t="n">
        <x:f>ROUND(Assumptions!$F$24*2*Assumptions!$F$137*12,0)</x:f>
        <x:v>54000</x:v>
      </x:c>
      <x:c r="E12" s="289"/>
    </x:row>
    <x:row r="13" ht="18" customHeight="1">
      <x:c r="A13" s="289" t="str">
        <x:v>Archive / audit record fees</x:v>
      </x:c>
      <x:c r="B13" s="292" t="n">
        <x:f>ROUND('P&amp;L_3yr'!C7*Assumptions!$F$138,0)</x:f>
        <x:v>540</x:v>
      </x:c>
      <x:c r="C13" s="292" t="n">
        <x:f>ROUND('P&amp;L_3yr'!D7*Assumptions!$F$138,0)</x:f>
        <x:v>2700</x:v>
      </x:c>
      <x:c r="D13" s="292" t="n">
        <x:f>ROUND('P&amp;L_3yr'!E7*Assumptions!$F$138,0)</x:f>
        <x:v>9000</x:v>
      </x:c>
      <x:c r="E13" s="289"/>
    </x:row>
    <x:row r="14" ht="18" customHeight="1">
      <x:c r="A14" s="289" t="str">
        <x:v>Yield share upside</x:v>
      </x:c>
      <x:c r="B14" s="292" t="n">
        <x:f>ROUND(Assumptions!$F$139*Assumptions!$F$140*Assumptions!$F$141*'P&amp;L_3yr'!C9,0)</x:f>
        <x:v>0</x:v>
      </x:c>
      <x:c r="C14" s="292" t="n">
        <x:f>ROUND(Assumptions!$F$139*Assumptions!$F$140*Assumptions!$F$141*'P&amp;L_3yr'!D9,0)</x:f>
        <x:v>0</x:v>
      </x:c>
      <x:c r="D14" s="292" t="n">
        <x:f>ROUND(Assumptions!$F$139*Assumptions!$F$140*Assumptions!$F$141*'P&amp;L_3yr'!E9,0)</x:f>
        <x:v>0</x:v>
      </x:c>
      <x:c r="E14" s="289"/>
    </x:row>
    <x:row r="15" ht="18" customHeight="1">
      <x:c r="A15" s="293" t="str">
        <x:v>Total additional revenue</x:v>
      </x:c>
      <x:c r="B15" s="294" t="n">
        <x:f>ROUND(SUM(B5:B14),0)</x:f>
        <x:v>9995</x:v>
      </x:c>
      <x:c r="C15" s="294" t="n">
        <x:f>ROUND(SUM(C5:C14),0)</x:f>
        <x:v>128178</x:v>
      </x:c>
      <x:c r="D15" s="294" t="n">
        <x:f>ROUND(SUM(D5:D14),0)</x:f>
        <x:v>283590</x:v>
      </x:c>
      <x:c r="E15" s="293"/>
    </x:row>
    <x:row r="16" ht="18" customHeight="1">
      <x:c r="A16" s="289" t="str"/>
      <x:c r="B16" s="292"/>
      <x:c r="C16" s="292"/>
      <x:c r="D16" s="292"/>
      <x:c r="E16" s="289"/>
    </x:row>
    <x:row r="17" ht="18" customHeight="1">
      <x:c r="A17" s="295" t="str">
        <x:v>RETAINED-RISK VARIABLE COSTS</x:v>
      </x:c>
      <x:c r="B17" s="296"/>
      <x:c r="C17" s="296"/>
      <x:c r="D17" s="296"/>
      <x:c r="E17" s="295"/>
    </x:row>
    <x:row r="18" ht="18" customHeight="1">
      <x:c r="A18" s="289" t="str">
        <x:v>QA second-review cost</x:v>
      </x:c>
      <x:c r="B18" s="292" t="n">
        <x:f>ROUND('P&amp;L_3yr'!C7*Assumptions!$F$147*Assumptions!$F$148,0)</x:f>
        <x:v>864</x:v>
      </x:c>
      <x:c r="C18" s="292" t="n">
        <x:f>ROUND('P&amp;L_3yr'!D7*Assumptions!$F$147*Assumptions!$F$148,0)</x:f>
        <x:v>4320</x:v>
      </x:c>
      <x:c r="D18" s="292" t="n">
        <x:f>ROUND('P&amp;L_3yr'!E7*Assumptions!$F$147*Assumptions!$F$148,0)</x:f>
        <x:v>14400</x:v>
      </x:c>
      <x:c r="E18" s="289"/>
    </x:row>
    <x:row r="19" ht="18" customHeight="1">
      <x:c r="A19" s="289" t="str">
        <x:v>External dispute forum cost</x:v>
      </x:c>
      <x:c r="B19" s="292" t="n">
        <x:f>ROUND('P&amp;L_3yr'!C7*Assumptions!$F$149*Assumptions!$F$150,0)</x:f>
        <x:v>8100</x:v>
      </x:c>
      <x:c r="C19" s="292" t="n">
        <x:f>ROUND('P&amp;L_3yr'!D7*Assumptions!$F$149*Assumptions!$F$150,0)</x:f>
        <x:v>40500</x:v>
      </x:c>
      <x:c r="D19" s="292" t="n">
        <x:f>ROUND('P&amp;L_3yr'!E7*Assumptions!$F$149*Assumptions!$F$150,0)</x:f>
        <x:v>135000</x:v>
      </x:c>
      <x:c r="E19" s="289"/>
    </x:row>
    <x:row r="20" ht="18" customHeight="1">
      <x:c r="A20" s="289" t="str">
        <x:v>Operational error / wrongful-release reserve</x:v>
      </x:c>
      <x:c r="B20" s="292" t="n">
        <x:f>ROUND('P&amp;L_3yr'!C18*Assumptions!$F$151,0)</x:f>
        <x:v>1112</x:v>
      </x:c>
      <x:c r="C20" s="292" t="n">
        <x:f>ROUND('P&amp;L_3yr'!D18*Assumptions!$F$151,0)</x:f>
        <x:v>5410</x:v>
      </x:c>
      <x:c r="D20" s="292" t="n">
        <x:f>ROUND('P&amp;L_3yr'!E18*Assumptions!$F$151,0)</x:f>
        <x:v>14267</x:v>
      </x:c>
      <x:c r="E20" s="289"/>
    </x:row>
    <x:row r="21" ht="18" customHeight="1">
      <x:c r="A21" s="289" t="str">
        <x:v>Partner/channel commission</x:v>
      </x:c>
      <x:c r="B21" s="292" t="n">
        <x:f>ROUND('P&amp;L_3yr'!C18*Assumptions!$F$155,0)</x:f>
        <x:v>5561</x:v>
      </x:c>
      <x:c r="C21" s="292" t="n">
        <x:f>ROUND('P&amp;L_3yr'!D18*Assumptions!$F$155,0)</x:f>
        <x:v>27050</x:v>
      </x:c>
      <x:c r="D21" s="292" t="n">
        <x:f>ROUND('P&amp;L_3yr'!E18*Assumptions!$F$155,0)</x:f>
        <x:v>71337</x:v>
      </x:c>
      <x:c r="E21" s="289"/>
    </x:row>
    <x:row r="22" ht="18" customHeight="1">
      <x:c r="A22" s="289" t="str">
        <x:v>Fee collection leakage</x:v>
      </x:c>
      <x:c r="B22" s="292" t="n">
        <x:f>ROUND((B7+B10+B12)*Assumptions!$F$156,0)</x:f>
        <x:v>68</x:v>
      </x:c>
      <x:c r="C22" s="292" t="n">
        <x:f>ROUND((C7+C10+C12)*Assumptions!$F$156,0)</x:f>
        <x:v>598</x:v>
      </x:c>
      <x:c r="D22" s="292" t="n">
        <x:f>ROUND((D7+D10+D12)*Assumptions!$F$156,0)</x:f>
        <x:v>1598</x:v>
      </x:c>
      <x:c r="E22" s="289"/>
    </x:row>
    <x:row r="23" ht="18" customHeight="1">
      <x:c r="A23" s="289" t="str">
        <x:v>Partner/API outage fallback</x:v>
      </x:c>
      <x:c r="B23" s="292" t="n">
        <x:f>ROUND(Tier_Economics!C5*Assumptions!$F$157*Assumptions!$F$158,0)</x:f>
        <x:v>182</x:v>
      </x:c>
      <x:c r="C23" s="292" t="n">
        <x:f>ROUND(Tier_Economics!G5*Assumptions!$F$157*Assumptions!$F$158,0)</x:f>
        <x:v>911</x:v>
      </x:c>
      <x:c r="D23" s="292" t="n">
        <x:f>ROUND(Tier_Economics!K5*Assumptions!$F$157*Assumptions!$F$158,0)</x:f>
        <x:v>2700</x:v>
      </x:c>
      <x:c r="E23" s="289"/>
    </x:row>
    <x:row r="24" ht="18" customHeight="1">
      <x:c r="A24" s="297" t="str">
        <x:v>Total variable retained-risk costs</x:v>
      </x:c>
      <x:c r="B24" s="298" t="n">
        <x:f>ROUND(SUM(B18:B23),0)</x:f>
        <x:v>15887</x:v>
      </x:c>
      <x:c r="C24" s="298" t="n">
        <x:f>ROUND(SUM(C18:C23),0)</x:f>
        <x:v>78789</x:v>
      </x:c>
      <x:c r="D24" s="298" t="n">
        <x:f>ROUND(SUM(D18:D23),0)</x:f>
        <x:v>239302</x:v>
      </x:c>
      <x:c r="E24" s="297"/>
    </x:row>
    <x:row r="25" ht="18" customHeight="1">
      <x:c r="A25" s="289" t="str"/>
      <x:c r="B25" s="292"/>
      <x:c r="C25" s="292"/>
      <x:c r="D25" s="292"/>
      <x:c r="E25" s="289"/>
    </x:row>
    <x:row r="26" ht="18" customHeight="1">
      <x:c r="A26" s="295" t="str">
        <x:v>RETAINED-RISK FIXED COSTS</x:v>
      </x:c>
      <x:c r="B26" s="296"/>
      <x:c r="C26" s="296"/>
      <x:c r="D26" s="296"/>
      <x:c r="E26" s="295"/>
    </x:row>
    <x:row r="27" ht="18" customHeight="1">
      <x:c r="A27" s="299" t="str">
        <x:v>Carrier/eBL integration maintenance</x:v>
      </x:c>
      <x:c r="B27" s="300" t="n">
        <x:f>ROUND(Assumptions!$F$143,0)</x:f>
        <x:v>15000</x:v>
      </x:c>
      <x:c r="C27" s="300" t="n">
        <x:f>ROUND(Assumptions!$F$143*1.25,0)</x:f>
        <x:v>18750</x:v>
      </x:c>
      <x:c r="D27" s="300" t="n">
        <x:f>ROUND(Assumptions!$F$143*1.5,0)</x:f>
        <x:v>22500</x:v>
      </x:c>
      <x:c r="E27" s="299"/>
    </x:row>
    <x:row r="28" ht="18" customHeight="1">
      <x:c r="A28" s="289" t="str">
        <x:v>Forensics partner retainer</x:v>
      </x:c>
      <x:c r="B28" s="292" t="n">
        <x:f>ROUND(Assumptions!$F$144,0)</x:f>
        <x:v>20000</x:v>
      </x:c>
      <x:c r="C28" s="292" t="n">
        <x:f>ROUND(Assumptions!$F$144*1.25,0)</x:f>
        <x:v>25000</x:v>
      </x:c>
      <x:c r="D28" s="292" t="n">
        <x:f>ROUND(Assumptions!$F$144*1.5,0)</x:f>
        <x:v>30000</x:v>
      </x:c>
      <x:c r="E28" s="289"/>
    </x:row>
    <x:row r="29" ht="18" customHeight="1">
      <x:c r="A29" s="289" t="str">
        <x:v>Fraud database build / governance</x:v>
      </x:c>
      <x:c r="B29" s="292" t="n">
        <x:f>ROUND(Assumptions!$F$145+Assumptions!$F$146,0)</x:f>
        <x:v>55000</x:v>
      </x:c>
      <x:c r="C29" s="292" t="n">
        <x:f>ROUND(Assumptions!$F$146,0)</x:f>
        <x:v>15000</x:v>
      </x:c>
      <x:c r="D29" s="292" t="n">
        <x:f>ROUND(Assumptions!$F$146,0)</x:f>
        <x:v>15000</x:v>
      </x:c>
      <x:c r="E29" s="289"/>
    </x:row>
    <x:row r="30" ht="18" customHeight="1">
      <x:c r="A30" s="289" t="str">
        <x:v>KMS / multisig / key security ops</x:v>
      </x:c>
      <x:c r="B30" s="292" t="n">
        <x:f>ROUND(Assumptions!$F$153,0)</x:f>
        <x:v>12000</x:v>
      </x:c>
      <x:c r="C30" s="292" t="n">
        <x:f>ROUND(Assumptions!$F$153*1.25,0)</x:f>
        <x:v>15000</x:v>
      </x:c>
      <x:c r="D30" s="292" t="n">
        <x:f>ROUND(Assumptions!$F$153*1.5,0)</x:f>
        <x:v>18000</x:v>
      </x:c>
      <x:c r="E30" s="289"/>
    </x:row>
    <x:row r="31" ht="18" customHeight="1">
      <x:c r="A31" s="289" t="str">
        <x:v>Regulatory reporting ops</x:v>
      </x:c>
      <x:c r="B31" s="292" t="n">
        <x:f>ROUND(Assumptions!$F$154,0)</x:f>
        <x:v>18000</x:v>
      </x:c>
      <x:c r="C31" s="292" t="n">
        <x:f>ROUND(Assumptions!$F$154*1.25,0)</x:f>
        <x:v>22500</x:v>
      </x:c>
      <x:c r="D31" s="292" t="n">
        <x:f>ROUND(Assumptions!$F$154*1.5,0)</x:f>
        <x:v>27000</x:v>
      </x:c>
      <x:c r="E31" s="289"/>
    </x:row>
    <x:row r="32" ht="18" customHeight="1">
      <x:c r="A32" s="289" t="str">
        <x:v>Insurance deductible reserve</x:v>
      </x:c>
      <x:c r="B32" s="292" t="n">
        <x:f>ROUND(Assumptions!$F$152,0)</x:f>
        <x:v>15000</x:v>
      </x:c>
      <x:c r="C32" s="292" t="n">
        <x:f>ROUND(Assumptions!$F$152,0)</x:f>
        <x:v>15000</x:v>
      </x:c>
      <x:c r="D32" s="292" t="n">
        <x:f>ROUND(Assumptions!$F$152,0)</x:f>
        <x:v>15000</x:v>
      </x:c>
      <x:c r="E32" s="289"/>
    </x:row>
    <x:row r="33" ht="18" customHeight="1">
      <x:c r="A33" s="289" t="str">
        <x:v>Smart contract incident reserve</x:v>
      </x:c>
      <x:c r="B33" s="292" t="n">
        <x:f>ROUND(Assumptions!$F$159,0)</x:f>
        <x:v>30000</x:v>
      </x:c>
      <x:c r="C33" s="292" t="n">
        <x:f>ROUND(Assumptions!$F$159,0)</x:f>
        <x:v>30000</x:v>
      </x:c>
      <x:c r="D33" s="292" t="n">
        <x:f>ROUND(Assumptions!$F$159,0)</x:f>
        <x:v>30000</x:v>
      </x:c>
      <x:c r="E33" s="289"/>
    </x:row>
    <x:row r="34" ht="18" customHeight="1">
      <x:c r="A34" s="289" t="str">
        <x:v>Liability wording legal review</x:v>
      </x:c>
      <x:c r="B34" s="292" t="n">
        <x:f>ROUND(Assumptions!$F$163,0)</x:f>
        <x:v>7500</x:v>
      </x:c>
      <x:c r="C34" s="292" t="n">
        <x:f>ROUND(0,0)</x:f>
        <x:v>0</x:v>
      </x:c>
      <x:c r="D34" s="292" t="n">
        <x:f>ROUND(0,0)</x:f>
        <x:v>0</x:v>
      </x:c>
      <x:c r="E34" s="289"/>
    </x:row>
    <x:row r="35" ht="18" customHeight="1">
      <x:c r="A35" s="289" t="str">
        <x:v>Document-source indemnity legal review</x:v>
      </x:c>
      <x:c r="B35" s="292" t="n">
        <x:f>ROUND(Assumptions!$F$164,0)</x:f>
        <x:v>7500</x:v>
      </x:c>
      <x:c r="C35" s="292" t="n">
        <x:f>ROUND(0,0)</x:f>
        <x:v>0</x:v>
      </x:c>
      <x:c r="D35" s="292" t="n">
        <x:f>ROUND(0,0)</x:f>
        <x:v>0</x:v>
      </x:c>
      <x:c r="E35" s="289"/>
    </x:row>
    <x:row r="36" ht="18" customHeight="1">
      <x:c r="A36" s="297" t="str">
        <x:v>Total fixed retained-risk costs</x:v>
      </x:c>
      <x:c r="B36" s="298" t="n">
        <x:f>ROUND(SUM(B27:B35),0)</x:f>
        <x:v>180000</x:v>
      </x:c>
      <x:c r="C36" s="298" t="n">
        <x:f>ROUND(SUM(C27:C35),0)</x:f>
        <x:v>141250</x:v>
      </x:c>
      <x:c r="D36" s="298" t="n">
        <x:f>ROUND(SUM(D27:D35),0)</x:f>
        <x:v>157500</x:v>
      </x:c>
      <x:c r="E36" s="297"/>
    </x:row>
    <x:row r="37" ht="18" customHeight="1">
      <x:c r="A37" s="289" t="str"/>
      <x:c r="B37" s="292"/>
      <x:c r="C37" s="292"/>
      <x:c r="D37" s="292"/>
      <x:c r="E37" s="289"/>
    </x:row>
    <x:row r="38" ht="18" customHeight="1">
      <x:c r="A38" s="301" t="str">
        <x:v>FUNDING / CONTINGENCY ONLY</x:v>
      </x:c>
      <x:c r="B38" s="302"/>
      <x:c r="C38" s="302"/>
      <x:c r="D38" s="302"/>
      <x:c r="E38" s="301"/>
    </x:row>
    <x:row r="39" ht="18" customHeight="1">
      <x:c r="A39" s="299" t="str">
        <x:v>Regulatory delay contingency</x:v>
      </x:c>
      <x:c r="B39" s="300" t="n">
        <x:f>ROUND(Assumptions!$F$160*Assumptions!$F$161,0)</x:f>
        <x:v>240000</x:v>
      </x:c>
      <x:c r="C39" s="300" t="n">
        <x:f>ROUND(0,0)</x:f>
        <x:v>0</x:v>
      </x:c>
      <x:c r="D39" s="300" t="n">
        <x:f>ROUND(0,0)</x:f>
        <x:v>0</x:v>
      </x:c>
      <x:c r="E39" s="299"/>
    </x:row>
    <x:row r="40" ht="18" customHeight="1">
      <x:c r="A40" s="289" t="str">
        <x:v>Delivery/performance liability reserve</x:v>
      </x:c>
      <x:c r="B40" s="292" t="n">
        <x:f>ROUND(Assumptions!$F$162,0)</x:f>
        <x:v>0</x:v>
      </x:c>
      <x:c r="C40" s="292" t="n">
        <x:f>ROUND(Assumptions!$F$162,0)</x:f>
        <x:v>0</x:v>
      </x:c>
      <x:c r="D40" s="292" t="n">
        <x:f>ROUND(Assumptions!$F$162,0)</x:f>
        <x:v>0</x:v>
      </x:c>
      <x:c r="E40" s="289"/>
    </x:row>
    <x:row r="41" ht="18" customHeight="1">
      <x:c r="A41" s="297" t="str">
        <x:v>Total funding-only contingency</x:v>
      </x:c>
      <x:c r="B41" s="298" t="n">
        <x:f>ROUND(SUM(B39:B40),0)</x:f>
        <x:v>240000</x:v>
      </x:c>
      <x:c r="C41" s="298" t="n">
        <x:f>ROUND(SUM(C39:C40),0)</x:f>
        <x:v>0</x:v>
      </x:c>
      <x:c r="D41" s="298" t="n">
        <x:f>ROUND(SUM(D39:D40),0)</x:f>
        <x:v>0</x:v>
      </x:c>
      <x:c r="E41" s="297"/>
    </x:row>
    <x:row r="42" ht="18" customHeight="1">
      <x:c r="A42" s="289" t="str"/>
      <x:c r="B42" s="289"/>
      <x:c r="C42" s="289"/>
      <x:c r="D42" s="289"/>
      <x:c r="E42" s="289"/>
    </x:row>
    <x:row r="43" ht="18" customHeight="1">
      <x:c r="A43" s="303" t="str">
        <x:v>DOCUMENTS-NOT-GOODS POSITIONING</x:v>
      </x:c>
      <x:c r="B43" s="303"/>
      <x:c r="C43" s="303"/>
      <x:c r="D43" s="303"/>
      <x:c r="E43" s="303"/>
    </x:row>
    <x:row r="44" ht="33" customHeight="1">
      <x:c r="A44" s="299" t="str">
        <x:v>Goods delivery / quality / performance risk</x:v>
      </x:c>
      <x:c r="B44" s="299" t="str">
        <x:v>Excluded reserve</x:v>
      </x:c>
      <x:c r="C44" s="299" t="str">
        <x:v>Excluded</x:v>
      </x:c>
      <x:c r="D44" s="299" t="str">
        <x:v>Excluded</x:v>
      </x:c>
      <x:c r="E44" s="299" t="str">
        <x:v>Documents-not-goods boundary; buyer/seller/carrier/insurer risk</x:v>
      </x:c>
    </x:row>
    <x:row r="45" ht="33" customHeight="1">
      <x:c r="A45" s="289" t="str">
        <x:v>Document verification / wrongful release risk</x:v>
      </x:c>
      <x:c r="B45" s="289" t="str">
        <x:v>Retained and priced</x:v>
      </x:c>
      <x:c r="C45" s="289" t="str">
        <x:v>Retained</x:v>
      </x:c>
      <x:c r="D45" s="289" t="str">
        <x:v>Retained</x:v>
      </x:c>
      <x:c r="E45" s="289" t="str">
        <x:v>Operational/process error reserve + insurance/deductible reserve</x:v>
      </x:c>
    </x:row>
    <x:row r="46" ht="33" customHeight="1">
      <x:c r="A46" s="289" t="str">
        <x:v>Carrier/eBL/API source failure risk</x:v>
      </x:c>
      <x:c r="B46" s="289" t="str">
        <x:v>Retained operationally</x:v>
      </x:c>
      <x:c r="C46" s="289" t="str">
        <x:v>Retained</x:v>
      </x:c>
      <x:c r="D46" s="289" t="str">
        <x:v>Retained</x:v>
      </x:c>
      <x:c r="E46" s="289" t="str">
        <x:v>Partner contracts, uptime SLAs, manual fallback cost</x:v>
      </x:c>
    </x:row>
    <x:row r="47" ht="33" customHeight="1">
      <x:c r="A47" s="289" t="str">
        <x:v>Tier C paper/originals risk</x:v>
      </x:c>
      <x:c r="B47" s="289" t="str">
        <x:v>High-cost fallback</x:v>
      </x:c>
      <x:c r="C47" s="289" t="str">
        <x:v>High</x:v>
      </x:c>
      <x:c r="D47" s="289" t="str">
        <x:v>High</x:v>
      </x:c>
      <x:c r="E47" s="289" t="str">
        <x:v>Tier C priced up and margin-tested</x:v>
      </x:c>
    </x:row>
    <x:row r="48" ht="33" customHeight="1">
      <x:c r="A48" s="289" t="str">
        <x:v>Contractual risk posture</x:v>
      </x:c>
      <x:c r="B48" s="289" t="str">
        <x:v>Against documents</x:v>
      </x:c>
      <x:c r="C48" s="289" t="str">
        <x:v>Core premise</x:v>
      </x:c>
      <x:c r="D48" s="289" t="str">
        <x:v>Core premise</x:v>
      </x:c>
      <x:c r="E48" s="289" t="str">
        <x:v>Mirrors LC logic; legal review still required</x:v>
      </x:c>
    </x:row>
    <x:row r="49">
      <x:c r="A49" t="str"/>
    </x:row>
    <x:row r="50">
      <x:c r="A50" t="str"/>
    </x:row>
    <x:row r="51">
      <x:c r="A51" t="str"/>
    </x:row>
    <x:row r="52">
      <x:c r="A52" t="str"/>
    </x:row>
    <x:row r="53">
      <x:c r="A53" t="str"/>
    </x:row>
    <x:row r="54">
      <x:c r="A54" t="str"/>
    </x:row>
    <x:row r="55">
      <x:c r="A55" t="str"/>
    </x:row>
  </x:sheetData>
  <x:mergeCells>
    <x:mergeCell ref="A1:E1"/>
  </x:mergeCells>
  <x:pageMargins left="0.7" right="0.7" top="0.75" bottom="0.75" header="0.3" footer="0.3"/>
</x:worksheet>
</file>