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wbec\BlockMed\BlockMed\Financial Projections\"/>
    </mc:Choice>
  </mc:AlternateContent>
  <xr:revisionPtr revIDLastSave="0" documentId="13_ncr:1_{54C5B9F5-F7D7-4454-BAAD-30E68F7793F2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amp" sheetId="6" r:id="rId1"/>
    <sheet name="Assumptions" sheetId="2" r:id="rId2"/>
    <sheet name="Timeline" sheetId="1" r:id="rId3"/>
    <sheet name="Rev Timeline" sheetId="3" r:id="rId4"/>
    <sheet name="Cost Timeline" sheetId="4" r:id="rId5"/>
    <sheet name="H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5" i="6"/>
  <c r="B4" i="6"/>
  <c r="B3" i="6"/>
</calcChain>
</file>

<file path=xl/sharedStrings.xml><?xml version="1.0" encoding="utf-8"?>
<sst xmlns="http://schemas.openxmlformats.org/spreadsheetml/2006/main" count="26" uniqueCount="22">
  <si>
    <t>Active Customers (EOY)</t>
  </si>
  <si>
    <t>Deals Processed</t>
  </si>
  <si>
    <t>Avg ticket size</t>
  </si>
  <si>
    <t>Total revenue</t>
  </si>
  <si>
    <t>Total Opex</t>
  </si>
  <si>
    <t>Gross Margin</t>
  </si>
  <si>
    <t>EBITDA</t>
  </si>
  <si>
    <t>Year 1</t>
  </si>
  <si>
    <t>Year 2</t>
  </si>
  <si>
    <t>Year 3</t>
  </si>
  <si>
    <t>Year</t>
  </si>
  <si>
    <t>Month</t>
  </si>
  <si>
    <t xml:space="preserve">Rev </t>
  </si>
  <si>
    <t>active customers</t>
  </si>
  <si>
    <t>Avg Ticket Size</t>
  </si>
  <si>
    <t>Total Reven</t>
  </si>
  <si>
    <t>TAM</t>
  </si>
  <si>
    <t>SAM</t>
  </si>
  <si>
    <t>SOM</t>
  </si>
  <si>
    <t>year 1</t>
  </si>
  <si>
    <t>year 2</t>
  </si>
  <si>
    <t>year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</si>
</sst>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6" fontId="0" fillId="0" borderId="0" xfId="1" applyNumberFormat="1" applyFont="1"/>
    <xf numFmtId="9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273C1-009D-4CD2-86ED-4FF4719728EC}">
  <dimension ref="A1:D12"/>
  <sheetViews>
    <sheetView tabSelected="1" workbookViewId="0">
      <selection activeCell="B18" sqref="B18"/>
    </sheetView>
  </sheetViews>
  <sheetFormatPr defaultRowHeight="14.5" x14ac:dyDescent="0.35"/>
  <cols>
    <col min="1" max="1" width="14.81640625" bestFit="1" customWidth="1"/>
    <col min="2" max="2" width="20.453125" customWidth="1"/>
  </cols>
  <sheetData>
    <row r="1" spans="1:4" x14ac:dyDescent="0.35">
      <c r="B1" t="s">
        <v>19</v>
      </c>
      <c r="C1" t="s">
        <v>20</v>
      </c>
      <c r="D1" t="s">
        <v>21</v>
      </c>
    </row>
    <row r="2" spans="1:4" x14ac:dyDescent="0.35">
      <c r="A2" t="s">
        <v>13</v>
      </c>
      <c r="B2">
        <v>20</v>
      </c>
      <c r="C2">
        <v>125</v>
      </c>
      <c r="D2">
        <v>375</v>
      </c>
    </row>
    <row r="3" spans="1:4" x14ac:dyDescent="0.35">
      <c r="A3" t="s">
        <v>1</v>
      </c>
      <c r="B3">
        <f>(25+55)/2</f>
        <v>40</v>
      </c>
    </row>
    <row r="4" spans="1:4" x14ac:dyDescent="0.35">
      <c r="A4" t="s">
        <v>14</v>
      </c>
      <c r="B4">
        <f t="shared" ref="B4:B7" si="0">(25+55)/2</f>
        <v>40</v>
      </c>
    </row>
    <row r="5" spans="1:4" x14ac:dyDescent="0.35">
      <c r="A5" t="s">
        <v>15</v>
      </c>
      <c r="B5">
        <f>(5+35)/2</f>
        <v>20</v>
      </c>
    </row>
    <row r="6" spans="1:4" x14ac:dyDescent="0.35">
      <c r="A6" t="s">
        <v>4</v>
      </c>
      <c r="B6">
        <f>(155+260)/2</f>
        <v>207.5</v>
      </c>
    </row>
    <row r="7" spans="1:4" x14ac:dyDescent="0.35">
      <c r="A7" t="s">
        <v>5</v>
      </c>
      <c r="B7" s="2">
        <v>0.65</v>
      </c>
    </row>
    <row r="8" spans="1:4" x14ac:dyDescent="0.35">
      <c r="A8" t="s">
        <v>6</v>
      </c>
    </row>
    <row r="10" spans="1:4" x14ac:dyDescent="0.35">
      <c r="A10" t="s">
        <v>16</v>
      </c>
      <c r="B10" s="1">
        <v>2500000000000</v>
      </c>
    </row>
    <row r="11" spans="1:4" x14ac:dyDescent="0.35">
      <c r="A11" t="s">
        <v>17</v>
      </c>
      <c r="B11" s="1">
        <v>5000000000</v>
      </c>
    </row>
    <row r="12" spans="1:4" x14ac:dyDescent="0.35">
      <c r="A12" t="s">
        <v>18</v>
      </c>
      <c r="B12" s="1">
        <v>250000000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4C66-08CC-4C33-84B2-7EA2B723F29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D30" sqref="D30"/>
    </sheetView>
  </sheetViews>
  <sheetFormatPr defaultRowHeight="14.5" x14ac:dyDescent="0.35"/>
  <cols>
    <col min="1" max="1" width="20.453125" bestFit="1" customWidth="1"/>
  </cols>
  <sheetData>
    <row r="1" spans="1:4" x14ac:dyDescent="0.35">
      <c r="A1" t="s">
        <v>10</v>
      </c>
      <c r="B1" t="s">
        <v>7</v>
      </c>
      <c r="C1" t="s">
        <v>8</v>
      </c>
      <c r="D1" t="s">
        <v>9</v>
      </c>
    </row>
    <row r="2" spans="1:4" x14ac:dyDescent="0.35">
      <c r="A2" t="s">
        <v>11</v>
      </c>
    </row>
    <row r="3" spans="1:4" x14ac:dyDescent="0.35">
      <c r="A3" t="s">
        <v>0</v>
      </c>
    </row>
    <row r="4" spans="1:4" x14ac:dyDescent="0.35">
      <c r="A4" t="s">
        <v>1</v>
      </c>
    </row>
    <row r="5" spans="1:4" x14ac:dyDescent="0.35">
      <c r="A5" t="s">
        <v>2</v>
      </c>
    </row>
    <row r="6" spans="1:4" x14ac:dyDescent="0.35">
      <c r="A6" t="s">
        <v>3</v>
      </c>
    </row>
    <row r="7" spans="1:4" x14ac:dyDescent="0.35">
      <c r="A7" t="s">
        <v>4</v>
      </c>
    </row>
    <row r="8" spans="1:4" x14ac:dyDescent="0.35">
      <c r="A8" t="s">
        <v>5</v>
      </c>
    </row>
    <row r="9" spans="1:4" x14ac:dyDescent="0.35">
      <c r="A9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4E46-2C93-4B35-9193-2D905CF56358}">
  <dimension ref="A1"/>
  <sheetViews>
    <sheetView workbookViewId="0">
      <selection activeCell="F27" sqref="F27"/>
    </sheetView>
  </sheetViews>
  <sheetFormatPr defaultRowHeight="14.5" x14ac:dyDescent="0.35"/>
  <sheetData>
    <row r="1" spans="1:1" x14ac:dyDescent="0.35">
      <c r="A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2016-91CB-4124-8274-A7CA481D334D}">
  <dimension ref="A1"/>
  <sheetViews>
    <sheetView workbookViewId="0">
      <selection activeCell="F26" sqref="F26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885B-C936-48F8-A5C6-3779982D82C3}">
  <dimension ref="A1"/>
  <sheetViews>
    <sheetView workbookViewId="0">
      <selection activeCell="G34" sqref="G3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</vt:lpstr>
      <vt:lpstr>Assumptions</vt:lpstr>
      <vt:lpstr>Timeline</vt:lpstr>
      <vt:lpstr>Rev Timeline</vt:lpstr>
      <vt:lpstr>Cost Timeline</vt:lpstr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Conrad Beckman</dc:creator>
  <cp:lastModifiedBy>Beckman, Conrad</cp:lastModifiedBy>
  <dcterms:created xsi:type="dcterms:W3CDTF">2015-06-05T18:17:20Z</dcterms:created>
  <dcterms:modified xsi:type="dcterms:W3CDTF">2026-05-29T11:10:53Z</dcterms:modified>
</cp:coreProperties>
</file>