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cwbec\BlockMed\BlockMed\Financial Projections\"/>
    </mc:Choice>
  </mc:AlternateContent>
  <xr:revisionPtr revIDLastSave="0" documentId="13_ncr:1_{7B99F7EB-9008-432E-BD5F-4AB1E8D1A61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amp" sheetId="6" r:id="rId1"/>
    <sheet name="Assumptions" sheetId="2" r:id="rId2"/>
    <sheet name="Timeline" sheetId="1" r:id="rId3"/>
    <sheet name="Rev Timeline" sheetId="3" r:id="rId4"/>
    <sheet name="Cost Timeline" sheetId="4" r:id="rId5"/>
    <sheet name="HR" sheetId="5" r:id="rId6"/>
    <sheet name="Equity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5" l="1"/>
  <c r="E9" i="5"/>
  <c r="F1" i="5"/>
  <c r="C6" i="6"/>
  <c r="D6" i="6"/>
  <c r="B4" i="6"/>
  <c r="B6" i="6"/>
  <c r="B3" i="6"/>
</calcChain>
</file>

<file path=xl/sharedStrings.xml><?xml version="1.0" encoding="utf-8"?>
<sst xmlns="http://schemas.openxmlformats.org/spreadsheetml/2006/main" count="57" uniqueCount="53">
  <si>
    <t>Active Customers (EOY)</t>
  </si>
  <si>
    <t>Deals Processed</t>
  </si>
  <si>
    <t>Avg ticket size</t>
  </si>
  <si>
    <t>Total revenue</t>
  </si>
  <si>
    <t>Total Opex</t>
  </si>
  <si>
    <t>Gross Margin</t>
  </si>
  <si>
    <t>EBITDA</t>
  </si>
  <si>
    <t>Year 1</t>
  </si>
  <si>
    <t>Year 2</t>
  </si>
  <si>
    <t>Year 3</t>
  </si>
  <si>
    <t>Year</t>
  </si>
  <si>
    <t>Month</t>
  </si>
  <si>
    <t xml:space="preserve">Rev </t>
  </si>
  <si>
    <t>active customers</t>
  </si>
  <si>
    <t>Avg Ticket Size</t>
  </si>
  <si>
    <t>Total Reven</t>
  </si>
  <si>
    <t>TAM</t>
  </si>
  <si>
    <t>SAM</t>
  </si>
  <si>
    <t>SOM</t>
  </si>
  <si>
    <t>year 1</t>
  </si>
  <si>
    <t>year 2</t>
  </si>
  <si>
    <t>year 3</t>
  </si>
  <si>
    <t>Initial Inv</t>
  </si>
  <si>
    <t>minimum pay</t>
  </si>
  <si>
    <t>Dan</t>
  </si>
  <si>
    <t>Reshi</t>
  </si>
  <si>
    <t>Nick</t>
  </si>
  <si>
    <t>Bhadri</t>
  </si>
  <si>
    <t>Tamer</t>
  </si>
  <si>
    <t>Conrad</t>
  </si>
  <si>
    <t>Equity Ask</t>
  </si>
  <si>
    <t>Angel Investors</t>
  </si>
  <si>
    <t>Customer acquisition (EOY): 20 (Y1) → 110 (Y2) → 350 (Y3)</t>
  </si>
  <si>
    <t>- Deals per customer per year: 1.5–2.5 (Y1, ramp) → 3 (Y2) → 3.5 (Y3, repeats compound)</t>
  </si>
  <si>
    <t>- Avg ticket size: $25K (Y1) → $35K (Y2) → $50K (Y3)</t>
  </si>
  <si>
    <t>- Blended settlement-fee take rate: 0.7% per trade (range across tiers)</t>
  </si>
  <si>
    <t>- Tier mix (Tier A eBL / Tier C paper): 30 / 70 (Y1) → 50 / 50 (Y2) → 60 / 40 (Y3)</t>
  </si>
  <si>
    <t>- Headcount: 6 founders (Y1) → 8 (Y2) → 12 (Y3)</t>
  </si>
  <si>
    <t>- Founder salaries: $20K Y1 (equity-heavy) → $45K Y2 → $55K Y3</t>
  </si>
  <si>
    <t>- SaaS Stream B requires 1 partner in Y1, 2–3 in Y2, 4–5 in Y3</t>
  </si>
  <si>
    <t>- Yield share Stream C depends on regulated yield infrastructure becoming available</t>
  </si>
  <si>
    <t>deals per customer per year</t>
  </si>
  <si>
    <t>low</t>
  </si>
  <si>
    <t>high</t>
  </si>
  <si>
    <t>avg ticket size</t>
  </si>
  <si>
    <t>yr 2</t>
  </si>
  <si>
    <t>yr 3</t>
  </si>
  <si>
    <t>settlement fee take rate</t>
  </si>
  <si>
    <t>tier Mix</t>
  </si>
  <si>
    <t>Headcount</t>
  </si>
  <si>
    <t>Founder Salaries</t>
  </si>
  <si>
    <t>Saas Stream B</t>
  </si>
  <si>
    <t>Yield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</si>
</sst>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6" formatCode="_(&quot;$&quot;* #,##0_);_(&quot;$&quot;* \(#,##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44" fontId="0" fillId="0" borderId="0" xfId="1" applyFont="1"/>
    <xf numFmtId="166" fontId="0" fillId="0" borderId="0" xfId="1" applyNumberFormat="1" applyFont="1"/>
    <xf numFmtId="9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left" vertical="center"/>
    </xf>
    <xf numFmtId="10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273C1-009D-4CD2-86ED-4FF4719728EC}">
  <dimension ref="A1:E34"/>
  <sheetViews>
    <sheetView tabSelected="1" workbookViewId="0">
      <selection activeCell="E12" sqref="E12"/>
    </sheetView>
  </sheetViews>
  <sheetFormatPr defaultRowHeight="14.5" x14ac:dyDescent="0.35"/>
  <cols>
    <col min="1" max="1" width="65.08984375" bestFit="1" customWidth="1"/>
    <col min="2" max="2" width="20.453125" customWidth="1"/>
  </cols>
  <sheetData>
    <row r="1" spans="1:4" x14ac:dyDescent="0.35">
      <c r="B1" t="s">
        <v>19</v>
      </c>
      <c r="C1" t="s">
        <v>20</v>
      </c>
      <c r="D1" t="s">
        <v>21</v>
      </c>
    </row>
    <row r="2" spans="1:4" x14ac:dyDescent="0.35">
      <c r="A2" t="s">
        <v>13</v>
      </c>
      <c r="B2">
        <v>20</v>
      </c>
      <c r="C2">
        <v>125</v>
      </c>
      <c r="D2">
        <v>375</v>
      </c>
    </row>
    <row r="3" spans="1:4" x14ac:dyDescent="0.35">
      <c r="A3" t="s">
        <v>1</v>
      </c>
      <c r="B3">
        <f>(25+55)/2</f>
        <v>40</v>
      </c>
      <c r="C3">
        <v>300</v>
      </c>
      <c r="D3">
        <v>1200</v>
      </c>
    </row>
    <row r="4" spans="1:4" x14ac:dyDescent="0.35">
      <c r="A4" t="s">
        <v>14</v>
      </c>
      <c r="B4">
        <f>25000</f>
        <v>25000</v>
      </c>
      <c r="C4">
        <v>35000</v>
      </c>
      <c r="D4">
        <v>50000</v>
      </c>
    </row>
    <row r="5" spans="1:4" x14ac:dyDescent="0.35">
      <c r="A5" t="s">
        <v>15</v>
      </c>
    </row>
    <row r="6" spans="1:4" x14ac:dyDescent="0.35">
      <c r="A6" t="s">
        <v>4</v>
      </c>
      <c r="B6">
        <f>(155+260)/2</f>
        <v>207.5</v>
      </c>
      <c r="C6">
        <f>(475000+735000)/2</f>
        <v>605000</v>
      </c>
      <c r="D6">
        <f>(1100000+1700000)/2</f>
        <v>1400000</v>
      </c>
    </row>
    <row r="7" spans="1:4" x14ac:dyDescent="0.35">
      <c r="A7" t="s">
        <v>5</v>
      </c>
      <c r="B7" s="3">
        <v>0.65</v>
      </c>
      <c r="C7" s="3">
        <v>0.65</v>
      </c>
      <c r="D7" s="3">
        <v>0.7</v>
      </c>
    </row>
    <row r="8" spans="1:4" x14ac:dyDescent="0.35">
      <c r="A8" t="s">
        <v>6</v>
      </c>
    </row>
    <row r="10" spans="1:4" x14ac:dyDescent="0.35">
      <c r="A10" t="s">
        <v>16</v>
      </c>
      <c r="B10" s="2">
        <v>2500000000000</v>
      </c>
    </row>
    <row r="11" spans="1:4" x14ac:dyDescent="0.35">
      <c r="A11" t="s">
        <v>17</v>
      </c>
      <c r="B11" s="2">
        <v>5000000000</v>
      </c>
    </row>
    <row r="12" spans="1:4" x14ac:dyDescent="0.35">
      <c r="A12" t="s">
        <v>18</v>
      </c>
      <c r="B12" s="2">
        <v>250000000</v>
      </c>
    </row>
    <row r="15" spans="1:4" x14ac:dyDescent="0.35">
      <c r="A15" s="5" t="s">
        <v>32</v>
      </c>
    </row>
    <row r="16" spans="1:4" x14ac:dyDescent="0.35">
      <c r="A16" s="5" t="s">
        <v>33</v>
      </c>
    </row>
    <row r="17" spans="1:5" x14ac:dyDescent="0.35">
      <c r="A17" s="5" t="s">
        <v>34</v>
      </c>
    </row>
    <row r="18" spans="1:5" x14ac:dyDescent="0.35">
      <c r="A18" s="5" t="s">
        <v>35</v>
      </c>
    </row>
    <row r="19" spans="1:5" x14ac:dyDescent="0.35">
      <c r="A19" s="5" t="s">
        <v>36</v>
      </c>
    </row>
    <row r="20" spans="1:5" x14ac:dyDescent="0.35">
      <c r="A20" s="5" t="s">
        <v>37</v>
      </c>
    </row>
    <row r="21" spans="1:5" x14ac:dyDescent="0.35">
      <c r="A21" s="5" t="s">
        <v>38</v>
      </c>
    </row>
    <row r="22" spans="1:5" x14ac:dyDescent="0.35">
      <c r="A22" s="5" t="s">
        <v>39</v>
      </c>
    </row>
    <row r="23" spans="1:5" x14ac:dyDescent="0.35">
      <c r="A23" s="5" t="s">
        <v>40</v>
      </c>
    </row>
    <row r="25" spans="1:5" x14ac:dyDescent="0.35">
      <c r="B25" t="s">
        <v>42</v>
      </c>
      <c r="C25" t="s">
        <v>43</v>
      </c>
      <c r="D25" t="s">
        <v>45</v>
      </c>
      <c r="E25" t="s">
        <v>46</v>
      </c>
    </row>
    <row r="26" spans="1:5" x14ac:dyDescent="0.35">
      <c r="A26" s="5" t="s">
        <v>41</v>
      </c>
      <c r="B26">
        <v>1.5</v>
      </c>
      <c r="C26">
        <v>2.5</v>
      </c>
      <c r="D26">
        <v>3</v>
      </c>
      <c r="E26">
        <v>3.5</v>
      </c>
    </row>
    <row r="27" spans="1:5" x14ac:dyDescent="0.35">
      <c r="A27" s="5" t="s">
        <v>44</v>
      </c>
      <c r="B27">
        <v>25000</v>
      </c>
      <c r="D27">
        <v>35000</v>
      </c>
      <c r="E27">
        <v>50000</v>
      </c>
    </row>
    <row r="28" spans="1:5" x14ac:dyDescent="0.35">
      <c r="A28" s="5" t="s">
        <v>47</v>
      </c>
      <c r="B28" s="6">
        <v>7.0000000000000001E-3</v>
      </c>
      <c r="D28" s="6">
        <v>7.0000000000000001E-3</v>
      </c>
      <c r="E28" s="6">
        <v>7.0000000000000001E-3</v>
      </c>
    </row>
    <row r="29" spans="1:5" x14ac:dyDescent="0.35">
      <c r="A29" s="5" t="s">
        <v>48</v>
      </c>
    </row>
    <row r="31" spans="1:5" x14ac:dyDescent="0.35">
      <c r="A31" s="5" t="s">
        <v>49</v>
      </c>
      <c r="B31">
        <v>6</v>
      </c>
      <c r="D31">
        <v>8</v>
      </c>
      <c r="E31">
        <v>12</v>
      </c>
    </row>
    <row r="32" spans="1:5" x14ac:dyDescent="0.35">
      <c r="A32" s="5" t="s">
        <v>50</v>
      </c>
      <c r="B32">
        <v>20000</v>
      </c>
      <c r="D32">
        <v>45000</v>
      </c>
      <c r="E32">
        <v>55000</v>
      </c>
    </row>
    <row r="33" spans="1:1" x14ac:dyDescent="0.35">
      <c r="A33" s="5" t="s">
        <v>51</v>
      </c>
    </row>
    <row r="34" spans="1:1" x14ac:dyDescent="0.35">
      <c r="A34" s="5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74C66-08CC-4C33-84B2-7EA2B723F292}">
  <dimension ref="A1:B1"/>
  <sheetViews>
    <sheetView workbookViewId="0">
      <selection activeCell="D13" sqref="D13"/>
    </sheetView>
  </sheetViews>
  <sheetFormatPr defaultRowHeight="14.5" x14ac:dyDescent="0.35"/>
  <cols>
    <col min="2" max="2" width="13.6328125" bestFit="1" customWidth="1"/>
  </cols>
  <sheetData>
    <row r="1" spans="1:2" x14ac:dyDescent="0.35">
      <c r="A1" t="s">
        <v>22</v>
      </c>
      <c r="B1" s="1">
        <v>1000000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D30" sqref="D30"/>
    </sheetView>
  </sheetViews>
  <sheetFormatPr defaultRowHeight="14.5" x14ac:dyDescent="0.35"/>
  <cols>
    <col min="1" max="1" width="20.453125" bestFit="1" customWidth="1"/>
  </cols>
  <sheetData>
    <row r="1" spans="1:4" x14ac:dyDescent="0.35">
      <c r="A1" t="s">
        <v>10</v>
      </c>
      <c r="B1" t="s">
        <v>7</v>
      </c>
      <c r="C1" t="s">
        <v>8</v>
      </c>
      <c r="D1" t="s">
        <v>9</v>
      </c>
    </row>
    <row r="2" spans="1:4" x14ac:dyDescent="0.35">
      <c r="A2" t="s">
        <v>11</v>
      </c>
    </row>
    <row r="3" spans="1:4" x14ac:dyDescent="0.35">
      <c r="A3" t="s">
        <v>0</v>
      </c>
    </row>
    <row r="4" spans="1:4" x14ac:dyDescent="0.35">
      <c r="A4" t="s">
        <v>1</v>
      </c>
    </row>
    <row r="5" spans="1:4" x14ac:dyDescent="0.35">
      <c r="A5" t="s">
        <v>2</v>
      </c>
    </row>
    <row r="6" spans="1:4" x14ac:dyDescent="0.35">
      <c r="A6" t="s">
        <v>3</v>
      </c>
    </row>
    <row r="7" spans="1:4" x14ac:dyDescent="0.35">
      <c r="A7" t="s">
        <v>4</v>
      </c>
    </row>
    <row r="8" spans="1:4" x14ac:dyDescent="0.35">
      <c r="A8" t="s">
        <v>5</v>
      </c>
    </row>
    <row r="9" spans="1:4" x14ac:dyDescent="0.35">
      <c r="A9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D4E46-2C93-4B35-9193-2D905CF56358}">
  <dimension ref="A1"/>
  <sheetViews>
    <sheetView workbookViewId="0">
      <selection activeCell="F27" sqref="F27"/>
    </sheetView>
  </sheetViews>
  <sheetFormatPr defaultRowHeight="14.5" x14ac:dyDescent="0.35"/>
  <sheetData>
    <row r="1" spans="1:1" x14ac:dyDescent="0.35">
      <c r="A1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12016-91CB-4124-8274-A7CA481D334D}">
  <dimension ref="A1"/>
  <sheetViews>
    <sheetView workbookViewId="0">
      <selection activeCell="F26" sqref="F26"/>
    </sheetView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885B-C936-48F8-A5C6-3779982D82C3}">
  <dimension ref="A1:F10"/>
  <sheetViews>
    <sheetView workbookViewId="0">
      <selection activeCell="G13" sqref="G13"/>
    </sheetView>
  </sheetViews>
  <sheetFormatPr defaultRowHeight="14.5" x14ac:dyDescent="0.35"/>
  <cols>
    <col min="1" max="1" width="13.6328125" bestFit="1" customWidth="1"/>
    <col min="2" max="2" width="12.26953125" bestFit="1" customWidth="1"/>
  </cols>
  <sheetData>
    <row r="1" spans="1:6" x14ac:dyDescent="0.35">
      <c r="A1" t="s">
        <v>31</v>
      </c>
      <c r="B1" s="3">
        <v>0.2</v>
      </c>
      <c r="E1" s="3">
        <v>0.8</v>
      </c>
      <c r="F1">
        <f>80/6</f>
        <v>13.333333333333334</v>
      </c>
    </row>
    <row r="2" spans="1:6" x14ac:dyDescent="0.35">
      <c r="B2" t="s">
        <v>23</v>
      </c>
      <c r="C2" t="s">
        <v>30</v>
      </c>
    </row>
    <row r="3" spans="1:6" x14ac:dyDescent="0.35">
      <c r="A3" t="s">
        <v>24</v>
      </c>
      <c r="B3">
        <v>0</v>
      </c>
      <c r="C3" s="3">
        <v>0.15</v>
      </c>
    </row>
    <row r="4" spans="1:6" x14ac:dyDescent="0.35">
      <c r="A4" t="s">
        <v>25</v>
      </c>
      <c r="B4">
        <v>18000</v>
      </c>
      <c r="C4" s="3">
        <v>0.17</v>
      </c>
    </row>
    <row r="5" spans="1:6" x14ac:dyDescent="0.35">
      <c r="A5" t="s">
        <v>26</v>
      </c>
      <c r="B5">
        <v>25000</v>
      </c>
    </row>
    <row r="6" spans="1:6" x14ac:dyDescent="0.35">
      <c r="A6" t="s">
        <v>27</v>
      </c>
      <c r="B6">
        <v>30000</v>
      </c>
      <c r="C6" s="3">
        <v>0.05</v>
      </c>
    </row>
    <row r="7" spans="1:6" x14ac:dyDescent="0.35">
      <c r="A7" t="s">
        <v>28</v>
      </c>
      <c r="B7">
        <v>35000</v>
      </c>
    </row>
    <row r="8" spans="1:6" x14ac:dyDescent="0.35">
      <c r="A8" t="s">
        <v>29</v>
      </c>
      <c r="B8" s="4">
        <v>80000</v>
      </c>
      <c r="C8">
        <v>0</v>
      </c>
    </row>
    <row r="9" spans="1:6" x14ac:dyDescent="0.35">
      <c r="E9" s="3">
        <f>E1-SUM(C3:C8)</f>
        <v>0.43000000000000005</v>
      </c>
    </row>
    <row r="10" spans="1:6" x14ac:dyDescent="0.35">
      <c r="B10">
        <f>SUM(B3:B8)</f>
        <v>188000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8D163-8B6B-4DB5-B230-4C38BE78B5EE}">
  <dimension ref="A1"/>
  <sheetViews>
    <sheetView workbookViewId="0">
      <selection activeCell="K11" sqref="K11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Samp</vt:lpstr>
      <vt:lpstr>Assumptions</vt:lpstr>
      <vt:lpstr>Timeline</vt:lpstr>
      <vt:lpstr>Rev Timeline</vt:lpstr>
      <vt:lpstr>Cost Timeline</vt:lpstr>
      <vt:lpstr>HR</vt:lpstr>
      <vt:lpstr>Equity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Conrad Beckman</dc:creator>
  <cp:lastModifiedBy>Beckman, Conrad</cp:lastModifiedBy>
  <dcterms:created xsi:type="dcterms:W3CDTF">2015-06-05T18:17:20Z</dcterms:created>
  <dcterms:modified xsi:type="dcterms:W3CDTF">2026-05-29T12:11:16Z</dcterms:modified>
</cp:coreProperties>
</file>