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wbec\BlockMed\financial-projections\"/>
    </mc:Choice>
  </mc:AlternateContent>
  <xr:revisionPtr revIDLastSave="0" documentId="13_ncr:1_{DCA8F585-B85F-4CBB-AB62-953AD1DAA53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ADME" sheetId="1" r:id="rId1"/>
    <sheet name="Dashboard" sheetId="2" r:id="rId2"/>
    <sheet name="Launch Readiness" sheetId="3" r:id="rId3"/>
    <sheet name="Tier Economics" sheetId="4" r:id="rId4"/>
    <sheet name="Revenue Risk Add-Ons" sheetId="5" r:id="rId5"/>
    <sheet name="P&amp;L 5yr" sheetId="6" r:id="rId6"/>
    <sheet name="Cash Flow Statement" sheetId="7" r:id="rId7"/>
    <sheet name="Scenario Engine" sheetId="8" r:id="rId8"/>
    <sheet name="Assumptions" sheetId="9" r:id="rId9"/>
    <sheet name="Startup 6mo" sheetId="10" r:id="rId10"/>
    <sheet name="Sensitivity" sheetId="12" r:id="rId11"/>
    <sheet name="Risk Register" sheetId="13" r:id="rId12"/>
    <sheet name="Driver Tables" sheetId="11" r:id="rId13"/>
    <sheet name="Model Checks" sheetId="14" r:id="rId14"/>
    <sheet name="Client Funds Memo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2" l="1"/>
  <c r="D29" i="15"/>
  <c r="D28" i="15"/>
  <c r="D27" i="15"/>
  <c r="D26" i="15"/>
  <c r="F7" i="15"/>
  <c r="E7" i="15"/>
  <c r="D7" i="15"/>
  <c r="C7" i="15"/>
  <c r="B7" i="15"/>
  <c r="B42" i="14"/>
  <c r="D42" i="14" s="1"/>
  <c r="F42" i="14" s="1"/>
  <c r="C38" i="14"/>
  <c r="C37" i="14"/>
  <c r="C35" i="14"/>
  <c r="B35" i="14"/>
  <c r="D35" i="14" s="1"/>
  <c r="F35" i="14" s="1"/>
  <c r="C34" i="14"/>
  <c r="C33" i="14"/>
  <c r="C32" i="14"/>
  <c r="C31" i="14"/>
  <c r="C30" i="14"/>
  <c r="C29" i="14"/>
  <c r="C28" i="14"/>
  <c r="C27" i="14"/>
  <c r="C26" i="14"/>
  <c r="B26" i="14"/>
  <c r="D26" i="14" s="1"/>
  <c r="F26" i="14" s="1"/>
  <c r="C23" i="14"/>
  <c r="C22" i="14"/>
  <c r="C21" i="14"/>
  <c r="B21" i="14"/>
  <c r="D21" i="14" s="1"/>
  <c r="F21" i="14" s="1"/>
  <c r="E20" i="14"/>
  <c r="E19" i="14"/>
  <c r="E18" i="14"/>
  <c r="E17" i="14"/>
  <c r="E16" i="14"/>
  <c r="C16" i="14"/>
  <c r="E15" i="14"/>
  <c r="C15" i="14"/>
  <c r="E14" i="14"/>
  <c r="C14" i="14"/>
  <c r="E13" i="14"/>
  <c r="E12" i="14"/>
  <c r="E11" i="14"/>
  <c r="E10" i="14"/>
  <c r="E9" i="14"/>
  <c r="E8" i="14"/>
  <c r="C8" i="14"/>
  <c r="B8" i="14"/>
  <c r="E7" i="14"/>
  <c r="C7" i="14"/>
  <c r="B7" i="14"/>
  <c r="D7" i="14" s="1"/>
  <c r="F7" i="14" s="1"/>
  <c r="E72" i="11"/>
  <c r="D72" i="11"/>
  <c r="C72" i="11"/>
  <c r="E71" i="11"/>
  <c r="D71" i="11"/>
  <c r="C71" i="11"/>
  <c r="E70" i="11"/>
  <c r="D70" i="11"/>
  <c r="C70" i="11"/>
  <c r="E6" i="11"/>
  <c r="D6" i="11"/>
  <c r="C6" i="11"/>
  <c r="F35" i="12"/>
  <c r="F34" i="12"/>
  <c r="F33" i="12"/>
  <c r="F32" i="12"/>
  <c r="F31" i="12"/>
  <c r="F30" i="12"/>
  <c r="F29" i="12"/>
  <c r="F28" i="12"/>
  <c r="F27" i="12"/>
  <c r="G19" i="12"/>
  <c r="E19" i="12"/>
  <c r="G17" i="12"/>
  <c r="G16" i="12"/>
  <c r="G15" i="12"/>
  <c r="G14" i="12"/>
  <c r="G13" i="12"/>
  <c r="G12" i="12"/>
  <c r="G11" i="12"/>
  <c r="G10" i="12"/>
  <c r="E10" i="12"/>
  <c r="G9" i="12"/>
  <c r="G8" i="12"/>
  <c r="G7" i="12"/>
  <c r="F41" i="10"/>
  <c r="F39" i="10"/>
  <c r="F38" i="10"/>
  <c r="F37" i="10"/>
  <c r="F35" i="10"/>
  <c r="F34" i="10"/>
  <c r="F32" i="10"/>
  <c r="F31" i="10"/>
  <c r="F30" i="10"/>
  <c r="F28" i="10"/>
  <c r="F27" i="10"/>
  <c r="F26" i="10"/>
  <c r="F24" i="10"/>
  <c r="F23" i="10"/>
  <c r="F21" i="10"/>
  <c r="F20" i="10"/>
  <c r="F19" i="10"/>
  <c r="F18" i="10"/>
  <c r="F16" i="10"/>
  <c r="F15" i="10"/>
  <c r="F14" i="10"/>
  <c r="F13" i="10"/>
  <c r="F12" i="10"/>
  <c r="F10" i="10"/>
  <c r="F9" i="10"/>
  <c r="F8" i="10"/>
  <c r="F7" i="10"/>
  <c r="F158" i="9"/>
  <c r="G69" i="6" s="1"/>
  <c r="F157" i="9"/>
  <c r="F69" i="6" s="1"/>
  <c r="F156" i="9"/>
  <c r="F12" i="5" s="1"/>
  <c r="F155" i="9"/>
  <c r="E12" i="5" s="1"/>
  <c r="F154" i="9"/>
  <c r="T4" i="4" s="1"/>
  <c r="T27" i="4" s="1"/>
  <c r="F153" i="9"/>
  <c r="S4" i="4" s="1"/>
  <c r="F152" i="9"/>
  <c r="R4" i="4" s="1"/>
  <c r="R27" i="4" s="1"/>
  <c r="F151" i="9"/>
  <c r="P4" i="4" s="1"/>
  <c r="P27" i="4" s="1"/>
  <c r="F150" i="9"/>
  <c r="O4" i="4" s="1"/>
  <c r="F149" i="9"/>
  <c r="F148" i="9"/>
  <c r="F147" i="9"/>
  <c r="F110" i="9"/>
  <c r="F109" i="9"/>
  <c r="F108" i="9"/>
  <c r="D69" i="6" s="1"/>
  <c r="F107" i="9"/>
  <c r="C69" i="6" s="1"/>
  <c r="F69" i="9"/>
  <c r="L4" i="4" s="1"/>
  <c r="L27" i="4" s="1"/>
  <c r="F68" i="9"/>
  <c r="K4" i="4" s="1"/>
  <c r="K27" i="4" s="1"/>
  <c r="F67" i="9"/>
  <c r="J4" i="4" s="1"/>
  <c r="J27" i="4" s="1"/>
  <c r="F66" i="9"/>
  <c r="H4" i="4" s="1"/>
  <c r="H27" i="4" s="1"/>
  <c r="F65" i="9"/>
  <c r="G4" i="4" s="1"/>
  <c r="G27" i="4" s="1"/>
  <c r="F64" i="9"/>
  <c r="F4" i="4" s="1"/>
  <c r="F63" i="9"/>
  <c r="D4" i="4" s="1"/>
  <c r="D27" i="4" s="1"/>
  <c r="F62" i="9"/>
  <c r="C4" i="4" s="1"/>
  <c r="C27" i="4" s="1"/>
  <c r="F61" i="9"/>
  <c r="B4" i="4" s="1"/>
  <c r="F14" i="9"/>
  <c r="C12" i="5" s="1"/>
  <c r="F12" i="9"/>
  <c r="E7" i="6" s="1"/>
  <c r="F11" i="9"/>
  <c r="F10" i="9"/>
  <c r="D4" i="9"/>
  <c r="B4" i="7" s="1"/>
  <c r="R61" i="8"/>
  <c r="Q61" i="8"/>
  <c r="P61" i="8"/>
  <c r="O61" i="8"/>
  <c r="N61" i="8"/>
  <c r="L61" i="8"/>
  <c r="K61" i="8"/>
  <c r="J61" i="8"/>
  <c r="I61" i="8"/>
  <c r="H61" i="8"/>
  <c r="F61" i="8"/>
  <c r="E61" i="8"/>
  <c r="D61" i="8"/>
  <c r="C61" i="8"/>
  <c r="B61" i="8"/>
  <c r="N45" i="8"/>
  <c r="H45" i="8"/>
  <c r="B45" i="8"/>
  <c r="R28" i="8"/>
  <c r="Q28" i="8"/>
  <c r="P28" i="8"/>
  <c r="O28" i="8"/>
  <c r="N28" i="8"/>
  <c r="L28" i="8"/>
  <c r="K28" i="8"/>
  <c r="J28" i="8"/>
  <c r="I28" i="8"/>
  <c r="H28" i="8"/>
  <c r="F28" i="8"/>
  <c r="E28" i="8"/>
  <c r="D28" i="8"/>
  <c r="C28" i="8"/>
  <c r="B28" i="8"/>
  <c r="R13" i="8"/>
  <c r="Q13" i="8"/>
  <c r="P13" i="8"/>
  <c r="O13" i="8"/>
  <c r="N13" i="8"/>
  <c r="L13" i="8"/>
  <c r="K13" i="8"/>
  <c r="J13" i="8"/>
  <c r="I13" i="8"/>
  <c r="H13" i="8"/>
  <c r="F13" i="8"/>
  <c r="E13" i="8"/>
  <c r="D13" i="8"/>
  <c r="C13" i="8"/>
  <c r="B13" i="8"/>
  <c r="R12" i="8"/>
  <c r="Q12" i="8"/>
  <c r="P12" i="8"/>
  <c r="O12" i="8"/>
  <c r="N12" i="8"/>
  <c r="L12" i="8"/>
  <c r="K12" i="8"/>
  <c r="J12" i="8"/>
  <c r="I12" i="8"/>
  <c r="H12" i="8"/>
  <c r="F12" i="8"/>
  <c r="E12" i="8"/>
  <c r="D12" i="8"/>
  <c r="C12" i="8"/>
  <c r="B12" i="8"/>
  <c r="R11" i="8"/>
  <c r="Q11" i="8"/>
  <c r="P11" i="8"/>
  <c r="O11" i="8"/>
  <c r="N11" i="8"/>
  <c r="L11" i="8"/>
  <c r="K11" i="8"/>
  <c r="J11" i="8"/>
  <c r="I11" i="8"/>
  <c r="H11" i="8"/>
  <c r="F11" i="8"/>
  <c r="E11" i="8"/>
  <c r="D11" i="8"/>
  <c r="C11" i="8"/>
  <c r="B11" i="8"/>
  <c r="AK51" i="7"/>
  <c r="B31" i="7"/>
  <c r="AP27" i="7"/>
  <c r="AG27" i="7"/>
  <c r="Q27" i="7"/>
  <c r="P27" i="7"/>
  <c r="D27" i="7"/>
  <c r="BH26" i="7"/>
  <c r="BF26" i="7"/>
  <c r="AE26" i="7"/>
  <c r="AC26" i="7"/>
  <c r="R26" i="7"/>
  <c r="O26" i="7"/>
  <c r="E26" i="7"/>
  <c r="BI23" i="7"/>
  <c r="BE23" i="7"/>
  <c r="BC23" i="7"/>
  <c r="BA23" i="7"/>
  <c r="AX23" i="7"/>
  <c r="AV23" i="7"/>
  <c r="AT23" i="7"/>
  <c r="AS23" i="7"/>
  <c r="AR23" i="7"/>
  <c r="AP23" i="7"/>
  <c r="AO23" i="7"/>
  <c r="AN23" i="7"/>
  <c r="AK23" i="7"/>
  <c r="AD23" i="7"/>
  <c r="AC23" i="7"/>
  <c r="W23" i="7"/>
  <c r="V23" i="7"/>
  <c r="U23" i="7"/>
  <c r="T23" i="7"/>
  <c r="S23" i="7"/>
  <c r="R23" i="7"/>
  <c r="Q23" i="7"/>
  <c r="P23" i="7"/>
  <c r="O23" i="7"/>
  <c r="N23" i="7"/>
  <c r="M23" i="7"/>
  <c r="H23" i="7"/>
  <c r="BI22" i="7"/>
  <c r="BH22" i="7"/>
  <c r="BH23" i="7" s="1"/>
  <c r="BG22" i="7"/>
  <c r="BG23" i="7" s="1"/>
  <c r="BF22" i="7"/>
  <c r="BF23" i="7" s="1"/>
  <c r="BE22" i="7"/>
  <c r="BD22" i="7"/>
  <c r="BD23" i="7" s="1"/>
  <c r="BC22" i="7"/>
  <c r="BB22" i="7"/>
  <c r="BB23" i="7" s="1"/>
  <c r="BA22" i="7"/>
  <c r="AZ22" i="7"/>
  <c r="AZ23" i="7" s="1"/>
  <c r="AY22" i="7"/>
  <c r="AY23" i="7" s="1"/>
  <c r="AX22" i="7"/>
  <c r="AW22" i="7"/>
  <c r="AW23" i="7" s="1"/>
  <c r="AV22" i="7"/>
  <c r="AU22" i="7"/>
  <c r="AU23" i="7" s="1"/>
  <c r="AT22" i="7"/>
  <c r="AS22" i="7"/>
  <c r="AR22" i="7"/>
  <c r="AQ22" i="7"/>
  <c r="AQ23" i="7" s="1"/>
  <c r="AP22" i="7"/>
  <c r="AO22" i="7"/>
  <c r="AN22" i="7"/>
  <c r="AM22" i="7"/>
  <c r="AM23" i="7" s="1"/>
  <c r="AL22" i="7"/>
  <c r="AL23" i="7" s="1"/>
  <c r="AK22" i="7"/>
  <c r="AJ22" i="7"/>
  <c r="AJ23" i="7" s="1"/>
  <c r="AI22" i="7"/>
  <c r="AI23" i="7" s="1"/>
  <c r="AH22" i="7"/>
  <c r="AH23" i="7" s="1"/>
  <c r="AG22" i="7"/>
  <c r="AG23" i="7" s="1"/>
  <c r="AF22" i="7"/>
  <c r="AF23" i="7" s="1"/>
  <c r="AE22" i="7"/>
  <c r="AE23" i="7" s="1"/>
  <c r="AD22" i="7"/>
  <c r="AC22" i="7"/>
  <c r="AB22" i="7"/>
  <c r="AB23" i="7" s="1"/>
  <c r="AA22" i="7"/>
  <c r="AA23" i="7" s="1"/>
  <c r="Z22" i="7"/>
  <c r="Z23" i="7" s="1"/>
  <c r="Y22" i="7"/>
  <c r="Y23" i="7" s="1"/>
  <c r="X22" i="7"/>
  <c r="X23" i="7" s="1"/>
  <c r="W22" i="7"/>
  <c r="V22" i="7"/>
  <c r="U22" i="7"/>
  <c r="T22" i="7"/>
  <c r="S22" i="7"/>
  <c r="R22" i="7"/>
  <c r="Q22" i="7"/>
  <c r="P22" i="7"/>
  <c r="O22" i="7"/>
  <c r="N22" i="7"/>
  <c r="M22" i="7"/>
  <c r="L22" i="7"/>
  <c r="L23" i="7" s="1"/>
  <c r="K22" i="7"/>
  <c r="K23" i="7" s="1"/>
  <c r="J22" i="7"/>
  <c r="J23" i="7" s="1"/>
  <c r="I22" i="7"/>
  <c r="I23" i="7" s="1"/>
  <c r="H22" i="7"/>
  <c r="G22" i="7"/>
  <c r="G23" i="7" s="1"/>
  <c r="F22" i="7"/>
  <c r="F23" i="7" s="1"/>
  <c r="E22" i="7"/>
  <c r="E23" i="7" s="1"/>
  <c r="D22" i="7"/>
  <c r="D23" i="7" s="1"/>
  <c r="C22" i="7"/>
  <c r="C23" i="7" s="1"/>
  <c r="B22" i="7"/>
  <c r="B23" i="7" s="1"/>
  <c r="BI18" i="7"/>
  <c r="BH18" i="7"/>
  <c r="BG18" i="7"/>
  <c r="BF18" i="7"/>
  <c r="BE18" i="7"/>
  <c r="BD18" i="7"/>
  <c r="BC18" i="7"/>
  <c r="BB18" i="7"/>
  <c r="BA18" i="7"/>
  <c r="AZ18" i="7"/>
  <c r="AY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BG17" i="7"/>
  <c r="BF17" i="7"/>
  <c r="AK17" i="7"/>
  <c r="W17" i="7"/>
  <c r="U17" i="7"/>
  <c r="I13" i="7"/>
  <c r="B12" i="7"/>
  <c r="BF9" i="7"/>
  <c r="BF51" i="7" s="1"/>
  <c r="AZ9" i="7"/>
  <c r="AZ51" i="7" s="1"/>
  <c r="AR9" i="7"/>
  <c r="AR51" i="7" s="1"/>
  <c r="AP9" i="7"/>
  <c r="AP51" i="7" s="1"/>
  <c r="AK9" i="7"/>
  <c r="AJ9" i="7"/>
  <c r="AJ51" i="7" s="1"/>
  <c r="AH9" i="7"/>
  <c r="AH51" i="7" s="1"/>
  <c r="AD9" i="7"/>
  <c r="AD51" i="7" s="1"/>
  <c r="AC9" i="7"/>
  <c r="AC51" i="7" s="1"/>
  <c r="AB9" i="7"/>
  <c r="AB51" i="7" s="1"/>
  <c r="T9" i="7"/>
  <c r="T51" i="7" s="1"/>
  <c r="O9" i="7"/>
  <c r="O51" i="7" s="1"/>
  <c r="J9" i="7"/>
  <c r="J51" i="7" s="1"/>
  <c r="D9" i="7"/>
  <c r="D51" i="7" s="1"/>
  <c r="BI8" i="7"/>
  <c r="BH8" i="7"/>
  <c r="BG8" i="7"/>
  <c r="BF8" i="7"/>
  <c r="BE8" i="7"/>
  <c r="BD8" i="7"/>
  <c r="BC8" i="7"/>
  <c r="BC26" i="7" s="1"/>
  <c r="BB8" i="7"/>
  <c r="BA8" i="7"/>
  <c r="BA26" i="7" s="1"/>
  <c r="AZ8" i="7"/>
  <c r="AY8" i="7"/>
  <c r="AX8" i="7"/>
  <c r="AW8" i="7"/>
  <c r="AV8" i="7"/>
  <c r="AU8" i="7"/>
  <c r="AU26" i="7" s="1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W26" i="7" s="1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G26" i="7" s="1"/>
  <c r="F8" i="7"/>
  <c r="E8" i="7"/>
  <c r="D8" i="7"/>
  <c r="C8" i="7"/>
  <c r="B8" i="7"/>
  <c r="BI7" i="7"/>
  <c r="BH7" i="7"/>
  <c r="BG7" i="7"/>
  <c r="BF7" i="7"/>
  <c r="BE7" i="7"/>
  <c r="BE9" i="7" s="1"/>
  <c r="BE51" i="7" s="1"/>
  <c r="BD7" i="7"/>
  <c r="BC7" i="7"/>
  <c r="BB7" i="7"/>
  <c r="BA7" i="7"/>
  <c r="AZ7" i="7"/>
  <c r="AY7" i="7"/>
  <c r="AX7" i="7"/>
  <c r="AW7" i="7"/>
  <c r="AW9" i="7" s="1"/>
  <c r="AV7" i="7"/>
  <c r="AU7" i="7"/>
  <c r="AT7" i="7"/>
  <c r="AS7" i="7"/>
  <c r="AS9" i="7" s="1"/>
  <c r="AS51" i="7" s="1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Z9" i="7" s="1"/>
  <c r="Z51" i="7" s="1"/>
  <c r="Y7" i="7"/>
  <c r="Y9" i="7" s="1"/>
  <c r="Y51" i="7" s="1"/>
  <c r="X7" i="7"/>
  <c r="W7" i="7"/>
  <c r="V7" i="7"/>
  <c r="U7" i="7"/>
  <c r="U9" i="7" s="1"/>
  <c r="U51" i="7" s="1"/>
  <c r="T7" i="7"/>
  <c r="S7" i="7"/>
  <c r="R7" i="7"/>
  <c r="Q7" i="7"/>
  <c r="Q9" i="7" s="1"/>
  <c r="Q51" i="7" s="1"/>
  <c r="P7" i="7"/>
  <c r="P9" i="7" s="1"/>
  <c r="P51" i="7" s="1"/>
  <c r="O7" i="7"/>
  <c r="N7" i="7"/>
  <c r="M7" i="7"/>
  <c r="L7" i="7"/>
  <c r="K7" i="7"/>
  <c r="J7" i="7"/>
  <c r="I7" i="7"/>
  <c r="H7" i="7"/>
  <c r="H9" i="7" s="1"/>
  <c r="H51" i="7" s="1"/>
  <c r="G7" i="7"/>
  <c r="F7" i="7"/>
  <c r="E7" i="7"/>
  <c r="E9" i="7" s="1"/>
  <c r="E51" i="7" s="1"/>
  <c r="D7" i="7"/>
  <c r="C7" i="7"/>
  <c r="B7" i="7"/>
  <c r="G80" i="6"/>
  <c r="F80" i="6"/>
  <c r="E80" i="6"/>
  <c r="D80" i="6"/>
  <c r="C80" i="6"/>
  <c r="C79" i="6"/>
  <c r="E69" i="6"/>
  <c r="G55" i="6"/>
  <c r="F55" i="6"/>
  <c r="E55" i="6"/>
  <c r="D55" i="6"/>
  <c r="C55" i="6"/>
  <c r="G53" i="6"/>
  <c r="F53" i="6"/>
  <c r="E53" i="6"/>
  <c r="D53" i="6"/>
  <c r="C53" i="6"/>
  <c r="G51" i="6"/>
  <c r="F51" i="6"/>
  <c r="E51" i="6"/>
  <c r="D51" i="6"/>
  <c r="C51" i="6"/>
  <c r="G50" i="6"/>
  <c r="F50" i="6"/>
  <c r="E50" i="6"/>
  <c r="D50" i="6"/>
  <c r="C50" i="6"/>
  <c r="G46" i="6"/>
  <c r="F46" i="6"/>
  <c r="E46" i="6"/>
  <c r="D46" i="6"/>
  <c r="C46" i="6"/>
  <c r="G45" i="6"/>
  <c r="F45" i="6"/>
  <c r="E45" i="6"/>
  <c r="D45" i="6"/>
  <c r="C45" i="6"/>
  <c r="G44" i="6"/>
  <c r="F44" i="6"/>
  <c r="E44" i="6"/>
  <c r="D44" i="6"/>
  <c r="C44" i="6"/>
  <c r="D36" i="6"/>
  <c r="D49" i="6" s="1"/>
  <c r="F35" i="6"/>
  <c r="E35" i="6"/>
  <c r="C35" i="6"/>
  <c r="G34" i="6"/>
  <c r="F34" i="6"/>
  <c r="D34" i="6"/>
  <c r="F35" i="5"/>
  <c r="E35" i="5"/>
  <c r="D35" i="5"/>
  <c r="C35" i="5"/>
  <c r="B35" i="5"/>
  <c r="F34" i="5"/>
  <c r="E34" i="5"/>
  <c r="D34" i="5"/>
  <c r="C34" i="5"/>
  <c r="B34" i="5"/>
  <c r="F33" i="5"/>
  <c r="E33" i="5"/>
  <c r="D33" i="5"/>
  <c r="C33" i="5"/>
  <c r="B33" i="5"/>
  <c r="F32" i="5"/>
  <c r="E32" i="5"/>
  <c r="D32" i="5"/>
  <c r="C32" i="5"/>
  <c r="B32" i="5"/>
  <c r="F31" i="5"/>
  <c r="E31" i="5"/>
  <c r="D31" i="5"/>
  <c r="C31" i="5"/>
  <c r="B31" i="5"/>
  <c r="F30" i="5"/>
  <c r="E30" i="5"/>
  <c r="D30" i="5"/>
  <c r="C30" i="5"/>
  <c r="B30" i="5"/>
  <c r="F29" i="5"/>
  <c r="E29" i="5"/>
  <c r="D29" i="5"/>
  <c r="C29" i="5"/>
  <c r="B29" i="5"/>
  <c r="F28" i="5"/>
  <c r="E28" i="5"/>
  <c r="D28" i="5"/>
  <c r="C28" i="5"/>
  <c r="B28" i="5"/>
  <c r="F27" i="5"/>
  <c r="E27" i="5"/>
  <c r="D27" i="5"/>
  <c r="C27" i="5"/>
  <c r="B27" i="5"/>
  <c r="D12" i="5"/>
  <c r="B12" i="5"/>
  <c r="B11" i="5"/>
  <c r="T28" i="4"/>
  <c r="S28" i="4"/>
  <c r="R28" i="4"/>
  <c r="P28" i="4"/>
  <c r="O28" i="4"/>
  <c r="N28" i="4"/>
  <c r="L28" i="4"/>
  <c r="K28" i="4"/>
  <c r="J28" i="4"/>
  <c r="H28" i="4"/>
  <c r="G28" i="4"/>
  <c r="F28" i="4"/>
  <c r="D28" i="4"/>
  <c r="C28" i="4"/>
  <c r="B28" i="4"/>
  <c r="T17" i="4"/>
  <c r="S17" i="4"/>
  <c r="R17" i="4"/>
  <c r="P17" i="4"/>
  <c r="O17" i="4"/>
  <c r="N17" i="4"/>
  <c r="L17" i="4"/>
  <c r="K17" i="4"/>
  <c r="J17" i="4"/>
  <c r="H17" i="4"/>
  <c r="G17" i="4"/>
  <c r="F17" i="4"/>
  <c r="D17" i="4"/>
  <c r="C17" i="4"/>
  <c r="B17" i="4"/>
  <c r="T15" i="4"/>
  <c r="S15" i="4"/>
  <c r="R15" i="4"/>
  <c r="P15" i="4"/>
  <c r="O15" i="4"/>
  <c r="N15" i="4"/>
  <c r="L15" i="4"/>
  <c r="K15" i="4"/>
  <c r="J15" i="4"/>
  <c r="H15" i="4"/>
  <c r="G15" i="4"/>
  <c r="F15" i="4"/>
  <c r="D15" i="4"/>
  <c r="C15" i="4"/>
  <c r="B15" i="4"/>
  <c r="T13" i="4"/>
  <c r="S13" i="4"/>
  <c r="R13" i="4"/>
  <c r="P13" i="4"/>
  <c r="O13" i="4"/>
  <c r="N13" i="4"/>
  <c r="L13" i="4"/>
  <c r="K13" i="4"/>
  <c r="J13" i="4"/>
  <c r="H13" i="4"/>
  <c r="G13" i="4"/>
  <c r="F13" i="4"/>
  <c r="D13" i="4"/>
  <c r="C13" i="4"/>
  <c r="B13" i="4"/>
  <c r="T11" i="4"/>
  <c r="S11" i="4"/>
  <c r="R11" i="4"/>
  <c r="P11" i="4"/>
  <c r="O11" i="4"/>
  <c r="N11" i="4"/>
  <c r="L11" i="4"/>
  <c r="K11" i="4"/>
  <c r="J11" i="4"/>
  <c r="H11" i="4"/>
  <c r="G11" i="4"/>
  <c r="F11" i="4"/>
  <c r="D11" i="4"/>
  <c r="C11" i="4"/>
  <c r="B11" i="4"/>
  <c r="T10" i="4"/>
  <c r="S10" i="4"/>
  <c r="R10" i="4"/>
  <c r="P10" i="4"/>
  <c r="O10" i="4"/>
  <c r="N10" i="4"/>
  <c r="L10" i="4"/>
  <c r="K10" i="4"/>
  <c r="J10" i="4"/>
  <c r="H10" i="4"/>
  <c r="G10" i="4"/>
  <c r="F10" i="4"/>
  <c r="D10" i="4"/>
  <c r="C10" i="4"/>
  <c r="B10" i="4"/>
  <c r="T8" i="4"/>
  <c r="S8" i="4"/>
  <c r="R8" i="4"/>
  <c r="P8" i="4"/>
  <c r="O8" i="4"/>
  <c r="N8" i="4"/>
  <c r="L8" i="4"/>
  <c r="K8" i="4"/>
  <c r="J8" i="4"/>
  <c r="H8" i="4"/>
  <c r="G8" i="4"/>
  <c r="F8" i="4"/>
  <c r="D8" i="4"/>
  <c r="C8" i="4"/>
  <c r="B8" i="4"/>
  <c r="T6" i="4"/>
  <c r="S6" i="4"/>
  <c r="R6" i="4"/>
  <c r="P6" i="4"/>
  <c r="O6" i="4"/>
  <c r="N6" i="4"/>
  <c r="L6" i="4"/>
  <c r="K6" i="4"/>
  <c r="J6" i="4"/>
  <c r="H6" i="4"/>
  <c r="G6" i="4"/>
  <c r="F6" i="4"/>
  <c r="D6" i="4"/>
  <c r="C6" i="4"/>
  <c r="B6" i="4"/>
  <c r="N4" i="4"/>
  <c r="N27" i="4" s="1"/>
  <c r="C57" i="3"/>
  <c r="C56" i="3"/>
  <c r="H41" i="3"/>
  <c r="G36" i="6" s="1"/>
  <c r="G41" i="3"/>
  <c r="F36" i="6" s="1"/>
  <c r="F41" i="3"/>
  <c r="E36" i="6" s="1"/>
  <c r="E49" i="6" s="1"/>
  <c r="E41" i="3"/>
  <c r="D41" i="3"/>
  <c r="C36" i="6" s="1"/>
  <c r="C49" i="6" s="1"/>
  <c r="H40" i="3"/>
  <c r="G35" i="6" s="1"/>
  <c r="G40" i="3"/>
  <c r="F40" i="3"/>
  <c r="E40" i="3"/>
  <c r="D35" i="6" s="1"/>
  <c r="D40" i="3"/>
  <c r="H39" i="3"/>
  <c r="G39" i="3"/>
  <c r="F39" i="3"/>
  <c r="E34" i="6" s="1"/>
  <c r="E39" i="3"/>
  <c r="D39" i="3"/>
  <c r="C34" i="6" s="1"/>
  <c r="H38" i="3"/>
  <c r="G33" i="6" s="1"/>
  <c r="G38" i="3"/>
  <c r="F33" i="6" s="1"/>
  <c r="F38" i="3"/>
  <c r="E33" i="6" s="1"/>
  <c r="E38" i="3"/>
  <c r="D33" i="6" s="1"/>
  <c r="D38" i="3"/>
  <c r="F33" i="3"/>
  <c r="E33" i="3"/>
  <c r="D32" i="3"/>
  <c r="F31" i="3"/>
  <c r="F32" i="3" s="1"/>
  <c r="E31" i="3"/>
  <c r="E32" i="3" s="1"/>
  <c r="D31" i="3"/>
  <c r="C31" i="3"/>
  <c r="C32" i="3" s="1"/>
  <c r="B31" i="3"/>
  <c r="E29" i="3"/>
  <c r="E30" i="3" s="1"/>
  <c r="B29" i="3"/>
  <c r="B30" i="3" s="1"/>
  <c r="F28" i="3"/>
  <c r="E27" i="3"/>
  <c r="C27" i="3"/>
  <c r="F26" i="3"/>
  <c r="F34" i="3" s="1"/>
  <c r="D26" i="3"/>
  <c r="D28" i="3" s="1"/>
  <c r="C26" i="3"/>
  <c r="D23" i="3"/>
  <c r="E23" i="3" s="1"/>
  <c r="D22" i="3"/>
  <c r="E22" i="3" s="1"/>
  <c r="D21" i="3"/>
  <c r="E21" i="3" s="1"/>
  <c r="E17" i="3"/>
  <c r="T27" i="2" s="1"/>
  <c r="U27" i="2" s="1"/>
  <c r="E16" i="3"/>
  <c r="E15" i="3"/>
  <c r="G14" i="3"/>
  <c r="E14" i="3"/>
  <c r="B32" i="14" s="1"/>
  <c r="D32" i="14" s="1"/>
  <c r="F32" i="14" s="1"/>
  <c r="E10" i="3"/>
  <c r="E9" i="3"/>
  <c r="E8" i="3"/>
  <c r="E7" i="3"/>
  <c r="B27" i="3" s="1"/>
  <c r="E6" i="3"/>
  <c r="B73" i="2"/>
  <c r="B71" i="2"/>
  <c r="G60" i="2"/>
  <c r="T20" i="2"/>
  <c r="U20" i="2" s="1"/>
  <c r="T11" i="2"/>
  <c r="U11" i="2" s="1"/>
  <c r="M27" i="4" l="1"/>
  <c r="AD26" i="7"/>
  <c r="D36" i="5"/>
  <c r="J5" i="4"/>
  <c r="J14" i="4" s="1"/>
  <c r="I4" i="4"/>
  <c r="I29" i="4" s="1"/>
  <c r="F27" i="4"/>
  <c r="I27" i="4" s="1"/>
  <c r="B27" i="4"/>
  <c r="E27" i="4" s="1"/>
  <c r="E4" i="4"/>
  <c r="E29" i="4" s="1"/>
  <c r="Q4" i="4"/>
  <c r="Q29" i="4" s="1"/>
  <c r="C11" i="5"/>
  <c r="U4" i="4"/>
  <c r="U29" i="4" s="1"/>
  <c r="D11" i="5"/>
  <c r="E11" i="5"/>
  <c r="F11" i="5"/>
  <c r="J7" i="4"/>
  <c r="J12" i="4"/>
  <c r="B40" i="14"/>
  <c r="D40" i="14" s="1"/>
  <c r="F40" i="14" s="1"/>
  <c r="E26" i="6"/>
  <c r="E25" i="6"/>
  <c r="L5" i="4"/>
  <c r="D13" i="5"/>
  <c r="E11" i="6"/>
  <c r="K5" i="4"/>
  <c r="E24" i="6"/>
  <c r="B34" i="14"/>
  <c r="D34" i="14" s="1"/>
  <c r="F34" i="14" s="1"/>
  <c r="C33" i="6"/>
  <c r="K61" i="2"/>
  <c r="C82" i="6"/>
  <c r="C81" i="6"/>
  <c r="F37" i="6"/>
  <c r="F38" i="6"/>
  <c r="C28" i="3"/>
  <c r="C34" i="3"/>
  <c r="G38" i="6"/>
  <c r="G37" i="6"/>
  <c r="B9" i="7"/>
  <c r="B51" i="7" s="1"/>
  <c r="O28" i="7"/>
  <c r="AX9" i="7"/>
  <c r="AX51" i="7" s="1"/>
  <c r="D33" i="3"/>
  <c r="C33" i="3"/>
  <c r="B33" i="3"/>
  <c r="B57" i="3"/>
  <c r="Z17" i="7"/>
  <c r="N9" i="7"/>
  <c r="N51" i="7" s="1"/>
  <c r="AM17" i="7"/>
  <c r="B32" i="3"/>
  <c r="F49" i="6"/>
  <c r="AN17" i="7"/>
  <c r="D34" i="3"/>
  <c r="B36" i="5"/>
  <c r="K9" i="7"/>
  <c r="K51" i="7" s="1"/>
  <c r="B26" i="3"/>
  <c r="L9" i="7"/>
  <c r="L51" i="7" s="1"/>
  <c r="BH9" i="7"/>
  <c r="BH51" i="7" s="1"/>
  <c r="X26" i="7"/>
  <c r="AV26" i="7"/>
  <c r="AI9" i="7"/>
  <c r="AI51" i="7" s="1"/>
  <c r="H27" i="7"/>
  <c r="D8" i="8"/>
  <c r="J8" i="8"/>
  <c r="P8" i="8"/>
  <c r="P62" i="8" s="1"/>
  <c r="D37" i="6"/>
  <c r="D38" i="6"/>
  <c r="E36" i="5"/>
  <c r="E37" i="6"/>
  <c r="E38" i="6"/>
  <c r="F36" i="5"/>
  <c r="G52" i="6" s="1"/>
  <c r="C26" i="7"/>
  <c r="AA26" i="7"/>
  <c r="AY26" i="7"/>
  <c r="AL9" i="7"/>
  <c r="AL51" i="7" s="1"/>
  <c r="D13" i="7"/>
  <c r="AA27" i="7"/>
  <c r="AM9" i="7"/>
  <c r="AM51" i="7" s="1"/>
  <c r="G13" i="7"/>
  <c r="AB27" i="7"/>
  <c r="R9" i="7"/>
  <c r="R51" i="7" s="1"/>
  <c r="F26" i="7"/>
  <c r="F9" i="7"/>
  <c r="F51" i="7" s="1"/>
  <c r="BB26" i="7"/>
  <c r="BB9" i="7"/>
  <c r="BB51" i="7" s="1"/>
  <c r="K13" i="7"/>
  <c r="AO27" i="7"/>
  <c r="AF26" i="7"/>
  <c r="AQ27" i="7"/>
  <c r="S9" i="7"/>
  <c r="I26" i="7"/>
  <c r="BG9" i="7"/>
  <c r="BG51" i="7" s="1"/>
  <c r="R8" i="8"/>
  <c r="F8" i="8"/>
  <c r="L8" i="8"/>
  <c r="G7" i="6"/>
  <c r="AQ9" i="7"/>
  <c r="B33" i="14"/>
  <c r="D33" i="14" s="1"/>
  <c r="F33" i="14" s="1"/>
  <c r="AW27" i="7"/>
  <c r="Y27" i="7"/>
  <c r="AW17" i="7"/>
  <c r="AN27" i="7"/>
  <c r="O27" i="7"/>
  <c r="BD17" i="7"/>
  <c r="AE17" i="7"/>
  <c r="AM27" i="7"/>
  <c r="N27" i="7"/>
  <c r="BC17" i="7"/>
  <c r="AD17" i="7"/>
  <c r="F13" i="7"/>
  <c r="AL27" i="7"/>
  <c r="M27" i="7"/>
  <c r="BI27" i="7"/>
  <c r="AJ27" i="7"/>
  <c r="K27" i="7"/>
  <c r="AZ17" i="7"/>
  <c r="AA17" i="7"/>
  <c r="BG27" i="7"/>
  <c r="AH27" i="7"/>
  <c r="I27" i="7"/>
  <c r="BE27" i="7"/>
  <c r="AF27" i="7"/>
  <c r="G27" i="7"/>
  <c r="G28" i="7" s="1"/>
  <c r="BD27" i="7"/>
  <c r="AE27" i="7"/>
  <c r="AE28" i="7" s="1"/>
  <c r="F27" i="7"/>
  <c r="AT17" i="7"/>
  <c r="V17" i="7"/>
  <c r="BF27" i="7"/>
  <c r="BF28" i="7" s="1"/>
  <c r="W27" i="7"/>
  <c r="W28" i="7" s="1"/>
  <c r="AJ17" i="7"/>
  <c r="H17" i="7"/>
  <c r="C13" i="7"/>
  <c r="M12" i="7"/>
  <c r="BC27" i="7"/>
  <c r="BC28" i="7" s="1"/>
  <c r="V27" i="7"/>
  <c r="AI17" i="7"/>
  <c r="B13" i="7"/>
  <c r="B14" i="7" s="1"/>
  <c r="L12" i="7"/>
  <c r="L14" i="7" s="1"/>
  <c r="BB27" i="7"/>
  <c r="U27" i="7"/>
  <c r="AH17" i="7"/>
  <c r="K12" i="7"/>
  <c r="BA27" i="7"/>
  <c r="BA28" i="7" s="1"/>
  <c r="T27" i="7"/>
  <c r="AG17" i="7"/>
  <c r="J12" i="7"/>
  <c r="B30" i="14"/>
  <c r="D30" i="14" s="1"/>
  <c r="F30" i="14" s="1"/>
  <c r="G18" i="12"/>
  <c r="AZ27" i="7"/>
  <c r="S27" i="7"/>
  <c r="BI17" i="7"/>
  <c r="AF17" i="7"/>
  <c r="I12" i="7"/>
  <c r="I14" i="7" s="1"/>
  <c r="AY27" i="7"/>
  <c r="R27" i="7"/>
  <c r="R28" i="7" s="1"/>
  <c r="AM26" i="7"/>
  <c r="BH17" i="7"/>
  <c r="AC17" i="7"/>
  <c r="AU27" i="7"/>
  <c r="AU28" i="7" s="1"/>
  <c r="L27" i="7"/>
  <c r="BE17" i="7"/>
  <c r="Y17" i="7"/>
  <c r="E12" i="7"/>
  <c r="E14" i="7" s="1"/>
  <c r="AT27" i="7"/>
  <c r="J27" i="7"/>
  <c r="AH26" i="7"/>
  <c r="BB17" i="7"/>
  <c r="X17" i="7"/>
  <c r="D12" i="7"/>
  <c r="AI27" i="7"/>
  <c r="AR17" i="7"/>
  <c r="P17" i="7"/>
  <c r="L13" i="7"/>
  <c r="AD27" i="7"/>
  <c r="BE26" i="7"/>
  <c r="AP17" i="7"/>
  <c r="N17" i="7"/>
  <c r="J13" i="7"/>
  <c r="AC27" i="7"/>
  <c r="AC28" i="7" s="1"/>
  <c r="AO17" i="7"/>
  <c r="M17" i="7"/>
  <c r="Z27" i="7"/>
  <c r="AL17" i="7"/>
  <c r="J17" i="7"/>
  <c r="E13" i="7"/>
  <c r="BA17" i="7"/>
  <c r="AY17" i="7"/>
  <c r="BH27" i="7"/>
  <c r="BH28" i="7" s="1"/>
  <c r="AZ26" i="7"/>
  <c r="AX17" i="7"/>
  <c r="AX27" i="7"/>
  <c r="AV17" i="7"/>
  <c r="E11" i="3"/>
  <c r="AV27" i="7"/>
  <c r="AJ26" i="7"/>
  <c r="AU17" i="7"/>
  <c r="G10" i="2"/>
  <c r="AS27" i="7"/>
  <c r="AG26" i="7"/>
  <c r="AG28" i="7" s="1"/>
  <c r="AS17" i="7"/>
  <c r="AR27" i="7"/>
  <c r="AQ17" i="7"/>
  <c r="AK27" i="7"/>
  <c r="AB26" i="7"/>
  <c r="AB17" i="7"/>
  <c r="H13" i="7"/>
  <c r="E26" i="3"/>
  <c r="X27" i="7"/>
  <c r="L26" i="7"/>
  <c r="T17" i="7"/>
  <c r="E27" i="7"/>
  <c r="E28" i="7" s="1"/>
  <c r="O17" i="7"/>
  <c r="C12" i="7"/>
  <c r="F29" i="3"/>
  <c r="F30" i="3" s="1"/>
  <c r="C27" i="7"/>
  <c r="K17" i="7"/>
  <c r="B56" i="3"/>
  <c r="D29" i="3"/>
  <c r="D30" i="3" s="1"/>
  <c r="B27" i="7"/>
  <c r="I17" i="7"/>
  <c r="C29" i="3"/>
  <c r="C30" i="3" s="1"/>
  <c r="M4" i="4"/>
  <c r="M29" i="4" s="1"/>
  <c r="E70" i="6"/>
  <c r="J26" i="7"/>
  <c r="L17" i="7"/>
  <c r="F27" i="3"/>
  <c r="D27" i="3"/>
  <c r="E58" i="6" s="1"/>
  <c r="W9" i="7"/>
  <c r="W51" i="7" s="1"/>
  <c r="AU9" i="7"/>
  <c r="AU51" i="7" s="1"/>
  <c r="K26" i="7"/>
  <c r="AI26" i="7"/>
  <c r="BG26" i="7"/>
  <c r="F12" i="7"/>
  <c r="Q17" i="7"/>
  <c r="G12" i="7"/>
  <c r="R17" i="7"/>
  <c r="S27" i="4"/>
  <c r="U27" i="4" s="1"/>
  <c r="AW51" i="7"/>
  <c r="B75" i="2"/>
  <c r="H12" i="7"/>
  <c r="S17" i="7"/>
  <c r="D26" i="7"/>
  <c r="D28" i="7" s="1"/>
  <c r="G49" i="6"/>
  <c r="Y26" i="7"/>
  <c r="AW26" i="7"/>
  <c r="BI9" i="7"/>
  <c r="H26" i="7"/>
  <c r="BD26" i="7"/>
  <c r="AF9" i="7"/>
  <c r="AF51" i="7" s="1"/>
  <c r="X9" i="7"/>
  <c r="X51" i="7" s="1"/>
  <c r="AV9" i="7"/>
  <c r="AV51" i="7" s="1"/>
  <c r="C18" i="14"/>
  <c r="G58" i="6"/>
  <c r="F58" i="6"/>
  <c r="D58" i="6"/>
  <c r="P26" i="7"/>
  <c r="P28" i="7" s="1"/>
  <c r="AN26" i="7"/>
  <c r="AN28" i="7" s="1"/>
  <c r="C12" i="14"/>
  <c r="AP26" i="7"/>
  <c r="AP28" i="7" s="1"/>
  <c r="O27" i="4"/>
  <c r="Q27" i="4" s="1"/>
  <c r="AQ26" i="7"/>
  <c r="AO26" i="7"/>
  <c r="T26" i="7"/>
  <c r="AR26" i="7"/>
  <c r="BA9" i="7"/>
  <c r="BA51" i="7" s="1"/>
  <c r="Q26" i="7"/>
  <c r="Q28" i="7" s="1"/>
  <c r="AS26" i="7"/>
  <c r="C36" i="5"/>
  <c r="D52" i="6" s="1"/>
  <c r="V26" i="7"/>
  <c r="AT26" i="7"/>
  <c r="M9" i="7"/>
  <c r="BD9" i="7"/>
  <c r="BD51" i="7" s="1"/>
  <c r="C9" i="7"/>
  <c r="C51" i="7" s="1"/>
  <c r="AA9" i="7"/>
  <c r="AA51" i="7" s="1"/>
  <c r="AY9" i="7"/>
  <c r="AY51" i="7" s="1"/>
  <c r="F42" i="10"/>
  <c r="S26" i="7"/>
  <c r="G9" i="7"/>
  <c r="AE9" i="7"/>
  <c r="BC9" i="7"/>
  <c r="U26" i="7"/>
  <c r="I9" i="7"/>
  <c r="I51" i="7" s="1"/>
  <c r="AG9" i="7"/>
  <c r="AG51" i="7" s="1"/>
  <c r="AN9" i="7"/>
  <c r="AN51" i="7" s="1"/>
  <c r="AO9" i="7"/>
  <c r="AO51" i="7" s="1"/>
  <c r="V9" i="7"/>
  <c r="V51" i="7" s="1"/>
  <c r="AT9" i="7"/>
  <c r="AT51" i="7" s="1"/>
  <c r="M26" i="7"/>
  <c r="AK26" i="7"/>
  <c r="BI26" i="7"/>
  <c r="D8" i="14"/>
  <c r="F8" i="14" s="1"/>
  <c r="BD28" i="7" l="1"/>
  <c r="AD28" i="7"/>
  <c r="AI28" i="7"/>
  <c r="AF28" i="7"/>
  <c r="AW28" i="7"/>
  <c r="AB28" i="7"/>
  <c r="BB28" i="7"/>
  <c r="AV28" i="7"/>
  <c r="BE28" i="7"/>
  <c r="E52" i="6"/>
  <c r="BG28" i="7"/>
  <c r="J16" i="4"/>
  <c r="J22" i="4" s="1"/>
  <c r="J21" i="4"/>
  <c r="J20" i="4"/>
  <c r="H28" i="7"/>
  <c r="X28" i="7"/>
  <c r="AT28" i="7"/>
  <c r="J28" i="7"/>
  <c r="V28" i="7"/>
  <c r="AS28" i="7"/>
  <c r="J19" i="4"/>
  <c r="J9" i="4"/>
  <c r="AJ28" i="7"/>
  <c r="D14" i="7"/>
  <c r="F14" i="7"/>
  <c r="L28" i="7"/>
  <c r="S28" i="7"/>
  <c r="K28" i="7"/>
  <c r="AM28" i="7"/>
  <c r="J14" i="7"/>
  <c r="AK28" i="7"/>
  <c r="M28" i="7"/>
  <c r="C28" i="7"/>
  <c r="AR28" i="7"/>
  <c r="C14" i="7"/>
  <c r="J54" i="8"/>
  <c r="D54" i="8"/>
  <c r="P54" i="8"/>
  <c r="J36" i="8"/>
  <c r="E23" i="6" s="1"/>
  <c r="J39" i="8"/>
  <c r="J37" i="8"/>
  <c r="J41" i="8"/>
  <c r="J29" i="8"/>
  <c r="J20" i="8"/>
  <c r="J16" i="8"/>
  <c r="J14" i="8"/>
  <c r="J33" i="8" s="1"/>
  <c r="J62" i="8"/>
  <c r="J26" i="8"/>
  <c r="J40" i="8"/>
  <c r="E27" i="6" s="1"/>
  <c r="J38" i="8"/>
  <c r="J25" i="8"/>
  <c r="J19" i="8"/>
  <c r="J42" i="8"/>
  <c r="J15" i="8"/>
  <c r="J21" i="8"/>
  <c r="J10" i="8"/>
  <c r="J9" i="8" s="1"/>
  <c r="J23" i="8"/>
  <c r="D6" i="5"/>
  <c r="D23" i="5"/>
  <c r="K21" i="4"/>
  <c r="K9" i="4"/>
  <c r="K20" i="4"/>
  <c r="K14" i="4"/>
  <c r="K12" i="4"/>
  <c r="K19" i="4"/>
  <c r="K16" i="4"/>
  <c r="K7" i="4"/>
  <c r="E78" i="6"/>
  <c r="D38" i="8"/>
  <c r="D20" i="8"/>
  <c r="D10" i="8"/>
  <c r="D9" i="8" s="1"/>
  <c r="D41" i="8"/>
  <c r="D23" i="8"/>
  <c r="D40" i="8"/>
  <c r="D15" i="8"/>
  <c r="D26" i="8"/>
  <c r="D39" i="8"/>
  <c r="D37" i="8"/>
  <c r="D29" i="8"/>
  <c r="D14" i="8"/>
  <c r="D33" i="8" s="1"/>
  <c r="D25" i="8"/>
  <c r="D36" i="8"/>
  <c r="D19" i="8"/>
  <c r="D21" i="8"/>
  <c r="D42" i="8"/>
  <c r="D16" i="8"/>
  <c r="D62" i="8"/>
  <c r="M51" i="7"/>
  <c r="B69" i="2"/>
  <c r="G14" i="7"/>
  <c r="E21" i="6"/>
  <c r="E22" i="6"/>
  <c r="D7" i="5"/>
  <c r="K54" i="8"/>
  <c r="Q54" i="8"/>
  <c r="E54" i="8"/>
  <c r="R54" i="8"/>
  <c r="L54" i="8"/>
  <c r="F54" i="8"/>
  <c r="E28" i="3"/>
  <c r="E34" i="3"/>
  <c r="B31" i="14"/>
  <c r="D31" i="14" s="1"/>
  <c r="F31" i="14" s="1"/>
  <c r="B14" i="14"/>
  <c r="D14" i="14" s="1"/>
  <c r="F14" i="14" s="1"/>
  <c r="K14" i="7"/>
  <c r="L21" i="4"/>
  <c r="L9" i="4"/>
  <c r="D9" i="5"/>
  <c r="L16" i="4"/>
  <c r="L12" i="4"/>
  <c r="L19" i="4"/>
  <c r="L7" i="4"/>
  <c r="L14" i="4"/>
  <c r="L20" i="4"/>
  <c r="G47" i="6"/>
  <c r="G54" i="6"/>
  <c r="G48" i="6"/>
  <c r="AH28" i="7"/>
  <c r="U28" i="7"/>
  <c r="AY28" i="7"/>
  <c r="C8" i="8"/>
  <c r="I8" i="8"/>
  <c r="O8" i="8"/>
  <c r="D7" i="6"/>
  <c r="AE51" i="7"/>
  <c r="B72" i="2"/>
  <c r="AZ28" i="7"/>
  <c r="AA28" i="7"/>
  <c r="G41" i="6"/>
  <c r="G40" i="6"/>
  <c r="G39" i="6"/>
  <c r="BC51" i="7"/>
  <c r="B76" i="2"/>
  <c r="G51" i="7"/>
  <c r="B68" i="2"/>
  <c r="F28" i="7"/>
  <c r="BI51" i="7"/>
  <c r="B77" i="2"/>
  <c r="AQ51" i="7"/>
  <c r="B74" i="2"/>
  <c r="F41" i="6"/>
  <c r="F40" i="6"/>
  <c r="F39" i="6"/>
  <c r="H14" i="7"/>
  <c r="BI34" i="7"/>
  <c r="AK34" i="7"/>
  <c r="M34" i="7"/>
  <c r="AO34" i="7"/>
  <c r="P34" i="7"/>
  <c r="AN34" i="7"/>
  <c r="O34" i="7"/>
  <c r="AM34" i="7"/>
  <c r="N34" i="7"/>
  <c r="AJ34" i="7"/>
  <c r="K34" i="7"/>
  <c r="BH34" i="7"/>
  <c r="AI34" i="7"/>
  <c r="J34" i="7"/>
  <c r="BG34" i="7"/>
  <c r="AH34" i="7"/>
  <c r="I34" i="7"/>
  <c r="BE34" i="7"/>
  <c r="AF34" i="7"/>
  <c r="G34" i="7"/>
  <c r="BD34" i="7"/>
  <c r="AE34" i="7"/>
  <c r="F34" i="7"/>
  <c r="BB34" i="7"/>
  <c r="U34" i="7"/>
  <c r="BA34" i="7"/>
  <c r="T34" i="7"/>
  <c r="AZ34" i="7"/>
  <c r="S34" i="7"/>
  <c r="AY34" i="7"/>
  <c r="R34" i="7"/>
  <c r="AX34" i="7"/>
  <c r="Q34" i="7"/>
  <c r="AW34" i="7"/>
  <c r="L34" i="7"/>
  <c r="AT34" i="7"/>
  <c r="D34" i="7"/>
  <c r="AS34" i="7"/>
  <c r="C34" i="7"/>
  <c r="AC34" i="7"/>
  <c r="AA34" i="7"/>
  <c r="Z34" i="7"/>
  <c r="BF34" i="7"/>
  <c r="W34" i="7"/>
  <c r="BC34" i="7"/>
  <c r="AV34" i="7"/>
  <c r="AU34" i="7"/>
  <c r="AR34" i="7"/>
  <c r="AQ34" i="7"/>
  <c r="AD34" i="7"/>
  <c r="V34" i="7"/>
  <c r="AP34" i="7"/>
  <c r="AG34" i="7"/>
  <c r="AL34" i="7"/>
  <c r="AB34" i="7"/>
  <c r="Y34" i="7"/>
  <c r="X34" i="7"/>
  <c r="H34" i="7"/>
  <c r="E34" i="7"/>
  <c r="B34" i="7"/>
  <c r="F43" i="10"/>
  <c r="F44" i="10" s="1"/>
  <c r="F47" i="6"/>
  <c r="F54" i="6"/>
  <c r="F48" i="6"/>
  <c r="G26" i="6"/>
  <c r="G70" i="6"/>
  <c r="T5" i="4"/>
  <c r="S5" i="4"/>
  <c r="R5" i="4"/>
  <c r="G11" i="6"/>
  <c r="F13" i="5"/>
  <c r="G25" i="6"/>
  <c r="G24" i="6"/>
  <c r="L39" i="8"/>
  <c r="L41" i="8"/>
  <c r="L29" i="8"/>
  <c r="L20" i="8"/>
  <c r="L16" i="8"/>
  <c r="L14" i="8"/>
  <c r="L33" i="8" s="1"/>
  <c r="L25" i="8"/>
  <c r="L36" i="8"/>
  <c r="G23" i="6" s="1"/>
  <c r="L62" i="8"/>
  <c r="L42" i="8"/>
  <c r="L21" i="8"/>
  <c r="L26" i="8"/>
  <c r="L38" i="8"/>
  <c r="L19" i="8"/>
  <c r="L40" i="8"/>
  <c r="G27" i="6" s="1"/>
  <c r="L15" i="8"/>
  <c r="L10" i="8"/>
  <c r="L9" i="8" s="1"/>
  <c r="L37" i="8"/>
  <c r="L23" i="8"/>
  <c r="B28" i="3"/>
  <c r="B34" i="3"/>
  <c r="M5" i="4"/>
  <c r="R62" i="8"/>
  <c r="R42" i="8"/>
  <c r="R14" i="8"/>
  <c r="R33" i="8" s="1"/>
  <c r="R37" i="8"/>
  <c r="R19" i="8"/>
  <c r="R36" i="8"/>
  <c r="R26" i="8"/>
  <c r="R16" i="8"/>
  <c r="R25" i="8"/>
  <c r="R40" i="8"/>
  <c r="R23" i="8"/>
  <c r="R38" i="8"/>
  <c r="R21" i="8"/>
  <c r="R10" i="8"/>
  <c r="R9" i="8" s="1"/>
  <c r="R39" i="8"/>
  <c r="R20" i="8"/>
  <c r="R29" i="8"/>
  <c r="R15" i="8"/>
  <c r="R41" i="8"/>
  <c r="E41" i="6"/>
  <c r="E40" i="6"/>
  <c r="E39" i="6"/>
  <c r="E47" i="6"/>
  <c r="E48" i="6"/>
  <c r="E54" i="6"/>
  <c r="T28" i="7"/>
  <c r="Y28" i="7"/>
  <c r="F52" i="6"/>
  <c r="I28" i="7"/>
  <c r="D39" i="6"/>
  <c r="D40" i="6"/>
  <c r="D41" i="6"/>
  <c r="C37" i="6"/>
  <c r="C38" i="6"/>
  <c r="I54" i="8"/>
  <c r="C54" i="8"/>
  <c r="O54" i="8"/>
  <c r="S51" i="7"/>
  <c r="B70" i="2"/>
  <c r="D48" i="6"/>
  <c r="D54" i="6"/>
  <c r="D47" i="6"/>
  <c r="BI28" i="7"/>
  <c r="F41" i="8"/>
  <c r="F39" i="8"/>
  <c r="F37" i="8"/>
  <c r="F29" i="8"/>
  <c r="F20" i="8"/>
  <c r="F16" i="8"/>
  <c r="F40" i="8"/>
  <c r="F25" i="8"/>
  <c r="F36" i="8"/>
  <c r="F19" i="8"/>
  <c r="F62" i="8"/>
  <c r="F21" i="8"/>
  <c r="F15" i="8"/>
  <c r="F38" i="8"/>
  <c r="F26" i="8"/>
  <c r="F23" i="8"/>
  <c r="F42" i="8"/>
  <c r="F14" i="8"/>
  <c r="F33" i="8" s="1"/>
  <c r="F10" i="8"/>
  <c r="F9" i="8" s="1"/>
  <c r="AO28" i="7"/>
  <c r="AQ28" i="7"/>
  <c r="P42" i="8"/>
  <c r="P29" i="8"/>
  <c r="P20" i="8"/>
  <c r="P16" i="8"/>
  <c r="P14" i="8"/>
  <c r="P33" i="8" s="1"/>
  <c r="P25" i="8"/>
  <c r="P40" i="8"/>
  <c r="P23" i="8"/>
  <c r="P21" i="8"/>
  <c r="P10" i="8"/>
  <c r="P9" i="8" s="1"/>
  <c r="P38" i="8"/>
  <c r="P37" i="8"/>
  <c r="P19" i="8"/>
  <c r="P36" i="8"/>
  <c r="P26" i="8"/>
  <c r="P15" i="8"/>
  <c r="P41" i="8"/>
  <c r="P39" i="8"/>
  <c r="C52" i="6"/>
  <c r="M21" i="4" l="1"/>
  <c r="M9" i="4"/>
  <c r="J18" i="4"/>
  <c r="J24" i="4" s="1"/>
  <c r="M16" i="4"/>
  <c r="M12" i="4"/>
  <c r="E14" i="6" s="1"/>
  <c r="K60" i="2"/>
  <c r="M14" i="4"/>
  <c r="F42" i="6"/>
  <c r="AP15" i="7" s="1"/>
  <c r="M19" i="4"/>
  <c r="M20" i="4"/>
  <c r="E42" i="6"/>
  <c r="D52" i="8" s="1"/>
  <c r="M7" i="4"/>
  <c r="E10" i="6" s="1"/>
  <c r="E20" i="6" s="1"/>
  <c r="D42" i="6"/>
  <c r="Y15" i="7" s="1"/>
  <c r="G42" i="6"/>
  <c r="R52" i="8" s="1"/>
  <c r="O39" i="8"/>
  <c r="O29" i="8"/>
  <c r="O21" i="8"/>
  <c r="O62" i="8"/>
  <c r="O42" i="8"/>
  <c r="O14" i="8"/>
  <c r="O33" i="8" s="1"/>
  <c r="O41" i="8"/>
  <c r="O23" i="8"/>
  <c r="O20" i="8"/>
  <c r="O16" i="8"/>
  <c r="O25" i="8"/>
  <c r="O10" i="8"/>
  <c r="O9" i="8" s="1"/>
  <c r="O38" i="8"/>
  <c r="O26" i="8"/>
  <c r="O40" i="8"/>
  <c r="O37" i="8"/>
  <c r="O19" i="8"/>
  <c r="O15" i="8"/>
  <c r="O36" i="8"/>
  <c r="K8" i="8"/>
  <c r="E8" i="8"/>
  <c r="Q8" i="8"/>
  <c r="F7" i="6"/>
  <c r="C38" i="8"/>
  <c r="C10" i="8"/>
  <c r="C9" i="8" s="1"/>
  <c r="C15" i="8"/>
  <c r="C26" i="8"/>
  <c r="C41" i="8"/>
  <c r="C39" i="8"/>
  <c r="C37" i="8"/>
  <c r="C29" i="8"/>
  <c r="C20" i="8"/>
  <c r="C14" i="8"/>
  <c r="C33" i="8" s="1"/>
  <c r="C40" i="8"/>
  <c r="C25" i="8"/>
  <c r="C36" i="8"/>
  <c r="C19" i="8"/>
  <c r="C16" i="8"/>
  <c r="C23" i="8"/>
  <c r="C42" i="8"/>
  <c r="C21" i="8"/>
  <c r="C62" i="8"/>
  <c r="D56" i="6"/>
  <c r="F56" i="6"/>
  <c r="J35" i="8"/>
  <c r="J24" i="8"/>
  <c r="J34" i="8"/>
  <c r="G78" i="6"/>
  <c r="G17" i="7"/>
  <c r="B17" i="7"/>
  <c r="F17" i="7"/>
  <c r="E17" i="7"/>
  <c r="D17" i="7"/>
  <c r="C17" i="7"/>
  <c r="E12" i="6"/>
  <c r="M17" i="4"/>
  <c r="B12" i="14"/>
  <c r="D12" i="14" s="1"/>
  <c r="F12" i="14" s="1"/>
  <c r="G56" i="6"/>
  <c r="P27" i="8"/>
  <c r="P43" i="8"/>
  <c r="J23" i="4"/>
  <c r="I36" i="8"/>
  <c r="D23" i="6" s="1"/>
  <c r="I39" i="8"/>
  <c r="I37" i="8"/>
  <c r="I41" i="8"/>
  <c r="I29" i="8"/>
  <c r="I20" i="8"/>
  <c r="I14" i="8"/>
  <c r="I33" i="8" s="1"/>
  <c r="I25" i="8"/>
  <c r="I19" i="8"/>
  <c r="I42" i="8"/>
  <c r="I10" i="8"/>
  <c r="I9" i="8" s="1"/>
  <c r="I23" i="8"/>
  <c r="I15" i="8"/>
  <c r="I38" i="8"/>
  <c r="I26" i="8"/>
  <c r="I16" i="8"/>
  <c r="I62" i="8"/>
  <c r="I40" i="8"/>
  <c r="D27" i="6" s="1"/>
  <c r="I21" i="8"/>
  <c r="D24" i="8"/>
  <c r="D35" i="8"/>
  <c r="D34" i="8"/>
  <c r="E9" i="6"/>
  <c r="M10" i="4"/>
  <c r="R27" i="8"/>
  <c r="R43" i="8"/>
  <c r="T16" i="2"/>
  <c r="U16" i="2" s="1"/>
  <c r="J43" i="8"/>
  <c r="J27" i="8"/>
  <c r="K22" i="4"/>
  <c r="K18" i="4"/>
  <c r="K24" i="4" s="1"/>
  <c r="E56" i="6"/>
  <c r="R16" i="4"/>
  <c r="U5" i="4"/>
  <c r="R21" i="4"/>
  <c r="R9" i="4"/>
  <c r="R14" i="4"/>
  <c r="R12" i="4"/>
  <c r="R19" i="4"/>
  <c r="R7" i="4"/>
  <c r="R20" i="4"/>
  <c r="F9" i="5"/>
  <c r="T12" i="4"/>
  <c r="T19" i="4"/>
  <c r="T7" i="4"/>
  <c r="T20" i="4"/>
  <c r="T14" i="4"/>
  <c r="T21" i="4"/>
  <c r="T9" i="4"/>
  <c r="T16" i="4"/>
  <c r="D8" i="5"/>
  <c r="D43" i="8"/>
  <c r="D27" i="8"/>
  <c r="F24" i="8"/>
  <c r="F35" i="8"/>
  <c r="F34" i="8"/>
  <c r="L22" i="4"/>
  <c r="L23" i="4" s="1"/>
  <c r="L18" i="4"/>
  <c r="L24" i="4" s="1"/>
  <c r="L35" i="8"/>
  <c r="L24" i="8"/>
  <c r="L34" i="8"/>
  <c r="L43" i="8"/>
  <c r="L27" i="8"/>
  <c r="M15" i="4"/>
  <c r="M28" i="4"/>
  <c r="M8" i="4"/>
  <c r="M11" i="4"/>
  <c r="M13" i="4"/>
  <c r="C40" i="6"/>
  <c r="C39" i="6"/>
  <c r="C41" i="6"/>
  <c r="C48" i="6"/>
  <c r="C54" i="6"/>
  <c r="C47" i="6"/>
  <c r="H8" i="8"/>
  <c r="B8" i="8"/>
  <c r="N8" i="8"/>
  <c r="C7" i="6"/>
  <c r="F23" i="5"/>
  <c r="S12" i="4"/>
  <c r="F6" i="5"/>
  <c r="S9" i="4"/>
  <c r="S19" i="4"/>
  <c r="S7" i="4"/>
  <c r="S21" i="4"/>
  <c r="S20" i="4"/>
  <c r="S14" i="4"/>
  <c r="S16" i="4"/>
  <c r="P34" i="8"/>
  <c r="P35" i="8"/>
  <c r="P24" i="8"/>
  <c r="F43" i="8"/>
  <c r="F27" i="8"/>
  <c r="R34" i="8"/>
  <c r="R24" i="8"/>
  <c r="R35" i="8"/>
  <c r="G21" i="6"/>
  <c r="G22" i="6"/>
  <c r="F7" i="5"/>
  <c r="C58" i="6"/>
  <c r="D26" i="6"/>
  <c r="D11" i="6"/>
  <c r="C13" i="5"/>
  <c r="H5" i="4"/>
  <c r="D24" i="6"/>
  <c r="F5" i="4"/>
  <c r="D25" i="6"/>
  <c r="G5" i="4"/>
  <c r="D70" i="6"/>
  <c r="Z15" i="7" l="1"/>
  <c r="AG15" i="7"/>
  <c r="AJ15" i="7"/>
  <c r="AT15" i="7"/>
  <c r="AW15" i="7"/>
  <c r="E52" i="8"/>
  <c r="Q52" i="8"/>
  <c r="J46" i="8"/>
  <c r="AQ15" i="7"/>
  <c r="O15" i="7"/>
  <c r="D46" i="8"/>
  <c r="AS15" i="7"/>
  <c r="AU15" i="7"/>
  <c r="K52" i="8"/>
  <c r="AV15" i="7"/>
  <c r="E60" i="6"/>
  <c r="AC15" i="7"/>
  <c r="AH15" i="7"/>
  <c r="AA15" i="7"/>
  <c r="AO15" i="7"/>
  <c r="AI15" i="7"/>
  <c r="AD15" i="7"/>
  <c r="AE15" i="7"/>
  <c r="AM15" i="7"/>
  <c r="AR15" i="7"/>
  <c r="AN15" i="7"/>
  <c r="AL15" i="7"/>
  <c r="AK15" i="7"/>
  <c r="AF15" i="7"/>
  <c r="J25" i="4"/>
  <c r="J26" i="4" s="1"/>
  <c r="P52" i="8"/>
  <c r="AB15" i="7"/>
  <c r="J52" i="8"/>
  <c r="V15" i="7"/>
  <c r="P15" i="7"/>
  <c r="U15" i="7"/>
  <c r="W15" i="7"/>
  <c r="C52" i="8"/>
  <c r="O52" i="8"/>
  <c r="I52" i="8"/>
  <c r="BB15" i="7"/>
  <c r="BH15" i="7"/>
  <c r="AZ15" i="7"/>
  <c r="AX15" i="7"/>
  <c r="M18" i="4"/>
  <c r="E16" i="6" s="1"/>
  <c r="BI15" i="7"/>
  <c r="BG15" i="7"/>
  <c r="K59" i="2"/>
  <c r="T15" i="7"/>
  <c r="BC15" i="7"/>
  <c r="M22" i="4"/>
  <c r="X15" i="7"/>
  <c r="BD15" i="7"/>
  <c r="BA15" i="7"/>
  <c r="AY15" i="7"/>
  <c r="D60" i="6"/>
  <c r="R15" i="7"/>
  <c r="BE15" i="7"/>
  <c r="P46" i="8"/>
  <c r="M6" i="4"/>
  <c r="Q15" i="7"/>
  <c r="BF15" i="7"/>
  <c r="L52" i="8"/>
  <c r="N15" i="7"/>
  <c r="F52" i="8"/>
  <c r="S15" i="7"/>
  <c r="K53" i="8"/>
  <c r="E53" i="8"/>
  <c r="Q53" i="8"/>
  <c r="AR16" i="7"/>
  <c r="AL16" i="7"/>
  <c r="AS16" i="7"/>
  <c r="AN16" i="7"/>
  <c r="AT16" i="7"/>
  <c r="AM16" i="7"/>
  <c r="AP16" i="7"/>
  <c r="AQ16" i="7"/>
  <c r="AW16" i="7"/>
  <c r="AU16" i="7"/>
  <c r="AV16" i="7"/>
  <c r="AO16" i="7"/>
  <c r="F26" i="6"/>
  <c r="P5" i="4"/>
  <c r="F25" i="6"/>
  <c r="F24" i="6"/>
  <c r="E13" i="5"/>
  <c r="F11" i="6"/>
  <c r="O5" i="4"/>
  <c r="N5" i="4"/>
  <c r="F70" i="6"/>
  <c r="D78" i="6"/>
  <c r="D5" i="5"/>
  <c r="L25" i="4"/>
  <c r="L26" i="4" s="1"/>
  <c r="I43" i="8"/>
  <c r="I27" i="8"/>
  <c r="Q42" i="8"/>
  <c r="Q16" i="8"/>
  <c r="Q14" i="8"/>
  <c r="Q33" i="8" s="1"/>
  <c r="Q25" i="8"/>
  <c r="Q40" i="8"/>
  <c r="Q23" i="8"/>
  <c r="Q38" i="8"/>
  <c r="Q36" i="8"/>
  <c r="Q21" i="8"/>
  <c r="Q10" i="8"/>
  <c r="Q9" i="8" s="1"/>
  <c r="Q41" i="8"/>
  <c r="Q26" i="8"/>
  <c r="Q20" i="8"/>
  <c r="Q19" i="8"/>
  <c r="Q29" i="8"/>
  <c r="Q37" i="8"/>
  <c r="Q39" i="8"/>
  <c r="Q15" i="8"/>
  <c r="Q62" i="8"/>
  <c r="K23" i="4"/>
  <c r="K25" i="4" s="1"/>
  <c r="K26" i="4" s="1"/>
  <c r="C6" i="5"/>
  <c r="G20" i="4"/>
  <c r="G14" i="4"/>
  <c r="C23" i="5"/>
  <c r="G16" i="4"/>
  <c r="G9" i="4"/>
  <c r="G12" i="4"/>
  <c r="G21" i="4"/>
  <c r="G7" i="4"/>
  <c r="G19" i="4"/>
  <c r="S22" i="4"/>
  <c r="S23" i="4" s="1"/>
  <c r="S18" i="4"/>
  <c r="S24" i="4" s="1"/>
  <c r="O53" i="8"/>
  <c r="I53" i="8"/>
  <c r="C53" i="8"/>
  <c r="Y16" i="7"/>
  <c r="U16" i="7"/>
  <c r="N16" i="7"/>
  <c r="W16" i="7"/>
  <c r="S16" i="7"/>
  <c r="R16" i="7"/>
  <c r="Q16" i="7"/>
  <c r="O16" i="7"/>
  <c r="P16" i="7"/>
  <c r="T16" i="7"/>
  <c r="X16" i="7"/>
  <c r="V16" i="7"/>
  <c r="E41" i="8"/>
  <c r="E26" i="8"/>
  <c r="E39" i="8"/>
  <c r="E37" i="8"/>
  <c r="E29" i="8"/>
  <c r="E20" i="8"/>
  <c r="E16" i="8"/>
  <c r="E14" i="8"/>
  <c r="E33" i="8" s="1"/>
  <c r="E40" i="8"/>
  <c r="E25" i="8"/>
  <c r="E36" i="8"/>
  <c r="E19" i="8"/>
  <c r="E62" i="8"/>
  <c r="E38" i="8"/>
  <c r="E23" i="8"/>
  <c r="E10" i="8"/>
  <c r="E9" i="8" s="1"/>
  <c r="E21" i="8"/>
  <c r="E42" i="8"/>
  <c r="E15" i="8"/>
  <c r="C42" i="6"/>
  <c r="F19" i="4"/>
  <c r="F7" i="4"/>
  <c r="F20" i="4"/>
  <c r="F14" i="4"/>
  <c r="F12" i="4"/>
  <c r="F16" i="4"/>
  <c r="F9" i="4"/>
  <c r="F21" i="4"/>
  <c r="I5" i="4"/>
  <c r="T18" i="4"/>
  <c r="T24" i="4" s="1"/>
  <c r="T22" i="4"/>
  <c r="T23" i="4" s="1"/>
  <c r="M24" i="4"/>
  <c r="O34" i="8"/>
  <c r="O24" i="8"/>
  <c r="O35" i="8"/>
  <c r="F60" i="6"/>
  <c r="I24" i="8"/>
  <c r="I35" i="8"/>
  <c r="I34" i="8"/>
  <c r="L53" i="8"/>
  <c r="F53" i="8"/>
  <c r="R53" i="8"/>
  <c r="BB16" i="7"/>
  <c r="AY16" i="7"/>
  <c r="AZ16" i="7"/>
  <c r="BF16" i="7"/>
  <c r="AX16" i="7"/>
  <c r="BI16" i="7"/>
  <c r="BG16" i="7"/>
  <c r="BD16" i="7"/>
  <c r="BA16" i="7"/>
  <c r="BH16" i="7"/>
  <c r="BE16" i="7"/>
  <c r="BC16" i="7"/>
  <c r="H20" i="4"/>
  <c r="H14" i="4"/>
  <c r="C9" i="5"/>
  <c r="H21" i="4"/>
  <c r="H9" i="4"/>
  <c r="H16" i="4"/>
  <c r="H12" i="4"/>
  <c r="H19" i="4"/>
  <c r="H7" i="4"/>
  <c r="D18" i="5"/>
  <c r="D19" i="5"/>
  <c r="D10" i="5"/>
  <c r="D22" i="5" s="1"/>
  <c r="K36" i="8"/>
  <c r="F23" i="6" s="1"/>
  <c r="K26" i="8"/>
  <c r="K16" i="8"/>
  <c r="K39" i="8"/>
  <c r="K29" i="8"/>
  <c r="K21" i="8"/>
  <c r="K38" i="8"/>
  <c r="K20" i="8"/>
  <c r="K10" i="8"/>
  <c r="K9" i="8" s="1"/>
  <c r="K37" i="8"/>
  <c r="K41" i="8"/>
  <c r="K62" i="8"/>
  <c r="K15" i="8"/>
  <c r="K25" i="8"/>
  <c r="K19" i="8"/>
  <c r="K42" i="8"/>
  <c r="K40" i="8"/>
  <c r="F27" i="6" s="1"/>
  <c r="K14" i="8"/>
  <c r="K33" i="8" s="1"/>
  <c r="K23" i="8"/>
  <c r="C43" i="8"/>
  <c r="C27" i="8"/>
  <c r="H54" i="8"/>
  <c r="N54" i="8"/>
  <c r="B54" i="8"/>
  <c r="G60" i="6"/>
  <c r="N39" i="8"/>
  <c r="N41" i="8"/>
  <c r="N29" i="8"/>
  <c r="N20" i="8"/>
  <c r="N16" i="8"/>
  <c r="N14" i="8"/>
  <c r="N33" i="8" s="1"/>
  <c r="N25" i="8"/>
  <c r="N36" i="8"/>
  <c r="N62" i="8"/>
  <c r="O22" i="8" s="1"/>
  <c r="N42" i="8"/>
  <c r="N21" i="8"/>
  <c r="N10" i="8"/>
  <c r="N9" i="8" s="1"/>
  <c r="N40" i="8"/>
  <c r="N26" i="8"/>
  <c r="N19" i="8"/>
  <c r="N37" i="8"/>
  <c r="N23" i="8"/>
  <c r="N15" i="8"/>
  <c r="N38" i="8"/>
  <c r="U20" i="4"/>
  <c r="D22" i="8"/>
  <c r="D30" i="8" s="1"/>
  <c r="B18" i="14"/>
  <c r="D18" i="14" s="1"/>
  <c r="F18" i="14" s="1"/>
  <c r="O27" i="8"/>
  <c r="O43" i="8"/>
  <c r="U11" i="4"/>
  <c r="U28" i="4"/>
  <c r="U13" i="4"/>
  <c r="J53" i="8"/>
  <c r="D53" i="8"/>
  <c r="P53" i="8"/>
  <c r="AF16" i="7"/>
  <c r="AI16" i="7"/>
  <c r="AB16" i="7"/>
  <c r="AJ16" i="7"/>
  <c r="AD16" i="7"/>
  <c r="AG16" i="7"/>
  <c r="Z16" i="7"/>
  <c r="AH16" i="7"/>
  <c r="AE16" i="7"/>
  <c r="AC16" i="7"/>
  <c r="AA16" i="7"/>
  <c r="AK16" i="7"/>
  <c r="U7" i="4"/>
  <c r="G10" i="6" s="1"/>
  <c r="G20" i="6" s="1"/>
  <c r="J22" i="8"/>
  <c r="J30" i="8" s="1"/>
  <c r="L46" i="8"/>
  <c r="B38" i="8"/>
  <c r="B19" i="8"/>
  <c r="B10" i="8"/>
  <c r="B9" i="8" s="1"/>
  <c r="B15" i="8"/>
  <c r="B26" i="8"/>
  <c r="B41" i="8"/>
  <c r="B39" i="8"/>
  <c r="B37" i="8"/>
  <c r="B14" i="8"/>
  <c r="B33" i="8" s="1"/>
  <c r="B40" i="8"/>
  <c r="B25" i="8"/>
  <c r="B16" i="8"/>
  <c r="B29" i="8"/>
  <c r="B20" i="8"/>
  <c r="B21" i="8"/>
  <c r="B42" i="8"/>
  <c r="B62" i="8"/>
  <c r="B36" i="8"/>
  <c r="B23" i="8"/>
  <c r="D22" i="6"/>
  <c r="D21" i="6"/>
  <c r="C7" i="5"/>
  <c r="F8" i="5"/>
  <c r="C11" i="6"/>
  <c r="D5" i="4"/>
  <c r="B5" i="4"/>
  <c r="C24" i="6"/>
  <c r="B13" i="5"/>
  <c r="C26" i="6"/>
  <c r="C25" i="6"/>
  <c r="C5" i="4"/>
  <c r="C70" i="6"/>
  <c r="H41" i="8"/>
  <c r="H23" i="8"/>
  <c r="H36" i="8"/>
  <c r="C23" i="6" s="1"/>
  <c r="H26" i="8"/>
  <c r="H16" i="8"/>
  <c r="H25" i="8"/>
  <c r="H15" i="8"/>
  <c r="H39" i="8"/>
  <c r="H37" i="8"/>
  <c r="H29" i="8"/>
  <c r="H20" i="8"/>
  <c r="H40" i="8"/>
  <c r="C27" i="6" s="1"/>
  <c r="H19" i="8"/>
  <c r="H21" i="8"/>
  <c r="H42" i="8"/>
  <c r="H10" i="8"/>
  <c r="H14" i="8"/>
  <c r="H33" i="8" s="1"/>
  <c r="H38" i="8"/>
  <c r="H62" i="8"/>
  <c r="I22" i="8" s="1"/>
  <c r="T14" i="2"/>
  <c r="U14" i="2" s="1"/>
  <c r="K58" i="2"/>
  <c r="C56" i="6"/>
  <c r="U12" i="4"/>
  <c r="G14" i="6" s="1"/>
  <c r="U19" i="4"/>
  <c r="R46" i="8"/>
  <c r="F46" i="8"/>
  <c r="U14" i="4"/>
  <c r="D6" i="15"/>
  <c r="D8" i="15" s="1"/>
  <c r="E8" i="6"/>
  <c r="R22" i="4"/>
  <c r="U16" i="4"/>
  <c r="U15" i="4" s="1"/>
  <c r="R18" i="4"/>
  <c r="R24" i="4" s="1"/>
  <c r="U9" i="4"/>
  <c r="U8" i="4" s="1"/>
  <c r="U21" i="4"/>
  <c r="C24" i="8"/>
  <c r="C35" i="8"/>
  <c r="C34" i="8"/>
  <c r="P22" i="8"/>
  <c r="P30" i="8" s="1"/>
  <c r="B25" i="14" l="1"/>
  <c r="U22" i="4"/>
  <c r="I20" i="4"/>
  <c r="I30" i="8"/>
  <c r="I44" i="8" s="1"/>
  <c r="I46" i="8"/>
  <c r="H22" i="8"/>
  <c r="H9" i="8"/>
  <c r="T13" i="2" s="1"/>
  <c r="U13" i="2" s="1"/>
  <c r="U6" i="4"/>
  <c r="O30" i="8"/>
  <c r="I9" i="4"/>
  <c r="D9" i="6" s="1"/>
  <c r="U18" i="4"/>
  <c r="G16" i="6" s="1"/>
  <c r="B22" i="8"/>
  <c r="M23" i="4"/>
  <c r="M25" i="4" s="1"/>
  <c r="M26" i="4" s="1"/>
  <c r="I14" i="4"/>
  <c r="R23" i="4"/>
  <c r="U23" i="4" s="1"/>
  <c r="O46" i="8"/>
  <c r="O44" i="8"/>
  <c r="O45" i="8"/>
  <c r="H43" i="8"/>
  <c r="H27" i="8"/>
  <c r="S25" i="4"/>
  <c r="S26" i="4" s="1"/>
  <c r="I12" i="4"/>
  <c r="D14" i="6" s="1"/>
  <c r="N34" i="8"/>
  <c r="N24" i="8"/>
  <c r="N35" i="8"/>
  <c r="K43" i="8"/>
  <c r="K27" i="8"/>
  <c r="I7" i="4"/>
  <c r="D10" i="6" s="1"/>
  <c r="D20" i="6" s="1"/>
  <c r="G22" i="4"/>
  <c r="G23" i="4" s="1"/>
  <c r="G18" i="4"/>
  <c r="G24" i="4" s="1"/>
  <c r="C22" i="8"/>
  <c r="C30" i="8" s="1"/>
  <c r="H53" i="8"/>
  <c r="N53" i="8"/>
  <c r="B53" i="8"/>
  <c r="B16" i="7"/>
  <c r="C16" i="7"/>
  <c r="E16" i="7"/>
  <c r="H16" i="7"/>
  <c r="K16" i="7"/>
  <c r="D16" i="7"/>
  <c r="L16" i="7"/>
  <c r="I16" i="7"/>
  <c r="M16" i="7"/>
  <c r="J16" i="7"/>
  <c r="F16" i="7"/>
  <c r="G16" i="7"/>
  <c r="C19" i="4"/>
  <c r="C7" i="4"/>
  <c r="C20" i="4"/>
  <c r="B6" i="5"/>
  <c r="C16" i="4"/>
  <c r="C14" i="4"/>
  <c r="C9" i="4"/>
  <c r="B23" i="5"/>
  <c r="C12" i="4"/>
  <c r="C21" i="4"/>
  <c r="C9" i="14"/>
  <c r="H52" i="8"/>
  <c r="B52" i="8"/>
  <c r="N52" i="8"/>
  <c r="I15" i="7"/>
  <c r="H15" i="7"/>
  <c r="F65" i="6"/>
  <c r="C60" i="6"/>
  <c r="B9" i="14" s="1"/>
  <c r="L15" i="7"/>
  <c r="B15" i="7"/>
  <c r="K15" i="7"/>
  <c r="C15" i="7"/>
  <c r="C65" i="6"/>
  <c r="D65" i="6"/>
  <c r="E15" i="7"/>
  <c r="E90" i="6"/>
  <c r="D90" i="6"/>
  <c r="F15" i="7"/>
  <c r="G65" i="6"/>
  <c r="J15" i="7"/>
  <c r="E65" i="6"/>
  <c r="M15" i="7"/>
  <c r="C90" i="6"/>
  <c r="D15" i="7"/>
  <c r="G15" i="7"/>
  <c r="U24" i="4"/>
  <c r="E24" i="8"/>
  <c r="E35" i="8"/>
  <c r="E34" i="8"/>
  <c r="P45" i="8"/>
  <c r="P44" i="8"/>
  <c r="H35" i="8"/>
  <c r="H24" i="8"/>
  <c r="H34" i="8"/>
  <c r="C46" i="8"/>
  <c r="D19" i="4"/>
  <c r="D7" i="4"/>
  <c r="B9" i="5"/>
  <c r="D20" i="4"/>
  <c r="D14" i="4"/>
  <c r="D21" i="4"/>
  <c r="D9" i="4"/>
  <c r="D16" i="4"/>
  <c r="D12" i="4"/>
  <c r="B24" i="8"/>
  <c r="B35" i="8"/>
  <c r="B34" i="8"/>
  <c r="F18" i="4"/>
  <c r="F22" i="4"/>
  <c r="F23" i="4" s="1"/>
  <c r="I16" i="4"/>
  <c r="I15" i="4" s="1"/>
  <c r="C8" i="5"/>
  <c r="Q22" i="8"/>
  <c r="R22" i="8"/>
  <c r="R30" i="8" s="1"/>
  <c r="D15" i="5"/>
  <c r="E17" i="6" s="1"/>
  <c r="E15" i="6"/>
  <c r="Q34" i="8"/>
  <c r="Q35" i="8"/>
  <c r="Q24" i="8"/>
  <c r="K35" i="8"/>
  <c r="K34" i="8"/>
  <c r="K24" i="8"/>
  <c r="E9" i="5"/>
  <c r="P16" i="4"/>
  <c r="P12" i="4"/>
  <c r="P19" i="4"/>
  <c r="P7" i="4"/>
  <c r="P20" i="4"/>
  <c r="P14" i="4"/>
  <c r="P9" i="4"/>
  <c r="P21" i="4"/>
  <c r="I19" i="4"/>
  <c r="Q27" i="8"/>
  <c r="Q43" i="8"/>
  <c r="C78" i="6"/>
  <c r="C83" i="6" s="1"/>
  <c r="B43" i="8"/>
  <c r="B27" i="8"/>
  <c r="F78" i="6"/>
  <c r="F5" i="5"/>
  <c r="G9" i="6"/>
  <c r="U10" i="4"/>
  <c r="N21" i="4"/>
  <c r="N9" i="4"/>
  <c r="N16" i="4"/>
  <c r="N20" i="4"/>
  <c r="N14" i="4"/>
  <c r="N12" i="4"/>
  <c r="N19" i="4"/>
  <c r="N7" i="4"/>
  <c r="Q5" i="4"/>
  <c r="U17" i="4"/>
  <c r="G12" i="6"/>
  <c r="K22" i="8"/>
  <c r="L22" i="8"/>
  <c r="L30" i="8" s="1"/>
  <c r="E6" i="5"/>
  <c r="O16" i="4"/>
  <c r="E23" i="5"/>
  <c r="O14" i="4"/>
  <c r="O12" i="4"/>
  <c r="O9" i="4"/>
  <c r="O19" i="4"/>
  <c r="O7" i="4"/>
  <c r="O20" i="4"/>
  <c r="O21" i="4"/>
  <c r="N22" i="8"/>
  <c r="B12" i="4"/>
  <c r="B19" i="4"/>
  <c r="B7" i="4"/>
  <c r="B14" i="4"/>
  <c r="B20" i="4"/>
  <c r="B16" i="4"/>
  <c r="B9" i="4"/>
  <c r="E5" i="4"/>
  <c r="B21" i="4"/>
  <c r="N43" i="8"/>
  <c r="N27" i="8"/>
  <c r="J44" i="8"/>
  <c r="J45" i="8"/>
  <c r="C60" i="2"/>
  <c r="F21" i="6"/>
  <c r="F22" i="6"/>
  <c r="E7" i="5"/>
  <c r="H22" i="4"/>
  <c r="H23" i="4" s="1"/>
  <c r="H18" i="4"/>
  <c r="H24" i="4" s="1"/>
  <c r="C22" i="6"/>
  <c r="C21" i="6"/>
  <c r="B7" i="5"/>
  <c r="E22" i="8"/>
  <c r="F22" i="8"/>
  <c r="F30" i="8" s="1"/>
  <c r="D45" i="8"/>
  <c r="T15" i="2"/>
  <c r="U15" i="2" s="1"/>
  <c r="D44" i="8"/>
  <c r="T25" i="4"/>
  <c r="T26" i="4" s="1"/>
  <c r="I28" i="4"/>
  <c r="I13" i="4"/>
  <c r="I11" i="4"/>
  <c r="E43" i="8"/>
  <c r="E27" i="8"/>
  <c r="D12" i="15"/>
  <c r="D11" i="15"/>
  <c r="D22" i="15" s="1"/>
  <c r="D9" i="15"/>
  <c r="D10" i="15" s="1"/>
  <c r="D21" i="15" s="1"/>
  <c r="I21" i="4"/>
  <c r="C59" i="2" l="1"/>
  <c r="Q46" i="8"/>
  <c r="I45" i="8"/>
  <c r="E19" i="7"/>
  <c r="E32" i="7" s="1"/>
  <c r="I8" i="4"/>
  <c r="C19" i="7"/>
  <c r="C32" i="7" s="1"/>
  <c r="F19" i="7"/>
  <c r="F32" i="7" s="1"/>
  <c r="E30" i="8"/>
  <c r="E44" i="8" s="1"/>
  <c r="H30" i="8"/>
  <c r="H44" i="8" s="1"/>
  <c r="I10" i="4"/>
  <c r="Q14" i="4"/>
  <c r="N30" i="8"/>
  <c r="N44" i="8" s="1"/>
  <c r="O47" i="8"/>
  <c r="O48" i="8" s="1"/>
  <c r="O57" i="8" s="1"/>
  <c r="E18" i="6"/>
  <c r="D20" i="5" s="1"/>
  <c r="B30" i="8"/>
  <c r="B44" i="8" s="1"/>
  <c r="K19" i="7"/>
  <c r="K32" i="7" s="1"/>
  <c r="P47" i="8"/>
  <c r="P48" i="8" s="1"/>
  <c r="P57" i="8" s="1"/>
  <c r="B19" i="7"/>
  <c r="B38" i="7" s="1"/>
  <c r="Q30" i="8"/>
  <c r="Q45" i="8" s="1"/>
  <c r="D9" i="14"/>
  <c r="F9" i="14" s="1"/>
  <c r="I23" i="4"/>
  <c r="E46" i="8"/>
  <c r="K30" i="8"/>
  <c r="R25" i="4"/>
  <c r="R26" i="4" s="1"/>
  <c r="Q7" i="4"/>
  <c r="F10" i="6" s="1"/>
  <c r="F20" i="6" s="1"/>
  <c r="J19" i="7"/>
  <c r="J32" i="7" s="1"/>
  <c r="G25" i="4"/>
  <c r="G26" i="4" s="1"/>
  <c r="E9" i="4"/>
  <c r="X34" i="2"/>
  <c r="Z34" i="2" s="1"/>
  <c r="V34" i="2"/>
  <c r="C84" i="6"/>
  <c r="C18" i="4"/>
  <c r="C24" i="4" s="1"/>
  <c r="C22" i="4"/>
  <c r="C23" i="4" s="1"/>
  <c r="L45" i="8"/>
  <c r="L44" i="8"/>
  <c r="C62" i="2"/>
  <c r="K62" i="2"/>
  <c r="G59" i="2"/>
  <c r="B18" i="4"/>
  <c r="B24" i="4" s="1"/>
  <c r="E16" i="4"/>
  <c r="E15" i="4" s="1"/>
  <c r="B22" i="4"/>
  <c r="I47" i="8"/>
  <c r="I48" i="8" s="1"/>
  <c r="E14" i="4"/>
  <c r="Q19" i="4"/>
  <c r="H46" i="8"/>
  <c r="C45" i="8"/>
  <c r="C44" i="8"/>
  <c r="B8" i="5"/>
  <c r="N46" i="8"/>
  <c r="F18" i="5"/>
  <c r="F19" i="5"/>
  <c r="F10" i="5"/>
  <c r="F22" i="5" s="1"/>
  <c r="Q12" i="4"/>
  <c r="F14" i="6" s="1"/>
  <c r="E19" i="4"/>
  <c r="E12" i="4"/>
  <c r="Q20" i="4"/>
  <c r="D12" i="6"/>
  <c r="I17" i="4"/>
  <c r="I22" i="4"/>
  <c r="I18" i="4"/>
  <c r="D16" i="6" s="1"/>
  <c r="F24" i="4"/>
  <c r="I6" i="4"/>
  <c r="H25" i="4"/>
  <c r="H26" i="4" s="1"/>
  <c r="Q21" i="4"/>
  <c r="L19" i="7"/>
  <c r="L32" i="7" s="1"/>
  <c r="H19" i="7"/>
  <c r="H32" i="7" s="1"/>
  <c r="G15" i="6"/>
  <c r="P22" i="4"/>
  <c r="P18" i="4"/>
  <c r="P24" i="4" s="1"/>
  <c r="I19" i="7"/>
  <c r="I32" i="7" s="1"/>
  <c r="D28" i="6"/>
  <c r="D29" i="6" s="1"/>
  <c r="Q11" i="4"/>
  <c r="Q28" i="4"/>
  <c r="Q13" i="4"/>
  <c r="B46" i="8"/>
  <c r="U25" i="4"/>
  <c r="U26" i="4" s="1"/>
  <c r="S34" i="2"/>
  <c r="E21" i="4"/>
  <c r="Q16" i="4"/>
  <c r="Q15" i="4" s="1"/>
  <c r="N22" i="4"/>
  <c r="N18" i="4"/>
  <c r="C5" i="5"/>
  <c r="Q9" i="4"/>
  <c r="B29" i="15"/>
  <c r="F6" i="15"/>
  <c r="F8" i="15" s="1"/>
  <c r="C27" i="15" s="1"/>
  <c r="B28" i="15"/>
  <c r="B27" i="15"/>
  <c r="B26" i="15"/>
  <c r="G8" i="6"/>
  <c r="K46" i="8"/>
  <c r="R59" i="8"/>
  <c r="Q59" i="8"/>
  <c r="O59" i="8"/>
  <c r="B54" i="7"/>
  <c r="P59" i="8"/>
  <c r="N59" i="8"/>
  <c r="F45" i="8"/>
  <c r="F44" i="8"/>
  <c r="R45" i="8"/>
  <c r="R44" i="8"/>
  <c r="E20" i="4"/>
  <c r="E7" i="4"/>
  <c r="C10" i="6" s="1"/>
  <c r="C20" i="6" s="1"/>
  <c r="D22" i="4"/>
  <c r="D23" i="4" s="1"/>
  <c r="D18" i="4"/>
  <c r="D24" i="4" s="1"/>
  <c r="C59" i="8"/>
  <c r="E59" i="8"/>
  <c r="B52" i="7"/>
  <c r="F59" i="8"/>
  <c r="D59" i="8"/>
  <c r="B59" i="8"/>
  <c r="E13" i="4"/>
  <c r="E11" i="4"/>
  <c r="E28" i="4"/>
  <c r="C6" i="15"/>
  <c r="C8" i="15" s="1"/>
  <c r="D8" i="6"/>
  <c r="P23" i="4"/>
  <c r="E8" i="5"/>
  <c r="O22" i="4"/>
  <c r="O23" i="4" s="1"/>
  <c r="O18" i="4"/>
  <c r="O24" i="4" s="1"/>
  <c r="D47" i="8"/>
  <c r="D48" i="8" s="1"/>
  <c r="G19" i="7"/>
  <c r="G32" i="7" s="1"/>
  <c r="I59" i="8"/>
  <c r="H59" i="8"/>
  <c r="L59" i="8"/>
  <c r="J59" i="8"/>
  <c r="K59" i="8"/>
  <c r="B53" i="7"/>
  <c r="E28" i="6"/>
  <c r="E29" i="6" s="1"/>
  <c r="J47" i="8"/>
  <c r="J48" i="8" s="1"/>
  <c r="D19" i="7"/>
  <c r="D32" i="7" s="1"/>
  <c r="B19" i="14" l="1"/>
  <c r="E45" i="8"/>
  <c r="AC12" i="7"/>
  <c r="AJ12" i="7"/>
  <c r="AG12" i="7"/>
  <c r="AE12" i="7"/>
  <c r="AD12" i="7"/>
  <c r="AI12" i="7"/>
  <c r="D21" i="5"/>
  <c r="D24" i="5" s="1"/>
  <c r="R47" i="8"/>
  <c r="R48" i="8" s="1"/>
  <c r="R57" i="8" s="1"/>
  <c r="C58" i="2"/>
  <c r="E72" i="6"/>
  <c r="E71" i="6"/>
  <c r="K45" i="8"/>
  <c r="AF12" i="7"/>
  <c r="AH12" i="7"/>
  <c r="AK12" i="7"/>
  <c r="AA12" i="7"/>
  <c r="AL12" i="7"/>
  <c r="AB12" i="7"/>
  <c r="E30" i="6"/>
  <c r="E61" i="6" s="1"/>
  <c r="E73" i="6"/>
  <c r="N47" i="8"/>
  <c r="N48" i="8" s="1"/>
  <c r="N57" i="8" s="1"/>
  <c r="E47" i="7" s="1"/>
  <c r="C47" i="8"/>
  <c r="C48" i="8" s="1"/>
  <c r="C57" i="8" s="1"/>
  <c r="K44" i="8"/>
  <c r="Q18" i="4"/>
  <c r="F16" i="6" s="1"/>
  <c r="P49" i="8"/>
  <c r="Q44" i="8"/>
  <c r="Q47" i="8" s="1"/>
  <c r="Q48" i="8" s="1"/>
  <c r="Q57" i="8" s="1"/>
  <c r="Q6" i="4"/>
  <c r="O49" i="8"/>
  <c r="H47" i="8"/>
  <c r="H48" i="8" s="1"/>
  <c r="C29" i="15"/>
  <c r="F47" i="8"/>
  <c r="F48" i="8" s="1"/>
  <c r="F49" i="8" s="1"/>
  <c r="C61" i="2"/>
  <c r="C26" i="15"/>
  <c r="N24" i="4"/>
  <c r="Q24" i="4" s="1"/>
  <c r="B47" i="8"/>
  <c r="B48" i="8" s="1"/>
  <c r="B57" i="8" s="1"/>
  <c r="C25" i="4"/>
  <c r="C26" i="4" s="1"/>
  <c r="W13" i="7"/>
  <c r="Y13" i="7"/>
  <c r="T13" i="7"/>
  <c r="P13" i="7"/>
  <c r="V13" i="7"/>
  <c r="O13" i="7"/>
  <c r="U13" i="7"/>
  <c r="N13" i="7"/>
  <c r="Q13" i="7"/>
  <c r="X13" i="7"/>
  <c r="R13" i="7"/>
  <c r="S13" i="7"/>
  <c r="D25" i="4"/>
  <c r="D26" i="4" s="1"/>
  <c r="O25" i="4"/>
  <c r="O26" i="4" s="1"/>
  <c r="D57" i="8"/>
  <c r="D49" i="8"/>
  <c r="E24" i="4"/>
  <c r="E22" i="4"/>
  <c r="C24" i="14"/>
  <c r="C14" i="6"/>
  <c r="T19" i="2"/>
  <c r="U19" i="2" s="1"/>
  <c r="I57" i="8"/>
  <c r="D59" i="2" s="1"/>
  <c r="I49" i="8"/>
  <c r="F11" i="15"/>
  <c r="F22" i="15" s="1"/>
  <c r="F12" i="15"/>
  <c r="F9" i="15"/>
  <c r="F10" i="15" s="1"/>
  <c r="F21" i="15" s="1"/>
  <c r="C12" i="6"/>
  <c r="E17" i="4"/>
  <c r="C28" i="15"/>
  <c r="B23" i="4"/>
  <c r="E23" i="4" s="1"/>
  <c r="E18" i="4"/>
  <c r="C16" i="6" s="1"/>
  <c r="C19" i="5"/>
  <c r="C10" i="5"/>
  <c r="C22" i="5" s="1"/>
  <c r="C18" i="5"/>
  <c r="F15" i="5"/>
  <c r="G17" i="6" s="1"/>
  <c r="G18" i="6" s="1"/>
  <c r="G28" i="6"/>
  <c r="G29" i="6" s="1"/>
  <c r="L47" i="8"/>
  <c r="L48" i="8" s="1"/>
  <c r="C9" i="6"/>
  <c r="E10" i="4"/>
  <c r="Q22" i="4"/>
  <c r="Q17" i="4"/>
  <c r="F12" i="6"/>
  <c r="E6" i="4"/>
  <c r="F25" i="4"/>
  <c r="F26" i="4" s="1"/>
  <c r="I24" i="4"/>
  <c r="D79" i="6"/>
  <c r="C85" i="6"/>
  <c r="C75" i="6"/>
  <c r="E47" i="8"/>
  <c r="E48" i="8" s="1"/>
  <c r="P25" i="4"/>
  <c r="P26" i="4" s="1"/>
  <c r="B58" i="7"/>
  <c r="B39" i="7"/>
  <c r="C38" i="7"/>
  <c r="E31" i="6"/>
  <c r="E74" i="6" s="1"/>
  <c r="C12" i="15"/>
  <c r="C11" i="15"/>
  <c r="C22" i="15" s="1"/>
  <c r="C9" i="15"/>
  <c r="C10" i="15" s="1"/>
  <c r="C21" i="15" s="1"/>
  <c r="Q10" i="4"/>
  <c r="F9" i="6"/>
  <c r="J57" i="8"/>
  <c r="D60" i="2" s="1"/>
  <c r="J49" i="8"/>
  <c r="E13" i="3"/>
  <c r="AK13" i="7"/>
  <c r="AD13" i="7"/>
  <c r="AB13" i="7"/>
  <c r="Z13" i="7"/>
  <c r="AA13" i="7"/>
  <c r="AJ13" i="7"/>
  <c r="AJ14" i="7" s="1"/>
  <c r="AJ19" i="7" s="1"/>
  <c r="AJ32" i="7" s="1"/>
  <c r="AH13" i="7"/>
  <c r="AI13" i="7"/>
  <c r="AI14" i="7" s="1"/>
  <c r="AI19" i="7" s="1"/>
  <c r="AI32" i="7" s="1"/>
  <c r="AG13" i="7"/>
  <c r="AG14" i="7" s="1"/>
  <c r="AG19" i="7" s="1"/>
  <c r="AG32" i="7" s="1"/>
  <c r="AC13" i="7"/>
  <c r="AC14" i="7" s="1"/>
  <c r="AC19" i="7" s="1"/>
  <c r="AC32" i="7" s="1"/>
  <c r="AF13" i="7"/>
  <c r="AE13" i="7"/>
  <c r="E8" i="4"/>
  <c r="C53" i="7"/>
  <c r="B56" i="7"/>
  <c r="Q8" i="4"/>
  <c r="D15" i="6"/>
  <c r="C54" i="7"/>
  <c r="B57" i="7"/>
  <c r="C28" i="6"/>
  <c r="C29" i="6" s="1"/>
  <c r="E5" i="5"/>
  <c r="C52" i="7"/>
  <c r="B55" i="7"/>
  <c r="N23" i="4"/>
  <c r="Q23" i="4" s="1"/>
  <c r="AH14" i="7" l="1"/>
  <c r="AH19" i="7" s="1"/>
  <c r="AH32" i="7" s="1"/>
  <c r="AE14" i="7"/>
  <c r="AE19" i="7" s="1"/>
  <c r="AE32" i="7" s="1"/>
  <c r="Q49" i="8"/>
  <c r="AA14" i="7"/>
  <c r="AA19" i="7" s="1"/>
  <c r="AA32" i="7" s="1"/>
  <c r="AD14" i="7"/>
  <c r="AD19" i="7" s="1"/>
  <c r="AD32" i="7" s="1"/>
  <c r="AB14" i="7"/>
  <c r="AB19" i="7" s="1"/>
  <c r="AB32" i="7" s="1"/>
  <c r="AK14" i="7"/>
  <c r="AK19" i="7" s="1"/>
  <c r="AK32" i="7" s="1"/>
  <c r="C49" i="8"/>
  <c r="R49" i="8"/>
  <c r="AF14" i="7"/>
  <c r="AF19" i="7" s="1"/>
  <c r="AF32" i="7" s="1"/>
  <c r="F28" i="6"/>
  <c r="F29" i="6" s="1"/>
  <c r="AR13" i="7" s="1"/>
  <c r="F57" i="8"/>
  <c r="E62" i="6"/>
  <c r="N49" i="8"/>
  <c r="B25" i="4"/>
  <c r="B26" i="4" s="1"/>
  <c r="C15" i="5"/>
  <c r="D17" i="6" s="1"/>
  <c r="D18" i="6" s="1"/>
  <c r="K47" i="8"/>
  <c r="K48" i="8" s="1"/>
  <c r="K57" i="8" s="1"/>
  <c r="D61" i="2" s="1"/>
  <c r="B49" i="8"/>
  <c r="M13" i="7"/>
  <c r="M14" i="7" s="1"/>
  <c r="M19" i="7" s="1"/>
  <c r="F15" i="6"/>
  <c r="E10" i="5"/>
  <c r="E22" i="5" s="1"/>
  <c r="E18" i="5"/>
  <c r="E19" i="5"/>
  <c r="B6" i="15"/>
  <c r="B8" i="15" s="1"/>
  <c r="C25" i="14"/>
  <c r="D25" i="14" s="1"/>
  <c r="F25" i="14" s="1"/>
  <c r="C8" i="6"/>
  <c r="B24" i="14"/>
  <c r="D24" i="14" s="1"/>
  <c r="F24" i="14" s="1"/>
  <c r="B5" i="5"/>
  <c r="B22" i="14"/>
  <c r="D22" i="14" s="1"/>
  <c r="F22" i="14" s="1"/>
  <c r="BI13" i="7"/>
  <c r="BH13" i="7"/>
  <c r="BG13" i="7"/>
  <c r="AY13" i="7"/>
  <c r="AZ13" i="7"/>
  <c r="BB13" i="7"/>
  <c r="BC13" i="7"/>
  <c r="BA13" i="7"/>
  <c r="AX13" i="7"/>
  <c r="BE13" i="7"/>
  <c r="BD13" i="7"/>
  <c r="BF13" i="7"/>
  <c r="D54" i="7"/>
  <c r="C57" i="7"/>
  <c r="E25" i="4"/>
  <c r="E26" i="4" s="1"/>
  <c r="L57" i="8"/>
  <c r="D62" i="2" s="1"/>
  <c r="L49" i="8"/>
  <c r="D53" i="7"/>
  <c r="C56" i="7"/>
  <c r="D81" i="6"/>
  <c r="D82" i="6" s="1"/>
  <c r="O10" i="2"/>
  <c r="G30" i="6"/>
  <c r="G31" i="6" s="1"/>
  <c r="G74" i="6" s="1"/>
  <c r="BE12" i="7"/>
  <c r="AY12" i="7"/>
  <c r="F21" i="5"/>
  <c r="G73" i="6"/>
  <c r="F20" i="5"/>
  <c r="BA12" i="7"/>
  <c r="BF12" i="7"/>
  <c r="BD12" i="7"/>
  <c r="BH12" i="7"/>
  <c r="BC12" i="7"/>
  <c r="BI12" i="7"/>
  <c r="BG12" i="7"/>
  <c r="AZ12" i="7"/>
  <c r="BB12" i="7"/>
  <c r="G71" i="6"/>
  <c r="G72" i="6"/>
  <c r="E6" i="15"/>
  <c r="E8" i="15" s="1"/>
  <c r="F8" i="6"/>
  <c r="E57" i="8"/>
  <c r="E49" i="8"/>
  <c r="H57" i="8"/>
  <c r="H49" i="8"/>
  <c r="C39" i="7"/>
  <c r="D38" i="7"/>
  <c r="C58" i="7"/>
  <c r="D52" i="7"/>
  <c r="C55" i="7"/>
  <c r="N25" i="4"/>
  <c r="N26" i="4" s="1"/>
  <c r="B19" i="5"/>
  <c r="B10" i="5"/>
  <c r="B22" i="5" s="1"/>
  <c r="B18" i="5"/>
  <c r="I25" i="4"/>
  <c r="I26" i="4" s="1"/>
  <c r="Q25" i="4"/>
  <c r="Q26" i="4" s="1"/>
  <c r="E45" i="7" l="1"/>
  <c r="C20" i="14"/>
  <c r="AO13" i="7"/>
  <c r="AM13" i="7"/>
  <c r="AW13" i="7"/>
  <c r="AQ13" i="7"/>
  <c r="AT13" i="7"/>
  <c r="AU13" i="7"/>
  <c r="AN13" i="7"/>
  <c r="AL13" i="7"/>
  <c r="AL14" i="7" s="1"/>
  <c r="AL19" i="7" s="1"/>
  <c r="AV13" i="7"/>
  <c r="AP13" i="7"/>
  <c r="AS13" i="7"/>
  <c r="B20" i="14"/>
  <c r="D20" i="14" s="1"/>
  <c r="F20" i="14" s="1"/>
  <c r="K49" i="8"/>
  <c r="BD14" i="7"/>
  <c r="BD19" i="7" s="1"/>
  <c r="BD32" i="7" s="1"/>
  <c r="BF14" i="7"/>
  <c r="BF19" i="7" s="1"/>
  <c r="BF32" i="7" s="1"/>
  <c r="F24" i="5"/>
  <c r="BC14" i="7"/>
  <c r="BC19" i="7" s="1"/>
  <c r="BC32" i="7" s="1"/>
  <c r="BE14" i="7"/>
  <c r="BE19" i="7" s="1"/>
  <c r="BE32" i="7" s="1"/>
  <c r="BG14" i="7"/>
  <c r="BG19" i="7" s="1"/>
  <c r="BG32" i="7" s="1"/>
  <c r="BA14" i="7"/>
  <c r="BA19" i="7" s="1"/>
  <c r="BA32" i="7" s="1"/>
  <c r="D83" i="6"/>
  <c r="G62" i="6"/>
  <c r="G61" i="6"/>
  <c r="D30" i="6"/>
  <c r="D31" i="6" s="1"/>
  <c r="D74" i="6" s="1"/>
  <c r="C20" i="5"/>
  <c r="Y12" i="7"/>
  <c r="Y14" i="7" s="1"/>
  <c r="Y19" i="7" s="1"/>
  <c r="Y32" i="7" s="1"/>
  <c r="X12" i="7"/>
  <c r="X14" i="7" s="1"/>
  <c r="X19" i="7" s="1"/>
  <c r="X32" i="7" s="1"/>
  <c r="W12" i="7"/>
  <c r="W14" i="7" s="1"/>
  <c r="W19" i="7" s="1"/>
  <c r="W32" i="7" s="1"/>
  <c r="S12" i="7"/>
  <c r="S14" i="7" s="1"/>
  <c r="S19" i="7" s="1"/>
  <c r="S32" i="7" s="1"/>
  <c r="C21" i="5"/>
  <c r="Q12" i="7"/>
  <c r="Q14" i="7" s="1"/>
  <c r="Q19" i="7" s="1"/>
  <c r="Q32" i="7" s="1"/>
  <c r="P12" i="7"/>
  <c r="P14" i="7" s="1"/>
  <c r="P19" i="7" s="1"/>
  <c r="P32" i="7" s="1"/>
  <c r="D73" i="6"/>
  <c r="O12" i="7"/>
  <c r="O14" i="7" s="1"/>
  <c r="O19" i="7" s="1"/>
  <c r="O32" i="7" s="1"/>
  <c r="U12" i="7"/>
  <c r="U14" i="7" s="1"/>
  <c r="U19" i="7" s="1"/>
  <c r="U32" i="7" s="1"/>
  <c r="V12" i="7"/>
  <c r="V14" i="7" s="1"/>
  <c r="V19" i="7" s="1"/>
  <c r="V32" i="7" s="1"/>
  <c r="R12" i="7"/>
  <c r="R14" i="7" s="1"/>
  <c r="R19" i="7" s="1"/>
  <c r="R32" i="7" s="1"/>
  <c r="Z12" i="7"/>
  <c r="Z14" i="7" s="1"/>
  <c r="Z19" i="7" s="1"/>
  <c r="T12" i="7"/>
  <c r="T14" i="7" s="1"/>
  <c r="T19" i="7" s="1"/>
  <c r="T32" i="7" s="1"/>
  <c r="D71" i="6"/>
  <c r="D72" i="6"/>
  <c r="B15" i="5"/>
  <c r="C17" i="6" s="1"/>
  <c r="C15" i="6"/>
  <c r="E11" i="15"/>
  <c r="E22" i="15" s="1"/>
  <c r="E9" i="15"/>
  <c r="E10" i="15" s="1"/>
  <c r="E21" i="15" s="1"/>
  <c r="E12" i="15"/>
  <c r="B23" i="14"/>
  <c r="D23" i="14" s="1"/>
  <c r="F23" i="14" s="1"/>
  <c r="B12" i="15"/>
  <c r="B11" i="15"/>
  <c r="B9" i="15"/>
  <c r="B10" i="15" s="1"/>
  <c r="AZ14" i="7"/>
  <c r="AZ19" i="7" s="1"/>
  <c r="AZ32" i="7" s="1"/>
  <c r="BB14" i="7"/>
  <c r="BB19" i="7" s="1"/>
  <c r="BB32" i="7" s="1"/>
  <c r="D56" i="7"/>
  <c r="E53" i="7"/>
  <c r="E54" i="7"/>
  <c r="D57" i="7"/>
  <c r="E15" i="5"/>
  <c r="F17" i="6" s="1"/>
  <c r="F18" i="6" s="1"/>
  <c r="E52" i="7"/>
  <c r="D55" i="7"/>
  <c r="D58" i="7"/>
  <c r="E38" i="7"/>
  <c r="D39" i="7"/>
  <c r="M32" i="7"/>
  <c r="E46" i="7"/>
  <c r="D58" i="2"/>
  <c r="BH14" i="7"/>
  <c r="BH19" i="7" s="1"/>
  <c r="BH32" i="7" s="1"/>
  <c r="BI14" i="7"/>
  <c r="BI19" i="7" s="1"/>
  <c r="BI32" i="7" s="1"/>
  <c r="T12" i="2"/>
  <c r="U12" i="2" s="1"/>
  <c r="AY14" i="7"/>
  <c r="AY19" i="7" s="1"/>
  <c r="AY32" i="7" s="1"/>
  <c r="F73" i="6" l="1"/>
  <c r="F30" i="6"/>
  <c r="F31" i="6" s="1"/>
  <c r="F74" i="6" s="1"/>
  <c r="AW12" i="7"/>
  <c r="AW14" i="7" s="1"/>
  <c r="AW19" i="7" s="1"/>
  <c r="AW32" i="7" s="1"/>
  <c r="E21" i="5"/>
  <c r="E20" i="5"/>
  <c r="AR12" i="7"/>
  <c r="AR14" i="7" s="1"/>
  <c r="AR19" i="7" s="1"/>
  <c r="AR32" i="7" s="1"/>
  <c r="AQ12" i="7"/>
  <c r="AQ14" i="7" s="1"/>
  <c r="AQ19" i="7" s="1"/>
  <c r="AQ32" i="7" s="1"/>
  <c r="AN12" i="7"/>
  <c r="AN14" i="7" s="1"/>
  <c r="AN19" i="7" s="1"/>
  <c r="AN32" i="7" s="1"/>
  <c r="AX12" i="7"/>
  <c r="AX14" i="7" s="1"/>
  <c r="AX19" i="7" s="1"/>
  <c r="AU12" i="7"/>
  <c r="AU14" i="7" s="1"/>
  <c r="AU19" i="7" s="1"/>
  <c r="AU32" i="7" s="1"/>
  <c r="AO12" i="7"/>
  <c r="AO14" i="7" s="1"/>
  <c r="AO19" i="7" s="1"/>
  <c r="AO32" i="7" s="1"/>
  <c r="AP12" i="7"/>
  <c r="AP14" i="7" s="1"/>
  <c r="AP19" i="7" s="1"/>
  <c r="AP32" i="7" s="1"/>
  <c r="AM12" i="7"/>
  <c r="AM14" i="7" s="1"/>
  <c r="AM19" i="7" s="1"/>
  <c r="AM32" i="7" s="1"/>
  <c r="AS12" i="7"/>
  <c r="AS14" i="7" s="1"/>
  <c r="AS19" i="7" s="1"/>
  <c r="AS32" i="7" s="1"/>
  <c r="AV12" i="7"/>
  <c r="AV14" i="7" s="1"/>
  <c r="AV19" i="7" s="1"/>
  <c r="AV32" i="7" s="1"/>
  <c r="AT12" i="7"/>
  <c r="AT14" i="7" s="1"/>
  <c r="AT19" i="7" s="1"/>
  <c r="AT32" i="7" s="1"/>
  <c r="F71" i="6"/>
  <c r="F72" i="6"/>
  <c r="B21" i="15"/>
  <c r="B28" i="14"/>
  <c r="D28" i="14" s="1"/>
  <c r="F28" i="14" s="1"/>
  <c r="E58" i="7"/>
  <c r="E39" i="7"/>
  <c r="F38" i="7"/>
  <c r="C24" i="5"/>
  <c r="D62" i="6"/>
  <c r="D61" i="6"/>
  <c r="B22" i="15"/>
  <c r="B29" i="14"/>
  <c r="D29" i="14" s="1"/>
  <c r="F29" i="14" s="1"/>
  <c r="F54" i="7"/>
  <c r="E57" i="7"/>
  <c r="X35" i="2"/>
  <c r="Z35" i="2" s="1"/>
  <c r="V35" i="2"/>
  <c r="S35" i="2"/>
  <c r="C18" i="6"/>
  <c r="D84" i="6"/>
  <c r="F53" i="7"/>
  <c r="E56" i="7"/>
  <c r="E55" i="7"/>
  <c r="F52" i="7"/>
  <c r="E24" i="5" l="1"/>
  <c r="F58" i="7"/>
  <c r="F39" i="7"/>
  <c r="G38" i="7"/>
  <c r="G53" i="7"/>
  <c r="F56" i="7"/>
  <c r="F61" i="6"/>
  <c r="F62" i="6"/>
  <c r="F57" i="7"/>
  <c r="G54" i="7"/>
  <c r="G52" i="7"/>
  <c r="F55" i="7"/>
  <c r="E79" i="6"/>
  <c r="D85" i="6"/>
  <c r="D75" i="6"/>
  <c r="C17" i="14"/>
  <c r="C73" i="6"/>
  <c r="B20" i="5"/>
  <c r="B24" i="5" s="1"/>
  <c r="C30" i="6"/>
  <c r="C19" i="14"/>
  <c r="D19" i="14" s="1"/>
  <c r="F19" i="14" s="1"/>
  <c r="N12" i="7"/>
  <c r="C71" i="6"/>
  <c r="C72" i="6"/>
  <c r="C61" i="6" l="1"/>
  <c r="C62" i="6"/>
  <c r="N14" i="7"/>
  <c r="N19" i="7" s="1"/>
  <c r="B17" i="14"/>
  <c r="D17" i="14" s="1"/>
  <c r="F17" i="14" s="1"/>
  <c r="G58" i="7"/>
  <c r="G39" i="7"/>
  <c r="H38" i="7"/>
  <c r="E81" i="6"/>
  <c r="E82" i="6" s="1"/>
  <c r="C31" i="6"/>
  <c r="C74" i="6" s="1"/>
  <c r="G55" i="7"/>
  <c r="H52" i="7"/>
  <c r="C68" i="2"/>
  <c r="H53" i="7"/>
  <c r="G56" i="7"/>
  <c r="D68" i="2"/>
  <c r="G57" i="7"/>
  <c r="H54" i="7"/>
  <c r="E68" i="2"/>
  <c r="E83" i="6" l="1"/>
  <c r="E84" i="6" s="1"/>
  <c r="I52" i="7"/>
  <c r="H55" i="7"/>
  <c r="H58" i="7"/>
  <c r="I38" i="7"/>
  <c r="H39" i="7"/>
  <c r="B39" i="14"/>
  <c r="D39" i="14" s="1"/>
  <c r="F39" i="14" s="1"/>
  <c r="H57" i="7"/>
  <c r="I54" i="7"/>
  <c r="C10" i="14"/>
  <c r="C63" i="6"/>
  <c r="D63" i="6" s="1"/>
  <c r="E63" i="6" s="1"/>
  <c r="F63" i="6" s="1"/>
  <c r="G63" i="6" s="1"/>
  <c r="B10" i="14" s="1"/>
  <c r="I53" i="7"/>
  <c r="H56" i="7"/>
  <c r="D10" i="14" l="1"/>
  <c r="F10" i="14" s="1"/>
  <c r="E85" i="6"/>
  <c r="F79" i="6"/>
  <c r="E75" i="6"/>
  <c r="I58" i="7"/>
  <c r="I39" i="7"/>
  <c r="J38" i="7"/>
  <c r="I55" i="7"/>
  <c r="J52" i="7"/>
  <c r="V36" i="2"/>
  <c r="X36" i="2"/>
  <c r="Z36" i="2" s="1"/>
  <c r="S36" i="2"/>
  <c r="J53" i="7"/>
  <c r="I56" i="7"/>
  <c r="I57" i="7"/>
  <c r="J54" i="7"/>
  <c r="K53" i="7" l="1"/>
  <c r="J56" i="7"/>
  <c r="J55" i="7"/>
  <c r="K52" i="7"/>
  <c r="F81" i="6"/>
  <c r="F82" i="6" s="1"/>
  <c r="J57" i="7"/>
  <c r="K54" i="7"/>
  <c r="J58" i="7"/>
  <c r="J39" i="7"/>
  <c r="K38" i="7"/>
  <c r="F83" i="6" l="1"/>
  <c r="K57" i="7"/>
  <c r="L54" i="7"/>
  <c r="K58" i="7"/>
  <c r="K39" i="7"/>
  <c r="L38" i="7"/>
  <c r="L52" i="7"/>
  <c r="K55" i="7"/>
  <c r="L53" i="7"/>
  <c r="K56" i="7"/>
  <c r="M53" i="7" l="1"/>
  <c r="L56" i="7"/>
  <c r="M38" i="7"/>
  <c r="L58" i="7"/>
  <c r="L39" i="7"/>
  <c r="L57" i="7"/>
  <c r="M54" i="7"/>
  <c r="M52" i="7"/>
  <c r="L55" i="7"/>
  <c r="V37" i="2"/>
  <c r="X37" i="2"/>
  <c r="Z37" i="2" s="1"/>
  <c r="S37" i="2"/>
  <c r="F84" i="6"/>
  <c r="M57" i="7" l="1"/>
  <c r="N54" i="7"/>
  <c r="E69" i="2"/>
  <c r="N58" i="8"/>
  <c r="N60" i="8" s="1"/>
  <c r="N52" i="7"/>
  <c r="C69" i="2"/>
  <c r="M55" i="7"/>
  <c r="B58" i="8"/>
  <c r="B60" i="8" s="1"/>
  <c r="N38" i="7"/>
  <c r="M39" i="7"/>
  <c r="M58" i="7"/>
  <c r="H58" i="8"/>
  <c r="H60" i="8" s="1"/>
  <c r="C64" i="6"/>
  <c r="G79" i="6"/>
  <c r="F85" i="6"/>
  <c r="F75" i="6"/>
  <c r="N53" i="7"/>
  <c r="M56" i="7"/>
  <c r="D69" i="2"/>
  <c r="C66" i="6" l="1"/>
  <c r="G81" i="6"/>
  <c r="G82" i="6" s="1"/>
  <c r="O38" i="7"/>
  <c r="N39" i="7"/>
  <c r="N58" i="7"/>
  <c r="N56" i="7"/>
  <c r="O53" i="7"/>
  <c r="N57" i="7"/>
  <c r="O54" i="7"/>
  <c r="O52" i="7"/>
  <c r="N55" i="7"/>
  <c r="G83" i="6" l="1"/>
  <c r="P52" i="7"/>
  <c r="O55" i="7"/>
  <c r="P53" i="7"/>
  <c r="O56" i="7"/>
  <c r="O57" i="7"/>
  <c r="P54" i="7"/>
  <c r="P38" i="7"/>
  <c r="O58" i="7"/>
  <c r="O39" i="7"/>
  <c r="B26" i="7"/>
  <c r="B28" i="7" s="1"/>
  <c r="B32" i="7" s="1"/>
  <c r="B33" i="7" s="1"/>
  <c r="B35" i="7" l="1"/>
  <c r="B40" i="7"/>
  <c r="C31" i="7"/>
  <c r="C33" i="7" s="1"/>
  <c r="Q38" i="7"/>
  <c r="P58" i="7"/>
  <c r="P39" i="7"/>
  <c r="P57" i="7"/>
  <c r="Q54" i="7"/>
  <c r="P56" i="7"/>
  <c r="Q53" i="7"/>
  <c r="P55" i="7"/>
  <c r="Q52" i="7"/>
  <c r="V38" i="2"/>
  <c r="X38" i="2"/>
  <c r="Z38" i="2" s="1"/>
  <c r="S38" i="2"/>
  <c r="G84" i="6"/>
  <c r="G85" i="6" l="1"/>
  <c r="B27" i="14" s="1"/>
  <c r="D27" i="14" s="1"/>
  <c r="F27" i="14" s="1"/>
  <c r="G75" i="6"/>
  <c r="Q57" i="7"/>
  <c r="R54" i="7"/>
  <c r="R52" i="7"/>
  <c r="Q55" i="7"/>
  <c r="C40" i="7"/>
  <c r="D31" i="7"/>
  <c r="D33" i="7" s="1"/>
  <c r="C35" i="7"/>
  <c r="Q56" i="7"/>
  <c r="R53" i="7"/>
  <c r="Q58" i="7"/>
  <c r="R38" i="7"/>
  <c r="Q39" i="7"/>
  <c r="S38" i="7" l="1"/>
  <c r="R58" i="7"/>
  <c r="R39" i="7"/>
  <c r="R56" i="7"/>
  <c r="S53" i="7"/>
  <c r="D35" i="7"/>
  <c r="D40" i="7"/>
  <c r="E31" i="7"/>
  <c r="E33" i="7" s="1"/>
  <c r="S52" i="7"/>
  <c r="R55" i="7"/>
  <c r="S54" i="7"/>
  <c r="R57" i="7"/>
  <c r="T54" i="7" l="1"/>
  <c r="S57" i="7"/>
  <c r="E70" i="2"/>
  <c r="E35" i="7"/>
  <c r="E40" i="7"/>
  <c r="F31" i="7"/>
  <c r="F33" i="7" s="1"/>
  <c r="T52" i="7"/>
  <c r="S55" i="7"/>
  <c r="C70" i="2"/>
  <c r="S56" i="7"/>
  <c r="T53" i="7"/>
  <c r="D70" i="2"/>
  <c r="S58" i="7"/>
  <c r="T38" i="7"/>
  <c r="S39" i="7"/>
  <c r="U38" i="7" l="1"/>
  <c r="T58" i="7"/>
  <c r="T39" i="7"/>
  <c r="T56" i="7"/>
  <c r="U53" i="7"/>
  <c r="F35" i="7"/>
  <c r="F40" i="7"/>
  <c r="G31" i="7"/>
  <c r="G33" i="7" s="1"/>
  <c r="T55" i="7"/>
  <c r="U52" i="7"/>
  <c r="U54" i="7"/>
  <c r="T57" i="7"/>
  <c r="V52" i="7" l="1"/>
  <c r="U55" i="7"/>
  <c r="G40" i="7"/>
  <c r="H31" i="7"/>
  <c r="H33" i="7" s="1"/>
  <c r="G35" i="7"/>
  <c r="V54" i="7"/>
  <c r="U57" i="7"/>
  <c r="U56" i="7"/>
  <c r="V53" i="7"/>
  <c r="U58" i="7"/>
  <c r="U39" i="7"/>
  <c r="V38" i="7"/>
  <c r="V56" i="7" l="1"/>
  <c r="W53" i="7"/>
  <c r="W54" i="7"/>
  <c r="V57" i="7"/>
  <c r="I31" i="7"/>
  <c r="I33" i="7" s="1"/>
  <c r="H35" i="7"/>
  <c r="H40" i="7"/>
  <c r="V58" i="7"/>
  <c r="V39" i="7"/>
  <c r="W38" i="7"/>
  <c r="V55" i="7"/>
  <c r="W52" i="7"/>
  <c r="W39" i="7" l="1"/>
  <c r="X38" i="7"/>
  <c r="W58" i="7"/>
  <c r="I35" i="7"/>
  <c r="I40" i="7"/>
  <c r="J31" i="7"/>
  <c r="J33" i="7" s="1"/>
  <c r="W57" i="7"/>
  <c r="X54" i="7"/>
  <c r="W55" i="7"/>
  <c r="X52" i="7"/>
  <c r="W56" i="7"/>
  <c r="X53" i="7"/>
  <c r="X56" i="7" l="1"/>
  <c r="Y53" i="7"/>
  <c r="Y54" i="7"/>
  <c r="X57" i="7"/>
  <c r="X55" i="7"/>
  <c r="Y52" i="7"/>
  <c r="K31" i="7"/>
  <c r="K33" i="7" s="1"/>
  <c r="J35" i="7"/>
  <c r="J40" i="7"/>
  <c r="X39" i="7"/>
  <c r="X58" i="7"/>
  <c r="Y38" i="7"/>
  <c r="Y39" i="7" l="1"/>
  <c r="Z38" i="7"/>
  <c r="Y58" i="7"/>
  <c r="D64" i="6"/>
  <c r="I58" i="8"/>
  <c r="I60" i="8" s="1"/>
  <c r="L31" i="7"/>
  <c r="L33" i="7" s="1"/>
  <c r="K35" i="7"/>
  <c r="K40" i="7"/>
  <c r="Y55" i="7"/>
  <c r="C71" i="2"/>
  <c r="Z52" i="7"/>
  <c r="C58" i="8"/>
  <c r="C60" i="8" s="1"/>
  <c r="Z54" i="7"/>
  <c r="Y57" i="7"/>
  <c r="E71" i="2"/>
  <c r="O58" i="8"/>
  <c r="O60" i="8" s="1"/>
  <c r="Y56" i="7"/>
  <c r="Z53" i="7"/>
  <c r="D71" i="2"/>
  <c r="Z56" i="7" l="1"/>
  <c r="AA53" i="7"/>
  <c r="AA54" i="7"/>
  <c r="Z57" i="7"/>
  <c r="Z55" i="7"/>
  <c r="AA52" i="7"/>
  <c r="L40" i="7"/>
  <c r="M31" i="7"/>
  <c r="M33" i="7" s="1"/>
  <c r="L35" i="7"/>
  <c r="D66" i="6"/>
  <c r="Z39" i="7"/>
  <c r="AA38" i="7"/>
  <c r="Z58" i="7"/>
  <c r="AA39" i="7" l="1"/>
  <c r="AA58" i="7"/>
  <c r="AB38" i="7"/>
  <c r="M40" i="7"/>
  <c r="N31" i="7"/>
  <c r="M35" i="7"/>
  <c r="AB52" i="7"/>
  <c r="AA55" i="7"/>
  <c r="N26" i="7"/>
  <c r="N28" i="7" s="1"/>
  <c r="N32" i="7" s="1"/>
  <c r="AA56" i="7"/>
  <c r="AB53" i="7"/>
  <c r="AB54" i="7"/>
  <c r="AA57" i="7"/>
  <c r="AC54" i="7" l="1"/>
  <c r="AB57" i="7"/>
  <c r="AB56" i="7"/>
  <c r="AC53" i="7"/>
  <c r="AB55" i="7"/>
  <c r="AC52" i="7"/>
  <c r="N33" i="7"/>
  <c r="AB58" i="7"/>
  <c r="AB39" i="7"/>
  <c r="AC38" i="7"/>
  <c r="AC55" i="7" l="1"/>
  <c r="AD52" i="7"/>
  <c r="AC58" i="7"/>
  <c r="AC39" i="7"/>
  <c r="AD38" i="7"/>
  <c r="O31" i="7"/>
  <c r="O33" i="7" s="1"/>
  <c r="N40" i="7"/>
  <c r="N35" i="7"/>
  <c r="AD53" i="7"/>
  <c r="AC56" i="7"/>
  <c r="AD54" i="7"/>
  <c r="AC57" i="7"/>
  <c r="AE54" i="7" l="1"/>
  <c r="AD57" i="7"/>
  <c r="AD56" i="7"/>
  <c r="AE53" i="7"/>
  <c r="P31" i="7"/>
  <c r="P33" i="7" s="1"/>
  <c r="O35" i="7"/>
  <c r="O40" i="7"/>
  <c r="AD39" i="7"/>
  <c r="AD58" i="7"/>
  <c r="AE38" i="7"/>
  <c r="AE52" i="7"/>
  <c r="AD55" i="7"/>
  <c r="AE39" i="7" l="1"/>
  <c r="AE58" i="7"/>
  <c r="AF38" i="7"/>
  <c r="AE55" i="7"/>
  <c r="AF52" i="7"/>
  <c r="C72" i="2"/>
  <c r="P40" i="7"/>
  <c r="Q31" i="7"/>
  <c r="Q33" i="7" s="1"/>
  <c r="P35" i="7"/>
  <c r="AF53" i="7"/>
  <c r="D72" i="2"/>
  <c r="AE56" i="7"/>
  <c r="AE57" i="7"/>
  <c r="AF54" i="7"/>
  <c r="E72" i="2"/>
  <c r="AG53" i="7" l="1"/>
  <c r="AF56" i="7"/>
  <c r="R31" i="7"/>
  <c r="R33" i="7" s="1"/>
  <c r="Q40" i="7"/>
  <c r="Q35" i="7"/>
  <c r="AF57" i="7"/>
  <c r="AG54" i="7"/>
  <c r="AG52" i="7"/>
  <c r="AF55" i="7"/>
  <c r="AF39" i="7"/>
  <c r="AF58" i="7"/>
  <c r="AG38" i="7"/>
  <c r="AH52" i="7" l="1"/>
  <c r="AG55" i="7"/>
  <c r="AG57" i="7"/>
  <c r="AH54" i="7"/>
  <c r="S31" i="7"/>
  <c r="S33" i="7" s="1"/>
  <c r="R40" i="7"/>
  <c r="R35" i="7"/>
  <c r="AG58" i="7"/>
  <c r="AH38" i="7"/>
  <c r="AG39" i="7"/>
  <c r="AH53" i="7"/>
  <c r="AG56" i="7"/>
  <c r="AI53" i="7" l="1"/>
  <c r="AH56" i="7"/>
  <c r="T31" i="7"/>
  <c r="T33" i="7" s="1"/>
  <c r="S35" i="7"/>
  <c r="S40" i="7"/>
  <c r="AH57" i="7"/>
  <c r="AI54" i="7"/>
  <c r="AH39" i="7"/>
  <c r="AH58" i="7"/>
  <c r="AI38" i="7"/>
  <c r="AH55" i="7"/>
  <c r="AI52" i="7"/>
  <c r="AJ52" i="7" l="1"/>
  <c r="AI55" i="7"/>
  <c r="AI57" i="7"/>
  <c r="AJ54" i="7"/>
  <c r="T40" i="7"/>
  <c r="U31" i="7"/>
  <c r="U33" i="7" s="1"/>
  <c r="T35" i="7"/>
  <c r="AI39" i="7"/>
  <c r="AI58" i="7"/>
  <c r="AJ38" i="7"/>
  <c r="AJ53" i="7"/>
  <c r="AI56" i="7"/>
  <c r="AK38" i="7" l="1"/>
  <c r="AJ39" i="7"/>
  <c r="AJ58" i="7"/>
  <c r="AK53" i="7"/>
  <c r="AJ56" i="7"/>
  <c r="U40" i="7"/>
  <c r="U35" i="7"/>
  <c r="V31" i="7"/>
  <c r="V33" i="7" s="1"/>
  <c r="AJ57" i="7"/>
  <c r="AK54" i="7"/>
  <c r="AK52" i="7"/>
  <c r="AJ55" i="7"/>
  <c r="AK57" i="7" l="1"/>
  <c r="AL54" i="7"/>
  <c r="E73" i="2"/>
  <c r="P58" i="8"/>
  <c r="P60" i="8" s="1"/>
  <c r="AL52" i="7"/>
  <c r="AK55" i="7"/>
  <c r="C73" i="2"/>
  <c r="D58" i="8"/>
  <c r="D60" i="8" s="1"/>
  <c r="V40" i="7"/>
  <c r="V35" i="7"/>
  <c r="W31" i="7"/>
  <c r="W33" i="7" s="1"/>
  <c r="AL53" i="7"/>
  <c r="D73" i="2"/>
  <c r="AK56" i="7"/>
  <c r="AK58" i="7"/>
  <c r="AL38" i="7"/>
  <c r="AK39" i="7"/>
  <c r="E64" i="6"/>
  <c r="J58" i="8"/>
  <c r="J60" i="8" s="1"/>
  <c r="E66" i="6" l="1"/>
  <c r="W40" i="7"/>
  <c r="X31" i="7"/>
  <c r="X33" i="7" s="1"/>
  <c r="W35" i="7"/>
  <c r="AL58" i="7"/>
  <c r="AL39" i="7"/>
  <c r="AM38" i="7"/>
  <c r="AL55" i="7"/>
  <c r="AM52" i="7"/>
  <c r="AM53" i="7"/>
  <c r="AL56" i="7"/>
  <c r="AL57" i="7"/>
  <c r="AM54" i="7"/>
  <c r="AN53" i="7" l="1"/>
  <c r="AM56" i="7"/>
  <c r="AM57" i="7"/>
  <c r="AN54" i="7"/>
  <c r="AN52" i="7"/>
  <c r="AM55" i="7"/>
  <c r="AN38" i="7"/>
  <c r="AM39" i="7"/>
  <c r="AM58" i="7"/>
  <c r="Y31" i="7"/>
  <c r="Y33" i="7" s="1"/>
  <c r="X40" i="7"/>
  <c r="X35" i="7"/>
  <c r="Z26" i="7"/>
  <c r="Z28" i="7" s="1"/>
  <c r="Z32" i="7" s="1"/>
  <c r="AO38" i="7" l="1"/>
  <c r="AN58" i="7"/>
  <c r="AN39" i="7"/>
  <c r="AN55" i="7"/>
  <c r="AO52" i="7"/>
  <c r="AN57" i="7"/>
  <c r="AO54" i="7"/>
  <c r="Y35" i="7"/>
  <c r="Y40" i="7"/>
  <c r="Z31" i="7"/>
  <c r="Z33" i="7" s="1"/>
  <c r="AO53" i="7"/>
  <c r="AN56" i="7"/>
  <c r="AO56" i="7" l="1"/>
  <c r="AP53" i="7"/>
  <c r="Z40" i="7"/>
  <c r="Z35" i="7"/>
  <c r="AA31" i="7"/>
  <c r="AA33" i="7" s="1"/>
  <c r="AO57" i="7"/>
  <c r="AP54" i="7"/>
  <c r="AP52" i="7"/>
  <c r="AO55" i="7"/>
  <c r="AP38" i="7"/>
  <c r="AO39" i="7"/>
  <c r="AO58" i="7"/>
  <c r="AQ38" i="7" l="1"/>
  <c r="AP39" i="7"/>
  <c r="AP58" i="7"/>
  <c r="AQ52" i="7"/>
  <c r="AP55" i="7"/>
  <c r="AQ54" i="7"/>
  <c r="AP57" i="7"/>
  <c r="AA35" i="7"/>
  <c r="AB31" i="7"/>
  <c r="AB33" i="7" s="1"/>
  <c r="AA40" i="7"/>
  <c r="AP56" i="7"/>
  <c r="AQ53" i="7"/>
  <c r="AQ56" i="7" l="1"/>
  <c r="AR53" i="7"/>
  <c r="D74" i="2"/>
  <c r="AB35" i="7"/>
  <c r="AC31" i="7"/>
  <c r="AC33" i="7" s="1"/>
  <c r="AB40" i="7"/>
  <c r="AQ57" i="7"/>
  <c r="AR54" i="7"/>
  <c r="E74" i="2"/>
  <c r="AR52" i="7"/>
  <c r="C74" i="2"/>
  <c r="AQ55" i="7"/>
  <c r="AQ58" i="7"/>
  <c r="AR38" i="7"/>
  <c r="AQ39" i="7"/>
  <c r="AS38" i="7" l="1"/>
  <c r="AR39" i="7"/>
  <c r="AR58" i="7"/>
  <c r="AS52" i="7"/>
  <c r="AR55" i="7"/>
  <c r="AC35" i="7"/>
  <c r="AD31" i="7"/>
  <c r="AD33" i="7" s="1"/>
  <c r="AC40" i="7"/>
  <c r="AR57" i="7"/>
  <c r="AS54" i="7"/>
  <c r="AR56" i="7"/>
  <c r="AS53" i="7"/>
  <c r="AT54" i="7" l="1"/>
  <c r="AS57" i="7"/>
  <c r="AS56" i="7"/>
  <c r="AT53" i="7"/>
  <c r="AD35" i="7"/>
  <c r="AD40" i="7"/>
  <c r="AE31" i="7"/>
  <c r="AE33" i="7" s="1"/>
  <c r="AT52" i="7"/>
  <c r="AS55" i="7"/>
  <c r="AT38" i="7"/>
  <c r="AS39" i="7"/>
  <c r="AS58" i="7"/>
  <c r="AT58" i="7" l="1"/>
  <c r="AU38" i="7"/>
  <c r="AT39" i="7"/>
  <c r="AT56" i="7"/>
  <c r="AU53" i="7"/>
  <c r="AU52" i="7"/>
  <c r="AT55" i="7"/>
  <c r="AE35" i="7"/>
  <c r="AE40" i="7"/>
  <c r="AF31" i="7"/>
  <c r="AF33" i="7" s="1"/>
  <c r="AT57" i="7"/>
  <c r="AU54" i="7"/>
  <c r="AV54" i="7" l="1"/>
  <c r="AU57" i="7"/>
  <c r="AF35" i="7"/>
  <c r="AF40" i="7"/>
  <c r="AG31" i="7"/>
  <c r="AG33" i="7" s="1"/>
  <c r="AU55" i="7"/>
  <c r="AV52" i="7"/>
  <c r="AU56" i="7"/>
  <c r="AV53" i="7"/>
  <c r="AV38" i="7"/>
  <c r="AU58" i="7"/>
  <c r="AU39" i="7"/>
  <c r="AW38" i="7" l="1"/>
  <c r="AV39" i="7"/>
  <c r="AV58" i="7"/>
  <c r="AG35" i="7"/>
  <c r="AG40" i="7"/>
  <c r="AH31" i="7"/>
  <c r="AH33" i="7" s="1"/>
  <c r="AV56" i="7"/>
  <c r="AW53" i="7"/>
  <c r="AV55" i="7"/>
  <c r="AW52" i="7"/>
  <c r="AW54" i="7"/>
  <c r="AV57" i="7"/>
  <c r="AX54" i="7" l="1"/>
  <c r="AW57" i="7"/>
  <c r="E75" i="2"/>
  <c r="Q58" i="8"/>
  <c r="Q60" i="8" s="1"/>
  <c r="AW56" i="7"/>
  <c r="AX53" i="7"/>
  <c r="D75" i="2"/>
  <c r="AW55" i="7"/>
  <c r="AX52" i="7"/>
  <c r="C75" i="2"/>
  <c r="E58" i="8"/>
  <c r="E60" i="8" s="1"/>
  <c r="AH35" i="7"/>
  <c r="AH40" i="7"/>
  <c r="AI31" i="7"/>
  <c r="AI33" i="7" s="1"/>
  <c r="AW39" i="7"/>
  <c r="AX38" i="7"/>
  <c r="AW58" i="7"/>
  <c r="F64" i="6"/>
  <c r="K58" i="8"/>
  <c r="K60" i="8" s="1"/>
  <c r="AY38" i="7" l="1"/>
  <c r="AX58" i="7"/>
  <c r="AX39" i="7"/>
  <c r="AJ31" i="7"/>
  <c r="AJ33" i="7" s="1"/>
  <c r="AI35" i="7"/>
  <c r="AI40" i="7"/>
  <c r="AY53" i="7"/>
  <c r="AX56" i="7"/>
  <c r="F66" i="6"/>
  <c r="AX55" i="7"/>
  <c r="AY52" i="7"/>
  <c r="AX57" i="7"/>
  <c r="AY54" i="7"/>
  <c r="AZ52" i="7" l="1"/>
  <c r="AY55" i="7"/>
  <c r="AL26" i="7"/>
  <c r="AL28" i="7" s="1"/>
  <c r="AL32" i="7" s="1"/>
  <c r="AZ54" i="7"/>
  <c r="AY57" i="7"/>
  <c r="AZ53" i="7"/>
  <c r="AY56" i="7"/>
  <c r="AK31" i="7"/>
  <c r="AK33" i="7" s="1"/>
  <c r="AJ35" i="7"/>
  <c r="AJ40" i="7"/>
  <c r="AY58" i="7"/>
  <c r="AZ38" i="7"/>
  <c r="AY39" i="7"/>
  <c r="BA54" i="7" l="1"/>
  <c r="AZ57" i="7"/>
  <c r="AZ58" i="7"/>
  <c r="AZ39" i="7"/>
  <c r="BA38" i="7"/>
  <c r="AK40" i="7"/>
  <c r="AK35" i="7"/>
  <c r="AL31" i="7"/>
  <c r="AL33" i="7" s="1"/>
  <c r="AZ56" i="7"/>
  <c r="BA53" i="7"/>
  <c r="AZ55" i="7"/>
  <c r="BA52" i="7"/>
  <c r="BA55" i="7" l="1"/>
  <c r="BB52" i="7"/>
  <c r="AM31" i="7"/>
  <c r="AM33" i="7" s="1"/>
  <c r="AL40" i="7"/>
  <c r="AL35" i="7"/>
  <c r="BB53" i="7"/>
  <c r="BA56" i="7"/>
  <c r="BA39" i="7"/>
  <c r="BA58" i="7"/>
  <c r="BB38" i="7"/>
  <c r="BB54" i="7"/>
  <c r="BA57" i="7"/>
  <c r="BB58" i="7" l="1"/>
  <c r="BC38" i="7"/>
  <c r="BB39" i="7"/>
  <c r="BC53" i="7"/>
  <c r="BB56" i="7"/>
  <c r="AN31" i="7"/>
  <c r="AN33" i="7" s="1"/>
  <c r="AM40" i="7"/>
  <c r="AM35" i="7"/>
  <c r="BC54" i="7"/>
  <c r="BB57" i="7"/>
  <c r="BB55" i="7"/>
  <c r="BC52" i="7"/>
  <c r="BC57" i="7" l="1"/>
  <c r="BD54" i="7"/>
  <c r="E76" i="2"/>
  <c r="BC55" i="7"/>
  <c r="C76" i="2"/>
  <c r="BD52" i="7"/>
  <c r="AO31" i="7"/>
  <c r="AO33" i="7" s="1"/>
  <c r="AN40" i="7"/>
  <c r="AN35" i="7"/>
  <c r="BD53" i="7"/>
  <c r="BC56" i="7"/>
  <c r="D76" i="2"/>
  <c r="BC39" i="7"/>
  <c r="BC58" i="7"/>
  <c r="BD38" i="7"/>
  <c r="BD39" i="7" l="1"/>
  <c r="BD58" i="7"/>
  <c r="BE38" i="7"/>
  <c r="AO40" i="7"/>
  <c r="AP31" i="7"/>
  <c r="AP33" i="7" s="1"/>
  <c r="AO35" i="7"/>
  <c r="BD56" i="7"/>
  <c r="BE53" i="7"/>
  <c r="BD55" i="7"/>
  <c r="BE52" i="7"/>
  <c r="BE54" i="7"/>
  <c r="BD57" i="7"/>
  <c r="BF54" i="7" l="1"/>
  <c r="BE57" i="7"/>
  <c r="BE55" i="7"/>
  <c r="BF52" i="7"/>
  <c r="BF53" i="7"/>
  <c r="BE56" i="7"/>
  <c r="AQ31" i="7"/>
  <c r="AQ33" i="7" s="1"/>
  <c r="AP40" i="7"/>
  <c r="AP35" i="7"/>
  <c r="BE39" i="7"/>
  <c r="BE58" i="7"/>
  <c r="BF38" i="7"/>
  <c r="BF39" i="7" l="1"/>
  <c r="BF58" i="7"/>
  <c r="BG38" i="7"/>
  <c r="AR31" i="7"/>
  <c r="AR33" i="7" s="1"/>
  <c r="AQ40" i="7"/>
  <c r="AQ35" i="7"/>
  <c r="BG53" i="7"/>
  <c r="BF56" i="7"/>
  <c r="BF55" i="7"/>
  <c r="BG52" i="7"/>
  <c r="BF57" i="7"/>
  <c r="BG54" i="7"/>
  <c r="BG57" i="7" l="1"/>
  <c r="BH54" i="7"/>
  <c r="BH53" i="7"/>
  <c r="BG56" i="7"/>
  <c r="BG55" i="7"/>
  <c r="BH52" i="7"/>
  <c r="AS31" i="7"/>
  <c r="AS33" i="7" s="1"/>
  <c r="AR40" i="7"/>
  <c r="AR35" i="7"/>
  <c r="BG39" i="7"/>
  <c r="BG58" i="7"/>
  <c r="BH38" i="7"/>
  <c r="AS40" i="7" l="1"/>
  <c r="AT31" i="7"/>
  <c r="AT33" i="7" s="1"/>
  <c r="AS35" i="7"/>
  <c r="BI52" i="7"/>
  <c r="BH55" i="7"/>
  <c r="BI53" i="7"/>
  <c r="BH56" i="7"/>
  <c r="BI38" i="7"/>
  <c r="BH39" i="7"/>
  <c r="BH58" i="7"/>
  <c r="BI54" i="7"/>
  <c r="BH57" i="7"/>
  <c r="D47" i="7" l="1"/>
  <c r="M28" i="2" s="1"/>
  <c r="BI57" i="7"/>
  <c r="E77" i="2"/>
  <c r="R58" i="8"/>
  <c r="R60" i="8" s="1"/>
  <c r="F47" i="7" s="1"/>
  <c r="N28" i="2" s="1"/>
  <c r="B47" i="7"/>
  <c r="K28" i="2" s="1"/>
  <c r="C47" i="7"/>
  <c r="L28" i="2" s="1"/>
  <c r="BI39" i="7"/>
  <c r="BI58" i="7"/>
  <c r="K4" i="7"/>
  <c r="L58" i="8"/>
  <c r="L60" i="8" s="1"/>
  <c r="E4" i="7"/>
  <c r="H4" i="7"/>
  <c r="G58" i="2" s="1"/>
  <c r="G64" i="6"/>
  <c r="BI55" i="7"/>
  <c r="C77" i="2"/>
  <c r="D45" i="7"/>
  <c r="M26" i="2" s="1"/>
  <c r="C45" i="7"/>
  <c r="L26" i="2" s="1"/>
  <c r="F58" i="8"/>
  <c r="F60" i="8" s="1"/>
  <c r="F45" i="7" s="1"/>
  <c r="N26" i="2" s="1"/>
  <c r="B45" i="7"/>
  <c r="D46" i="7"/>
  <c r="M27" i="2" s="1"/>
  <c r="BI56" i="7"/>
  <c r="D77" i="2"/>
  <c r="B46" i="7"/>
  <c r="C46" i="7"/>
  <c r="L27" i="2" s="1"/>
  <c r="AT40" i="7"/>
  <c r="AT35" i="7"/>
  <c r="AU31" i="7"/>
  <c r="AU33" i="7" s="1"/>
  <c r="T17" i="2" l="1"/>
  <c r="U17" i="2" s="1"/>
  <c r="J29" i="2"/>
  <c r="K27" i="2"/>
  <c r="J30" i="2"/>
  <c r="K26" i="2"/>
  <c r="G66" i="6"/>
  <c r="D91" i="6"/>
  <c r="C91" i="6"/>
  <c r="B43" i="14"/>
  <c r="E91" i="6"/>
  <c r="F46" i="7"/>
  <c r="N27" i="2" s="1"/>
  <c r="C41" i="14"/>
  <c r="AU40" i="7"/>
  <c r="AU35" i="7"/>
  <c r="AV31" i="7"/>
  <c r="AV33" i="7" s="1"/>
  <c r="AX26" i="7" l="1"/>
  <c r="AX28" i="7" s="1"/>
  <c r="AX32" i="7" s="1"/>
  <c r="C13" i="14"/>
  <c r="E12" i="3"/>
  <c r="AW31" i="7"/>
  <c r="AW33" i="7" s="1"/>
  <c r="AV40" i="7"/>
  <c r="AV35" i="7"/>
  <c r="B38" i="14" l="1"/>
  <c r="D38" i="14" s="1"/>
  <c r="F38" i="14" s="1"/>
  <c r="C43" i="14"/>
  <c r="D43" i="14" s="1"/>
  <c r="F43" i="14" s="1"/>
  <c r="B41" i="14"/>
  <c r="D41" i="14" s="1"/>
  <c r="F41" i="14" s="1"/>
  <c r="C36" i="14"/>
  <c r="L62" i="2"/>
  <c r="M62" i="2" s="1"/>
  <c r="T26" i="2" s="1"/>
  <c r="U26" i="2" s="1"/>
  <c r="B13" i="14"/>
  <c r="D13" i="14" s="1"/>
  <c r="F13" i="14" s="1"/>
  <c r="G61" i="2"/>
  <c r="C10" i="2"/>
  <c r="B16" i="14" s="1"/>
  <c r="D16" i="14" s="1"/>
  <c r="F16" i="14" s="1"/>
  <c r="L60" i="2"/>
  <c r="M60" i="2" s="1"/>
  <c r="T24" i="2" s="1"/>
  <c r="U24" i="2" s="1"/>
  <c r="T21" i="2"/>
  <c r="U21" i="2" s="1"/>
  <c r="T18" i="2"/>
  <c r="U18" i="2" s="1"/>
  <c r="AW35" i="7"/>
  <c r="AW40" i="7"/>
  <c r="AX31" i="7"/>
  <c r="AX33" i="7" s="1"/>
  <c r="L59" i="2" l="1"/>
  <c r="M59" i="2" s="1"/>
  <c r="T23" i="2" s="1"/>
  <c r="U23" i="2" s="1"/>
  <c r="AX40" i="7"/>
  <c r="AX35" i="7"/>
  <c r="AY31" i="7"/>
  <c r="AY33" i="7" s="1"/>
  <c r="L58" i="2"/>
  <c r="AY40" i="7" l="1"/>
  <c r="AY35" i="7"/>
  <c r="AZ31" i="7"/>
  <c r="AZ33" i="7" s="1"/>
  <c r="M58" i="2"/>
  <c r="L61" i="2"/>
  <c r="M61" i="2" s="1"/>
  <c r="T25" i="2" s="1"/>
  <c r="U25" i="2" s="1"/>
  <c r="B37" i="14" l="1"/>
  <c r="D37" i="14" s="1"/>
  <c r="F37" i="14" s="1"/>
  <c r="T22" i="2"/>
  <c r="U22" i="2" s="1"/>
  <c r="B36" i="14"/>
  <c r="D36" i="14" s="1"/>
  <c r="F36" i="14" s="1"/>
  <c r="AZ35" i="7"/>
  <c r="BA31" i="7"/>
  <c r="BA33" i="7" s="1"/>
  <c r="AZ40" i="7"/>
  <c r="BA40" i="7" l="1"/>
  <c r="BB31" i="7"/>
  <c r="BB33" i="7" s="1"/>
  <c r="BA35" i="7"/>
  <c r="BB35" i="7" l="1"/>
  <c r="BB40" i="7"/>
  <c r="BC31" i="7"/>
  <c r="BC33" i="7" s="1"/>
  <c r="BC35" i="7" l="1"/>
  <c r="BD31" i="7"/>
  <c r="BD33" i="7" s="1"/>
  <c r="BC40" i="7"/>
  <c r="BD35" i="7" l="1"/>
  <c r="BE31" i="7"/>
  <c r="BE33" i="7" s="1"/>
  <c r="BD40" i="7"/>
  <c r="BE40" i="7" l="1"/>
  <c r="BF31" i="7"/>
  <c r="BF33" i="7" s="1"/>
  <c r="BE35" i="7"/>
  <c r="BG31" i="7" l="1"/>
  <c r="BG33" i="7" s="1"/>
  <c r="BF35" i="7"/>
  <c r="BF40" i="7"/>
  <c r="BG40" i="7" l="1"/>
  <c r="BG35" i="7"/>
  <c r="BH31" i="7"/>
  <c r="BH33" i="7" s="1"/>
  <c r="BI31" i="7" l="1"/>
  <c r="BI33" i="7" s="1"/>
  <c r="BH35" i="7"/>
  <c r="BH40" i="7"/>
  <c r="BI40" i="7" l="1"/>
  <c r="C11" i="14"/>
  <c r="BI35" i="7"/>
  <c r="B11" i="14" s="1"/>
  <c r="B15" i="14"/>
  <c r="D15" i="14" s="1"/>
  <c r="F15" i="14" s="1"/>
  <c r="D11" i="14" l="1"/>
  <c r="F11" i="14" s="1"/>
  <c r="B4" i="14" s="1"/>
</calcChain>
</file>

<file path=xl/sharedStrings.xml><?xml version="1.0" encoding="utf-8"?>
<sst xmlns="http://schemas.openxmlformats.org/spreadsheetml/2006/main" count="2345" uniqueCount="1565">
  <si>
    <t>Blockmediary — 5-Year Financial Model, Launch Path &amp; Runway</t>
  </si>
  <si>
    <t>Programmable documentary escrow for SME cross-border trade. UAE launch-path and commercial refresh: 11 Aug 2026.</t>
  </si>
  <si>
    <t>TABLE OF CONTENTS</t>
  </si>
  <si>
    <t>Tabs are ordered the way the business reads: what it is, whether we can trade, how it earns, whether it works.</t>
  </si>
  <si>
    <t>Click any tab name to jump to it.</t>
  </si>
  <si>
    <t>START HERE</t>
  </si>
  <si>
    <t>README</t>
  </si>
  <si>
    <t>Orientation, table of contents, open issues.</t>
  </si>
  <si>
    <t>Dashboard</t>
  </si>
  <si>
    <t>The headline: raise, break-even, path to profitability.</t>
  </si>
  <si>
    <t>CAN WE TRADE, AND WHEN</t>
  </si>
  <si>
    <t>DIFC partner-led pilot timing, VARA scale stage, fees and restricted capital.</t>
  </si>
  <si>
    <t>HOW THE MONEY IS MADE</t>
  </si>
  <si>
    <t>Revenue and cost per deal, split by document verification tier.</t>
  </si>
  <si>
    <t>Add-on revenue streams and the retained-risk costs set against them.</t>
  </si>
  <si>
    <t>DOES IT WORK</t>
  </si>
  <si>
    <t>Five-year profit and loss for the active scenario and launch path.</t>
  </si>
  <si>
    <t>60-month cash flow: runway, funding, break-even month.</t>
  </si>
  <si>
    <t>Scenario Engine</t>
  </si>
  <si>
    <t>Low / Base / High side by side. How wide is the range of outcomes.</t>
  </si>
  <si>
    <t>WHAT IT RESTS ON</t>
  </si>
  <si>
    <t>Assumptions</t>
  </si>
  <si>
    <t>Every input in the model. The control panel — edit blue cells here.</t>
  </si>
  <si>
    <t>One-off launch spend before the business is trading.</t>
  </si>
  <si>
    <t>Sensitivity</t>
  </si>
  <si>
    <t>Risk Register</t>
  </si>
  <si>
    <t>SUPPORTING CHECKS &amp; APPENDICES</t>
  </si>
  <si>
    <t>Mechanical tie-outs; must read PASS before figures are used.</t>
  </si>
  <si>
    <t>Client Funds Memo</t>
  </si>
  <si>
    <t>SCOPE</t>
  </si>
  <si>
    <t>Blockmediary is a documentary escrow and document-verification service. It is not a lending or financing product.</t>
  </si>
  <si>
    <t>This workbook is an indicative university idea-presentation model, not a business-loan application, regulatory filing, legal opinion or investment commitment.</t>
  </si>
  <si>
    <t>Amounts are readable planning approximations. Client funds remain safeguarded and excluded from operating cash, revenue and runway.</t>
  </si>
  <si>
    <t>HOW TO USE</t>
  </si>
  <si>
    <t>2. Assumptions!C4 selects commercial performance: 1=Low, 2=Base, 3=High. The delivered presentation default is Base.</t>
  </si>
  <si>
    <t>CURRENCY</t>
  </si>
  <si>
    <t>Model base currency = GBP (£). USD-priced vendors (Anthropic, AWS, Vercel, KYC, gas) are converted at the FX rate in Assumptions (GBPUSD).</t>
  </si>
  <si>
    <t>SOURCE QUALITY KEY</t>
  </si>
  <si>
    <t>official = government / regulator / primary (GOV.UK, Companies House, FCA, HMRC, Base docs).  vendor = vendor pricing page.</t>
  </si>
  <si>
    <t>KEY MODEL BOUNDARIES</t>
  </si>
  <si>
    <t>• Base case: partner-led DIFC pilot Month 12; first receipt Month 13; VARA remains a later UAE-wide scale stage.</t>
  </si>
  <si>
    <t>• Pricing, volumes, salaries, partner terms and regulatory amounts are presentation-grade planning assumptions, not quotes.</t>
  </si>
  <si>
    <t>• Client funds remain safeguarded and excluded from revenue, operating cash, runway and the funding ask.</t>
  </si>
  <si>
    <t>• Future VARA fees and restricted capital are shown separately from the initial operating ask.</t>
  </si>
  <si>
    <t>• Confirm the final regulatory perimeter, custody/settlement responsibilities and partner fees with UAE counsel and the regulated partner.</t>
  </si>
  <si>
    <t>■  FINANCIAL MODEL DASHBOARD</t>
  </si>
  <si>
    <t>The base case funds a partner-led DIFC pilot in Month 12, with VARA expansion and restricted capital shown separately.</t>
  </si>
  <si>
    <t>Pitch deck metrics linked to model</t>
  </si>
  <si>
    <t>Slide</t>
  </si>
  <si>
    <t>Metric</t>
  </si>
  <si>
    <t>Model value</t>
  </si>
  <si>
    <t>Pitch-copy output</t>
  </si>
  <si>
    <t>Source / model link</t>
  </si>
  <si>
    <t>Deck slot</t>
  </si>
  <si>
    <t>Initial operating funding need (3-month reserve)</t>
  </si>
  <si>
    <t>First paying pilot customer</t>
  </si>
  <si>
    <t>Future VARA restricted capital</t>
  </si>
  <si>
    <t>Y5 annual revenue — Base commercial case</t>
  </si>
  <si>
    <t>7</t>
  </si>
  <si>
    <t>Settlement fee range</t>
  </si>
  <si>
    <t>Assumptions!F73:F75</t>
  </si>
  <si>
    <t>Business model card A</t>
  </si>
  <si>
    <t>monthly operating deficit plus reserve; future VARA capital excluded</t>
  </si>
  <si>
    <t>Base partner-led DIFC pilot timing</t>
  </si>
  <si>
    <t>accepted commercial assumptions and UAE launch timing</t>
  </si>
  <si>
    <t>Blended gross margin</t>
  </si>
  <si>
    <t>Bottom KPI</t>
  </si>
  <si>
    <t>Base path to profitability (£m)</t>
  </si>
  <si>
    <t>Funding stack (£m)</t>
  </si>
  <si>
    <t>Average ticket</t>
  </si>
  <si>
    <t>Revenue and EBITDA in GBP millions, Base commercial case.</t>
  </si>
  <si>
    <t>Revenue scales before the payroll/opex curve catches up.</t>
  </si>
  <si>
    <t>Initial funding stack in GBP millions; future VARA capital is excluded.</t>
  </si>
  <si>
    <t>Monthly-model deficit, reserve and restricted capital.</t>
  </si>
  <si>
    <t>Processed deals</t>
  </si>
  <si>
    <t>11</t>
  </si>
  <si>
    <t>Y3 annual revenue range</t>
  </si>
  <si>
    <t>Top KPI card</t>
  </si>
  <si>
    <t>Y3 active customers range</t>
  </si>
  <si>
    <t>Monthly cash-flow breakeven</t>
  </si>
  <si>
    <t>Initial funding need</t>
  </si>
  <si>
    <t>Blended escrow take rate</t>
  </si>
  <si>
    <t>Key assumptions</t>
  </si>
  <si>
    <t>Tier A adoption</t>
  </si>
  <si>
    <t>Assumptions!D64,D160</t>
  </si>
  <si>
    <t>13</t>
  </si>
  <si>
    <t>Initial operating funding</t>
  </si>
  <si>
    <t>Total seed raise</t>
  </si>
  <si>
    <t>Monthly cumulative operating cash (£m)</t>
  </si>
  <si>
    <t>Engineering &amp; product</t>
  </si>
  <si>
    <t>Dashboard!J58:M58</t>
  </si>
  <si>
    <t>Use of funds</t>
  </si>
  <si>
    <t>Ending cash balance in GBP millions at 6-month checkpoints.</t>
  </si>
  <si>
    <t>Six-month checkpoints avoid unreadable 60-label charts.</t>
  </si>
  <si>
    <t>Scenario readout</t>
  </si>
  <si>
    <t>Ops, people &amp; G&amp;A</t>
  </si>
  <si>
    <t>Dashboard!J59:M59</t>
  </si>
  <si>
    <t>Break-even timing and funding gap by scenario.</t>
  </si>
  <si>
    <t>Break-even timing and funding gap by case.</t>
  </si>
  <si>
    <t>Compliance, legal &amp; regulatory</t>
  </si>
  <si>
    <t>Dashboard!J60:M60</t>
  </si>
  <si>
    <t>Case</t>
  </si>
  <si>
    <t>Monthly BE</t>
  </si>
  <si>
    <t>Peak gap</t>
  </si>
  <si>
    <t>M60 cash</t>
  </si>
  <si>
    <t>Funding ask</t>
  </si>
  <si>
    <t>GTM &amp; acquisition</t>
  </si>
  <si>
    <t>Dashboard!J61:M61</t>
  </si>
  <si>
    <t>Low</t>
  </si>
  <si>
    <t>Working capital + contingency</t>
  </si>
  <si>
    <t>Dashboard!J62:M62</t>
  </si>
  <si>
    <t>Base</t>
  </si>
  <si>
    <t>Scale-stage callout</t>
  </si>
  <si>
    <t>High</t>
  </si>
  <si>
    <t>IMPLIED CUSTOMER ACQUISITION COST — FIVE-YEAR VIEW</t>
  </si>
  <si>
    <t>Loaded Sales/BD/CS compensation + marketing + CRM ÷ gross new customers. Y1 includes the launch build-out.</t>
  </si>
  <si>
    <t>Year</t>
  </si>
  <si>
    <t>Implied CAC</t>
  </si>
  <si>
    <t>Gross new customers</t>
  </si>
  <si>
    <t>New customers / Sales FTE</t>
  </si>
  <si>
    <t>Capacity readout</t>
  </si>
  <si>
    <t>Y1</t>
  </si>
  <si>
    <t>Y2</t>
  </si>
  <si>
    <t>Y3</t>
  </si>
  <si>
    <t>Y4</t>
  </si>
  <si>
    <t>Y5</t>
  </si>
  <si>
    <t>Y1 is intentionally high: one acquired customer carries the launch-year commercial build-out.</t>
  </si>
  <si>
    <t>Planning cross-check, not observed CAC. AI-enabled staffing ramp targets &lt;=250 gross new customers per Sales/BD/CS FTE (Assumptions C191:G191).</t>
  </si>
  <si>
    <t>• No lending spread, FX trading revenue, or balance-sheet credit risk is modelled.</t>
  </si>
  <si>
    <t>• Tier C paper collection is a priced fallback, not the strategic scale path.</t>
  </si>
  <si>
    <t>Base path helper</t>
  </si>
  <si>
    <t>Use of funds helper</t>
  </si>
  <si>
    <t>Use of funds allocation helper</t>
  </si>
  <si>
    <t>Revenue</t>
  </si>
  <si>
    <t>EBITDA</t>
  </si>
  <si>
    <t>Category</t>
  </si>
  <si>
    <t>Amount</t>
  </si>
  <si>
    <t>Pre-scale cost driver</t>
  </si>
  <si>
    <t>Share</t>
  </si>
  <si>
    <t>Peak operating deficit</t>
  </si>
  <si>
    <t>Operating reserve</t>
  </si>
  <si>
    <t>Initial restricted capital</t>
  </si>
  <si>
    <t>Initial operating funding need</t>
  </si>
  <si>
    <t>Cash runway helper</t>
  </si>
  <si>
    <t>Checkpoint</t>
  </si>
  <si>
    <t>LAUNCH READINESS — DIFC PARTNER PILOT TO VARA SCALE</t>
  </si>
  <si>
    <t>Presentation planning model. Base case assumes a paid partner-led DIFC pilot in Month 12 and later VARA expansion; all permissions and fees remain subject to UAE counsel, partner and regulator confirmation.</t>
  </si>
  <si>
    <t>DECISION INPUTS</t>
  </si>
  <si>
    <t>ACTIVE BASE-CASE OUTPUTS</t>
  </si>
  <si>
    <t>Timing case (1=Early, 2=Base, 3=Delayed)</t>
  </si>
  <si>
    <t>Route</t>
  </si>
  <si>
    <t>DIFC partner-led pilot → VARA expansion</t>
  </si>
  <si>
    <t>Operating reserve (months)</t>
  </si>
  <si>
    <t>First paying pilot</t>
  </si>
  <si>
    <t>Cash receipt lag (months)</t>
  </si>
  <si>
    <t>Pre-revenue period</t>
  </si>
  <si>
    <t>DIFC / regulated-partner pilot one-off (£)****</t>
  </si>
  <si>
    <t>Pilot regulatory / onboarding one-off</t>
  </si>
  <si>
    <t>Partner-pilot annual fees and oversight (£)****</t>
  </si>
  <si>
    <t>Pilot annual partner / regulatory run-rate</t>
  </si>
  <si>
    <t>Pre-pilot share of partner run-rate</t>
  </si>
  <si>
    <t>Partner onboarding / application start month</t>
  </si>
  <si>
    <t>First cash receipt</t>
  </si>
  <si>
    <t>VARA application fee placeholder* (AED)</t>
  </si>
  <si>
    <t>VARA annual supervision placeholder** (AED)</t>
  </si>
  <si>
    <t>Average pre-revenue operating burn</t>
  </si>
  <si>
    <t>VARA restricted-capital placeholder*** (AED)</t>
  </si>
  <si>
    <t>VARA scale target</t>
  </si>
  <si>
    <t>VARA application start</t>
  </si>
  <si>
    <t>AED per USD*****</t>
  </si>
  <si>
    <t>Future VARA application fees</t>
  </si>
  <si>
    <t>Future VARA annual supervision</t>
  </si>
  <si>
    <t>TIMING CASES — ONE SEQUENTIAL UAE ROUTE</t>
  </si>
  <si>
    <t>Timing</t>
  </si>
  <si>
    <t>Latest pilot gate finish</t>
  </si>
  <si>
    <t>First paid pilot</t>
  </si>
  <si>
    <t>First receipt</t>
  </si>
  <si>
    <t>VARA target</t>
  </si>
  <si>
    <t>Planning interpretation</t>
  </si>
  <si>
    <t>Early</t>
  </si>
  <si>
    <t>Sensitivity: faster partner and regulator approvals.</t>
  </si>
  <si>
    <t>Presentation base: one year to first paid pilot, then VARA scale.</t>
  </si>
  <si>
    <t>Delayed</t>
  </si>
  <si>
    <t>Sensitivity: rework, partner conditions or regulatory delay.</t>
  </si>
  <si>
    <t>LAUNCH PHASING BY MODEL YEAR</t>
  </si>
  <si>
    <t>Year 1</t>
  </si>
  <si>
    <t>Year 2</t>
  </si>
  <si>
    <t>Year 3</t>
  </si>
  <si>
    <t>Year 4</t>
  </si>
  <si>
    <t>Year 5</t>
  </si>
  <si>
    <t>Revenue-active months</t>
  </si>
  <si>
    <t>Pre-revenue months</t>
  </si>
  <si>
    <t>Revenue activity factor</t>
  </si>
  <si>
    <t>Partner / application phase months</t>
  </si>
  <si>
    <t>Pre-pilot partner cost factor</t>
  </si>
  <si>
    <t>VARA operating months</t>
  </si>
  <si>
    <t>VARA annual fee factor</t>
  </si>
  <si>
    <t>VARA application fee timing</t>
  </si>
  <si>
    <t>Partner-pilot annual fee factor</t>
  </si>
  <si>
    <t>WORKFORCE TIMING — EXPLICIT AND INDEPENDENT OF LAUNCH DATE</t>
  </si>
  <si>
    <t>Role</t>
  </si>
  <si>
    <t>Start month</t>
  </si>
  <si>
    <t>Cost treatment</t>
  </si>
  <si>
    <t>Founders</t>
  </si>
  <si>
    <t>Core team from Month 1</t>
  </si>
  <si>
    <t>Engineering</t>
  </si>
  <si>
    <t>Production hardening; not delayed by launch case</t>
  </si>
  <si>
    <t>Compliance</t>
  </si>
  <si>
    <t>Internal control ownership from Month 1</t>
  </si>
  <si>
    <t>Sales</t>
  </si>
  <si>
    <t>Pilot contracting and commercial preparation</t>
  </si>
  <si>
    <t>CUSTOMER-LAUNCH CRITICAL PATH</t>
  </si>
  <si>
    <t>Workstream</t>
  </si>
  <si>
    <t>Finish month</t>
  </si>
  <si>
    <t>Customer-blocking?</t>
  </si>
  <si>
    <t>Readout</t>
  </si>
  <si>
    <t>UAE regulatory perimeter (incl. payment-token treatment)</t>
  </si>
  <si>
    <t>Yes</t>
  </si>
  <si>
    <t>Counsel and partner confirm the permitted pilot structure, token treatment and regulated entity.</t>
  </si>
  <si>
    <t>DIFC pilot structure and partner term sheet</t>
  </si>
  <si>
    <t>Executed terms define fees, customer contract, liability and pilot limits.</t>
  </si>
  <si>
    <t>Custody, settlement and responsibility matrix</t>
  </si>
  <si>
    <t>Responsibilities for funds, release controls, complaints and reporting are agreed.</t>
  </si>
  <si>
    <t>KYB, sanctions, monitoring and review SOPs</t>
  </si>
  <si>
    <t>Provider, escalation route, reviewer process and audit evidence are operational.</t>
  </si>
  <si>
    <t>Production security, contract audit and API hardening</t>
  </si>
  <si>
    <t>Smart-contract audit, key controls, rate limits, CORS and partner API readiness.</t>
  </si>
  <si>
    <t>Escrow agreement, disputes, testing and go-live approval</t>
  </si>
  <si>
    <t>Contract pack, objection/dispute handling and limited-pilot testing are approved.</t>
  </si>
  <si>
    <t>Milestone</t>
  </si>
  <si>
    <t>Paid partner-led DIFC pilot begins.</t>
  </si>
  <si>
    <t>VARA application and UAE-wide approval</t>
  </si>
  <si>
    <t>No for pilot; yes for scale</t>
  </si>
  <si>
    <t>Future scale stage; capital remains restricted and separate from pilot runway.</t>
  </si>
  <si>
    <t>SOURCES &amp; MODEL BOUNDARIES</t>
  </si>
  <si>
    <t>Item</t>
  </si>
  <si>
    <t>Basis</t>
  </si>
  <si>
    <t>Source</t>
  </si>
  <si>
    <t>Model treatment / boundary</t>
  </si>
  <si>
    <t>UAE licensing route</t>
  </si>
  <si>
    <t>Planning route</t>
  </si>
  <si>
    <t>docs/Dubai_Fintech_License_Requirements.md</t>
  </si>
  <si>
    <t>DIFC partner-led pilot first; VARA approval is a later UAE-scale gate. Confirm the final perimeter with UAE counsel and the regulated partner.</t>
  </si>
  <si>
    <t>VARA application fee*</t>
  </si>
  <si>
    <t>Placeholder</t>
  </si>
  <si>
    <t>https://rulebooks.vara.ae/rulebook/schedule-2-supervision-and-authorisation-fees</t>
  </si>
  <si>
    <t>AED 200k is rounded. Published activity ordering may imply about AED 170k; confirm the required permissions and extension fees.</t>
  </si>
  <si>
    <t>VARA annual supervision**</t>
  </si>
  <si>
    <t>AED 480k assumes Custody (200k), Transfer &amp; Settlement (80k) and Broker-Dealer (200k) each year.</t>
  </si>
  <si>
    <t>VARA restricted capital***</t>
  </si>
  <si>
    <t>https://rulebooks.vara.ae/rulebook/b-paid-capital</t>
  </si>
  <si>
    <t>AED 1.5m sums three activity floors (600k + 500k + 400k). VARA applies the higher of each floor or its overhead test; fewer activities would reduce the total.</t>
  </si>
  <si>
    <t>Partner-pilot costs****</t>
  </si>
  <si>
    <t>Management estimate</t>
  </si>
  <si>
    <t>£60k setup and £67k annual oversight are internal allowances, pending the partner term sheet and responsibility matrix.</t>
  </si>
  <si>
    <t>FX conversion*****</t>
  </si>
  <si>
    <t>Planning FX</t>
  </si>
  <si>
    <t>https://centralbank.ae/en/forex-eibor/exchange-rates/</t>
  </si>
  <si>
    <t>AED/USD 3.6725 peg; GBP/USD 1.28 planning cross-rate as at 10 Aug 2026.</t>
  </si>
  <si>
    <t>Competitor pricing</t>
  </si>
  <si>
    <t>Management pricing</t>
  </si>
  <si>
    <t>docs/Competitor-analysis.md</t>
  </si>
  <si>
    <t>The 0.8%–3.0% take rates are management hypotheses informed by listed competitors; validate through paid pilots.</t>
  </si>
  <si>
    <t>Production readiness</t>
  </si>
  <si>
    <t>Internal specification</t>
  </si>
  <si>
    <t>docs/technical-requirements.md</t>
  </si>
  <si>
    <t>Partner API, security controls, testing and audit evidence are required before live use.</t>
  </si>
  <si>
    <t>Tier Economics - revenue, cost and risk by document-intake tier</t>
  </si>
  <si>
    <t>Tier A eBL Y1</t>
  </si>
  <si>
    <t>Tier B API Y1</t>
  </si>
  <si>
    <t>Tier C Paper Y1</t>
  </si>
  <si>
    <t>Total Y1</t>
  </si>
  <si>
    <t>Tier A eBL Y2</t>
  </si>
  <si>
    <t>Tier B API Y2</t>
  </si>
  <si>
    <t>Tier C Paper Y2</t>
  </si>
  <si>
    <t>Total Y2</t>
  </si>
  <si>
    <t>Tier A eBL Y3</t>
  </si>
  <si>
    <t>Tier B API Y3</t>
  </si>
  <si>
    <t>Tier C Paper Y3</t>
  </si>
  <si>
    <t>Total Y3</t>
  </si>
  <si>
    <t>Tier A eBL Y4</t>
  </si>
  <si>
    <t>Tier B API Y4</t>
  </si>
  <si>
    <t>Tier C Paper Y4</t>
  </si>
  <si>
    <t>Total Y4</t>
  </si>
  <si>
    <t>Tier A eBL Y5</t>
  </si>
  <si>
    <t>Tier B API Y5</t>
  </si>
  <si>
    <t>Tier C Paper Y5</t>
  </si>
  <si>
    <t>Total Y5</t>
  </si>
  <si>
    <t>Tier mix</t>
  </si>
  <si>
    <t>Deals</t>
  </si>
  <si>
    <t>Docs per deal</t>
  </si>
  <si>
    <t>Documents processed</t>
  </si>
  <si>
    <t>Avg deal value*</t>
  </si>
  <si>
    <t>GMV</t>
  </si>
  <si>
    <t>Escrow take rate**</t>
  </si>
  <si>
    <t>Minimum escrow fee***</t>
  </si>
  <si>
    <t>Escrow fee revenue</t>
  </si>
  <si>
    <t>Doc/review fee per deal</t>
  </si>
  <si>
    <t>Doc/review revenue</t>
  </si>
  <si>
    <t>Dispute rate</t>
  </si>
  <si>
    <t>Disputed deals</t>
  </si>
  <si>
    <t>Dispute/amendment fee</t>
  </si>
  <si>
    <t>Dispute/amendment revenue</t>
  </si>
  <si>
    <t>External eBL/API/paper cost</t>
  </si>
  <si>
    <t>Human review cost</t>
  </si>
  <si>
    <t>Support cost</t>
  </si>
  <si>
    <t>Dispute handling cost</t>
  </si>
  <si>
    <t>Total tier-specific COGS</t>
  </si>
  <si>
    <t>Tier revenue</t>
  </si>
  <si>
    <t>Gross profit before shared COGS</t>
  </si>
  <si>
    <t>Gross margin</t>
  </si>
  <si>
    <t>Weighted risk score</t>
  </si>
  <si>
    <t>SLA days</t>
  </si>
  <si>
    <t>Tier mix sums check</t>
  </si>
  <si>
    <t>Pricing / risk profile</t>
  </si>
  <si>
    <t>Fastest / lowest risk</t>
  </si>
  <si>
    <t>Core verified tier</t>
  </si>
  <si>
    <t>Highest cost / highest risk</t>
  </si>
  <si>
    <t>Portfolio blend</t>
  </si>
  <si>
    <t>Notes</t>
  </si>
  <si>
    <t>*Year-1 deal values (£35k Tier A; £30k Tier B/C) and 10%/8%/5% annual growth are triangulated planning averages, not observed tier-level transaction data. The research report documents the proxies, judgement and confidence limits.</t>
  </si>
  <si>
    <t>../docs/Blockmediary_Deal_Value_Research_Report.pdf</t>
  </si>
  <si>
    <t>**Take rates of 0.8%/1.5%/3.0% are management pricing choices informed by Tazapay, Truzo, XREX, Escrow.com and bank-LC comparables. They are paid-pilot hypotheses, not competitor quotations.</t>
  </si>
  <si>
    <t>../docs/Competitor-analysis.md</t>
  </si>
  <si>
    <t>***Minimum fees (£150/£250/£500) are internal floors intended to protect contribution margin on smaller deals; no external tariff is being claimed. Validate conversion and willingness-to-pay in the pilot.</t>
  </si>
  <si>
    <t>Management assumption — pilot validation required</t>
  </si>
  <si>
    <t>Revenue add-ons and retained-risk offsets</t>
  </si>
  <si>
    <t>Line item</t>
  </si>
  <si>
    <t>Logic / note</t>
  </si>
  <si>
    <t>REVENUE ADD-ONS</t>
  </si>
  <si>
    <t>Less: first-deal discounts and credits</t>
  </si>
  <si>
    <t>Expedited review fees</t>
  </si>
  <si>
    <t>KYC/KYB onboarding fees</t>
  </si>
  <si>
    <t>Fresh onboarding only; repeat counterparties not recharged every deal</t>
  </si>
  <si>
    <t>Tier C forensics pass-through margin</t>
  </si>
  <si>
    <t>Tier C courier/original handling fees</t>
  </si>
  <si>
    <t>Discrepancy cure / waiver fees</t>
  </si>
  <si>
    <t>Partner setup / integration fees</t>
  </si>
  <si>
    <t>Setup fees charged on net-new partners only</t>
  </si>
  <si>
    <t>Monthly minimum / committed volume fees</t>
  </si>
  <si>
    <t>Monthly minimum uses live partner count by year</t>
  </si>
  <si>
    <t>Archive / audit record fees</t>
  </si>
  <si>
    <t>Total additional revenue</t>
  </si>
  <si>
    <t>RETAINED-RISK VARIABLE COSTS</t>
  </si>
  <si>
    <t>QA sampling + &gt;£50k mandatory review</t>
  </si>
  <si>
    <t>QA sampling plus deal count × share above £50k × incremental review cost</t>
  </si>
  <si>
    <t>External dispute forum cost</t>
  </si>
  <si>
    <t>Operational error / wrongful-release reserve</t>
  </si>
  <si>
    <t>Partner/channel commission</t>
  </si>
  <si>
    <t>Fee collection leakage</t>
  </si>
  <si>
    <t>Partner/API outage fallback</t>
  </si>
  <si>
    <t>Total variable retained-risk costs</t>
  </si>
  <si>
    <t>RETAINED-RISK FIXED COSTS</t>
  </si>
  <si>
    <t>Carrier/eBL integration maintenance</t>
  </si>
  <si>
    <t>Forensics partner retainer</t>
  </si>
  <si>
    <t>Fraud database build / governance</t>
  </si>
  <si>
    <t>KMS / multisig / key security ops</t>
  </si>
  <si>
    <t>Regulatory reporting ops</t>
  </si>
  <si>
    <t>Insurance deductible reserve</t>
  </si>
  <si>
    <t>Smart contract incident reserve</t>
  </si>
  <si>
    <t>Liability wording legal review</t>
  </si>
  <si>
    <t>Document-source indemnity legal review</t>
  </si>
  <si>
    <t>Total fixed retained-risk costs</t>
  </si>
  <si>
    <t>5-Year P&amp;L (annual) - driven by Assumptions sheet</t>
  </si>
  <si>
    <t>All figures GBP. Revenue &amp; COGS scale with deal volume. Active scenario shown; change Assumptions!C4.</t>
  </si>
  <si>
    <t>Unit / note</t>
  </si>
  <si>
    <t>VOLUME &amp; DRIVERS</t>
  </si>
  <si>
    <t>Deals processed</t>
  </si>
  <si>
    <t>From Assumptions</t>
  </si>
  <si>
    <t>Avg deal value (£)</t>
  </si>
  <si>
    <t>GMV per deal</t>
  </si>
  <si>
    <t>Gross trade value processed (GMV)</t>
  </si>
  <si>
    <t>Deals × avg value (NOT revenue)</t>
  </si>
  <si>
    <t>New counterparties onboarded</t>
  </si>
  <si>
    <t>Deals x parties/deal x new-counterparty onboarding share</t>
  </si>
  <si>
    <t>Disputed/amended deals</t>
  </si>
  <si>
    <t>Tier-weighted dispute rates</t>
  </si>
  <si>
    <t>REVENUE</t>
  </si>
  <si>
    <t>Gross escrow transaction fees</t>
  </si>
  <si>
    <t>Tiered fee by A/B/C mix, before launch discounts</t>
  </si>
  <si>
    <t>Shown separately so discounts do not make add-on revenue negative</t>
  </si>
  <si>
    <t>Document + dispute / amendment fees</t>
  </si>
  <si>
    <t>Tiered document and dispute / amendment fees</t>
  </si>
  <si>
    <t>Partner/API + other operating add-ons</t>
  </si>
  <si>
    <t>SaaS/API, setup/minimums, KYC, archive, expedited and Tier C pass-through</t>
  </si>
  <si>
    <t>Total revenue</t>
  </si>
  <si>
    <t>Sum of revenue lines</t>
  </si>
  <si>
    <t>COGS / VARIABLE COSTS</t>
  </si>
  <si>
    <t>Claude API (doc extraction)</t>
  </si>
  <si>
    <t>USD→GBP</t>
  </si>
  <si>
    <t>KYB business onboarding</t>
  </si>
  <si>
    <t>Fresh KYB only for new counterparties</t>
  </si>
  <si>
    <t>KYC/UBO + sanctions onboarding</t>
  </si>
  <si>
    <t>Fresh KYC/KYB only for new counterparties</t>
  </si>
  <si>
    <t>Tiered document verification ops</t>
  </si>
  <si>
    <t>External eBL/API/paper + human examiner cost</t>
  </si>
  <si>
    <t>Blockchain gas</t>
  </si>
  <si>
    <t>Base L2 USD→GBP</t>
  </si>
  <si>
    <t>RPC / node provider</t>
  </si>
  <si>
    <t>Deals x RPC cost; USD to GBP</t>
  </si>
  <si>
    <t>Document / ledger storage</t>
  </si>
  <si>
    <t>Deals x storage cost; USD to GBP</t>
  </si>
  <si>
    <t>Customer support</t>
  </si>
  <si>
    <t>Tiered support load</t>
  </si>
  <si>
    <t>Dispute handling + retained-risk variable costs</t>
  </si>
  <si>
    <t>Dispute handling plus QA, forum, reserves, commissions, fallback, leakage</t>
  </si>
  <si>
    <t>Total COGS</t>
  </si>
  <si>
    <t>Sum of COGS lines</t>
  </si>
  <si>
    <t>Gross profit</t>
  </si>
  <si>
    <t>Total revenue minus total COGS</t>
  </si>
  <si>
    <t>Gross margin %</t>
  </si>
  <si>
    <t>Gross profit / revenue</t>
  </si>
  <si>
    <t>HEADCOUNT &amp; PAYROLL</t>
  </si>
  <si>
    <t>Founders (FTE)</t>
  </si>
  <si>
    <t>Founder headcount held flat</t>
  </si>
  <si>
    <t>Engineers (FTE)</t>
  </si>
  <si>
    <t>Ramp +1/yr</t>
  </si>
  <si>
    <t>Compliance/ops (FTE)</t>
  </si>
  <si>
    <t>Ramp</t>
  </si>
  <si>
    <t>Sales/BD/CS (FTE)</t>
  </si>
  <si>
    <t>Explicit AI-enabled ramp from Assumptions C191:G191</t>
  </si>
  <si>
    <t>Total FTE</t>
  </si>
  <si>
    <t>Founders + engineers + compliance/ops + sales/BD/CS</t>
  </si>
  <si>
    <t>Gross salaries</t>
  </si>
  <si>
    <t>FTE × salary</t>
  </si>
  <si>
    <t>Employer NI</t>
  </si>
  <si>
    <t>15% above threshold, less Employment Allowance; confirm eligibility</t>
  </si>
  <si>
    <t>Employer pension</t>
  </si>
  <si>
    <t>Gross salaries x pension contribution</t>
  </si>
  <si>
    <t>Other employment on-costs</t>
  </si>
  <si>
    <t>Gross salaries x other employment on-costs</t>
  </si>
  <si>
    <t>Total payroll cost</t>
  </si>
  <si>
    <t>Gross salaries + employer NI + pension + other on-costs</t>
  </si>
  <si>
    <t>FIXED OPERATING COSTS (annual = monthly ×12)</t>
  </si>
  <si>
    <t>Cloud hosting (Vercel/AWS)</t>
  </si>
  <si>
    <t>Monthly base × scale factor</t>
  </si>
  <si>
    <t>Database + object storage</t>
  </si>
  <si>
    <t>Monitoring/logging/security tools</t>
  </si>
  <si>
    <t>GitHub + dev SaaS</t>
  </si>
  <si>
    <t>Monthly base × FTE scale</t>
  </si>
  <si>
    <t>Google Workspace / collab</t>
  </si>
  <si>
    <t>CRM + BD tooling</t>
  </si>
  <si>
    <t>Monthly base × sales/BD scale</t>
  </si>
  <si>
    <t>Accounting/payroll/bookkeeping</t>
  </si>
  <si>
    <t>Legal retainer (ongoing)</t>
  </si>
  <si>
    <t>Monthly base × complexity scale</t>
  </si>
  <si>
    <t>Compliance / MLRO + retained-risk + staged UAE fees</t>
  </si>
  <si>
    <t>Internal compliance payroll is separate; this line contains MLRO support, retained-risk costs, partner-pilot fees and later VARA supervision.</t>
  </si>
  <si>
    <t>Marketing / conferences / partnerships</t>
  </si>
  <si>
    <t>Office / coworking</t>
  </si>
  <si>
    <t>Insurance (PI+cyber+D&amp;O) / mo</t>
  </si>
  <si>
    <t>Year 1 prepaid; Years 2–3 monthly ×12</t>
  </si>
  <si>
    <t>Total fixed opex</t>
  </si>
  <si>
    <t>Sum of fixed opex lines</t>
  </si>
  <si>
    <t>ONE-OFF &amp; STARTUP COSTS</t>
  </si>
  <si>
    <t>Startup + staged UAE regulatory one-off costs</t>
  </si>
  <si>
    <t>Core startup spend, pilot onboarding cost and later VARA application fees.</t>
  </si>
  <si>
    <t>RESULT</t>
  </si>
  <si>
    <t>Total operating expenditure</t>
  </si>
  <si>
    <t>Payroll+opex+one-off</t>
  </si>
  <si>
    <t>EBITDA (pre one-off)</t>
  </si>
  <si>
    <t>Gross profit − payroll − opex</t>
  </si>
  <si>
    <t>Net profit / (loss) incl. one-off</t>
  </si>
  <si>
    <t>Gross profit minus total operating expenditure</t>
  </si>
  <si>
    <t>Cumulative net result</t>
  </si>
  <si>
    <t>Running total</t>
  </si>
  <si>
    <t>Peak cumulative operating deficit</t>
  </si>
  <si>
    <t>Peak monthly-model operating deficit through each year</t>
  </si>
  <si>
    <t>Operating reserve target</t>
  </si>
  <si>
    <t>Selected reserve months × launch-year payroll and fixed opex</t>
  </si>
  <si>
    <t>Operating funding ask incl. reserve</t>
  </si>
  <si>
    <t>Monthly-model cash need plus operating reserve</t>
  </si>
  <si>
    <t>COMMERCIAL SCALE &amp; ACQUISITION CHECK</t>
  </si>
  <si>
    <t>Deals / active customer / year</t>
  </si>
  <si>
    <t>Commercial sanity check from Assumptions</t>
  </si>
  <si>
    <t>Implied active customers</t>
  </si>
  <si>
    <t>Deals / deals per active customer</t>
  </si>
  <si>
    <t>Revenue / deal</t>
  </si>
  <si>
    <t>Total revenue / deals</t>
  </si>
  <si>
    <t>Revenue / active customer</t>
  </si>
  <si>
    <t>Total revenue / implied customers</t>
  </si>
  <si>
    <t>VAT registration flag</t>
  </si>
  <si>
    <t>Revenue &gt; threshold</t>
  </si>
  <si>
    <t>Gross margin sanity check</t>
  </si>
  <si>
    <t>Warn if &gt;90% and tiered document-verification COGS is nonzero</t>
  </si>
  <si>
    <t>Gross new customers / Sales-BD-CS FTE</t>
  </si>
  <si>
    <t>Capacity warning above Assumptions!F190; target volumes still drive revenue</t>
  </si>
  <si>
    <t>CUSTOMER RETENTION — REQUIRED ACQUISITION CHECK</t>
  </si>
  <si>
    <t>Target ending active customers</t>
  </si>
  <si>
    <t>Net commercial target implied by annual deal volume.</t>
  </si>
  <si>
    <t>Beginning active customers</t>
  </si>
  <si>
    <t>Prior-year ending cohort; Year 1 begins at zero.</t>
  </si>
  <si>
    <t>Annual customer churn rate</t>
  </si>
  <si>
    <t>Prior-year ending cohort; revenue remains driven by the selected deal-volume target.</t>
  </si>
  <si>
    <t>Churned customers</t>
  </si>
  <si>
    <t>Opening customers expected to leave during the year.</t>
  </si>
  <si>
    <t>Retained opening customers</t>
  </si>
  <si>
    <t>Opening customers remaining after churn.</t>
  </si>
  <si>
    <t>Gross new customers required</t>
  </si>
  <si>
    <t>New logos required to achieve the net ending-customer target.</t>
  </si>
  <si>
    <t>Ending active customers</t>
  </si>
  <si>
    <t>Retained opening customers plus gross new customers.</t>
  </si>
  <si>
    <t>Bridge check</t>
  </si>
  <si>
    <t>Must equal zero in every year.</t>
  </si>
  <si>
    <t>RUNWAY RESERVE SENSITIVITY</t>
  </si>
  <si>
    <t>Planning sensitivity; base case remains 3 months</t>
  </si>
  <si>
    <t>Launch-year payroll plus fixed operating costs</t>
  </si>
  <si>
    <t>Operating funding need</t>
  </si>
  <si>
    <t>Peak monthly operating deficit plus reserve; future VARA capital separate</t>
  </si>
  <si>
    <t>CASH FLOW STATEMENT — MONTHLY 60-MONTH PROJECTION</t>
  </si>
  <si>
    <t>Base case: paid partner-led DIFC pilot in Month 12; one-month receipt lag; future VARA fees and restricted capital staged separately from the initial operating ask.</t>
  </si>
  <si>
    <t>Peak monthly-model operating deficit</t>
  </si>
  <si>
    <t>Month 60 cumulative operating cash</t>
  </si>
  <si>
    <t>Active scenario</t>
  </si>
  <si>
    <t>Cash-flow break-even month</t>
  </si>
  <si>
    <t>Month #</t>
  </si>
  <si>
    <t>Model year</t>
  </si>
  <si>
    <t>Month in year</t>
  </si>
  <si>
    <t>Period</t>
  </si>
  <si>
    <t>CASH FLOWS FROM OPERATING ACTIVITIES</t>
  </si>
  <si>
    <t>Customer receipts</t>
  </si>
  <si>
    <t>Revenue receipts are phased after Year 1 pre-revenue months; Years 2-5 are straight-lined monthly.</t>
  </si>
  <si>
    <t>Variable COGS cash payments</t>
  </si>
  <si>
    <t>COGS follows the same revenue phasing.</t>
  </si>
  <si>
    <t>Gross operating cash margin</t>
  </si>
  <si>
    <t>Payroll cash payments</t>
  </si>
  <si>
    <t>Fixed opex cash payments</t>
  </si>
  <si>
    <t>Startup / one-off cash payments</t>
  </si>
  <si>
    <t>Operating working capital (client escrow excluded)</t>
  </si>
  <si>
    <t>Client escrow funds remain restricted/off-balance-sheet; no settlement float benefit is modelled.</t>
  </si>
  <si>
    <t>Net cash from operating activities</t>
  </si>
  <si>
    <t>CASH FLOWS FROM INVESTING ACTIVITIES</t>
  </si>
  <si>
    <t>Capitalised development / capex</t>
  </si>
  <si>
    <t>Net cash from investing activities</t>
  </si>
  <si>
    <t>CASH FLOWS FROM FINANCING ACTIVITIES</t>
  </si>
  <si>
    <t>External funding raised — operating need plus separately timed restricted capital</t>
  </si>
  <si>
    <t>Raised in month 1 of any year when the cumulative funding ask steps up.</t>
  </si>
  <si>
    <t>Restricted regulatory capital placed</t>
  </si>
  <si>
    <t>Funding-only contingency reserve is separated from unrestricted operating cash.</t>
  </si>
  <si>
    <t>Net cash from financing activities</t>
  </si>
  <si>
    <t>CASH RECONCILIATION</t>
  </si>
  <si>
    <t>Opening unrestricted cash</t>
  </si>
  <si>
    <t>Net change in unrestricted cash</t>
  </si>
  <si>
    <t>Closing unrestricted cash</t>
  </si>
  <si>
    <t>Restricted regulatory capital held</t>
  </si>
  <si>
    <t>Total cash incl. restricted capital</t>
  </si>
  <si>
    <t>BREAKEVEN / RUNWAY</t>
  </si>
  <si>
    <t>Operating cumulative cash flow before financing</t>
  </si>
  <si>
    <t>This is the monthly cash-flow break-even test before external financing.</t>
  </si>
  <si>
    <t>Cash-flow break-even status</t>
  </si>
  <si>
    <t>Runway warning</t>
  </si>
  <si>
    <t>Scenario comparison - monthly cash-flow break-even</t>
  </si>
  <si>
    <t>Scenario</t>
  </si>
  <si>
    <t>EBITDA break-even</t>
  </si>
  <si>
    <t>Funding ask incl. reserve</t>
  </si>
  <si>
    <t>Scenario cumulative operating cash flow before financing - monthly</t>
  </si>
  <si>
    <t>Low break-even helper</t>
  </si>
  <si>
    <t>Base break-even helper</t>
  </si>
  <si>
    <t>High break-even helper</t>
  </si>
  <si>
    <t>Active break-even helper</t>
  </si>
  <si>
    <t>Scenario Engine — Low / Base / High in one sheet</t>
  </si>
  <si>
    <t>only two things vary by scenario: deal count and tier mix. Everything else is the fixed price book in Assumptions column F, so it is computed once per scenario-year rather than in three parallel P&amp;Ls.</t>
  </si>
  <si>
    <t>LOW SCENARIO</t>
  </si>
  <si>
    <t>BASE SCENARIO</t>
  </si>
  <si>
    <t>HIGH SCENARIO</t>
  </si>
  <si>
    <t>Avg deal value (GBP)</t>
  </si>
  <si>
    <t>Tier A eBL mix</t>
  </si>
  <si>
    <t>Tier B carrier/API mix</t>
  </si>
  <si>
    <t>Tier C paper mix</t>
  </si>
  <si>
    <t>Disputed / amended deals</t>
  </si>
  <si>
    <t>Escrow transaction fees</t>
  </si>
  <si>
    <t>Document review fees</t>
  </si>
  <si>
    <t>Dispute / amendment fees</t>
  </si>
  <si>
    <t>First-deal discount drag</t>
  </si>
  <si>
    <t>Tier C courier / original handling fees</t>
  </si>
  <si>
    <t>Partner setup &amp; committed-volume fees</t>
  </si>
  <si>
    <t>Dispute handling</t>
  </si>
  <si>
    <t>Partner / channel commission</t>
  </si>
  <si>
    <t>Other retained-risk variable (leakage, outage)</t>
  </si>
  <si>
    <t>Startup &amp; regulatory one-off costs</t>
  </si>
  <si>
    <t>Immaterial and inert lines folded above:</t>
  </si>
  <si>
    <t>• Row 29 is the per-deal archive/audit-record fee. Regulated yield economics are excluded from the MVP model.</t>
  </si>
  <si>
    <t>• Row 46 combines fee-collection leakage and partner/API outage fallback; both remain individually documented in Assumptions.</t>
  </si>
  <si>
    <t>• Partner setup fees and committed-volume minimums are combined on row 28; both scale with partner count.</t>
  </si>
  <si>
    <t>Assumptions — Control Panel</t>
  </si>
  <si>
    <t>Scenario columns are only used for true adoption/mix drivers. Fixed inputs use one value in column F and flow through every downstream sheet.</t>
  </si>
  <si>
    <t>SCENARIO SWITCH (1/2/3)</t>
  </si>
  <si>
    <t>Assumption</t>
  </si>
  <si>
    <t>Low scenario</t>
  </si>
  <si>
    <t>Base scenario</t>
  </si>
  <si>
    <t>High scenario</t>
  </si>
  <si>
    <t>Active / fixed value</t>
  </si>
  <si>
    <t>Unit</t>
  </si>
  <si>
    <t>Notes / source quality</t>
  </si>
  <si>
    <t>-- GLOBAL --</t>
  </si>
  <si>
    <t>GBP:USD FX rate*</t>
  </si>
  <si>
    <t>$/£</t>
  </si>
  <si>
    <t>CBUAE 10 Aug 2026 planning cross-rate; refresh before use.</t>
  </si>
  <si>
    <t>-- DEAL VOLUME / CORE OPERATING DRIVERS --</t>
  </si>
  <si>
    <t>Year 1 deals (total)</t>
  </si>
  <si>
    <t>deals/yr</t>
  </si>
  <si>
    <t>Pilot→paid ramp. Pre-seed B2B fintech (estimate)</t>
  </si>
  <si>
    <t>Year 2 deals (total)</t>
  </si>
  <si>
    <t>estimate</t>
  </si>
  <si>
    <t>Year 3 deals (total)</t>
  </si>
  <si>
    <t>GBP/deal</t>
  </si>
  <si>
    <t>% per year</t>
  </si>
  <si>
    <t>Avg counterparties / deal before repeat adjustment</t>
  </si>
  <si>
    <t>parties/deal</t>
  </si>
  <si>
    <t>Buyer + seller before repeat-customer onboarding adjustment</t>
  </si>
  <si>
    <t>Partner count Yr2</t>
  </si>
  <si>
    <t>partners</t>
  </si>
  <si>
    <t>API/platform partners live by Year 2</t>
  </si>
  <si>
    <t>-- TRANSACTION COGS --</t>
  </si>
  <si>
    <t>Claude API cost / document</t>
  </si>
  <si>
    <t>$/doc</t>
  </si>
  <si>
    <t>Haiku/Sonnet extraction. Anthropic $1/$5–$3/$15 MTok (vendor)</t>
  </si>
  <si>
    <t>KYB screening / business party</t>
  </si>
  <si>
    <t>$/party</t>
  </si>
  <si>
    <t>Didit fr $2, Sumsub tier (vendor)</t>
  </si>
  <si>
    <t>KYC/UBO+sanctions / person</t>
  </si>
  <si>
    <t>$/person</t>
  </si>
  <si>
    <t>Didit $0.30 / Sumsub $1.35 (vendor)</t>
  </si>
  <si>
    <t>Blockchain gas / deal (multi-tx)</t>
  </si>
  <si>
    <t>$/deal</t>
  </si>
  <si>
    <t>Base L2, several txns/deal (official: Base docs)</t>
  </si>
  <si>
    <t>RPC/node provider / deal</t>
  </si>
  <si>
    <t>Alchemy/QuickNode metered (vendor/estimate)</t>
  </si>
  <si>
    <t>Doc + audit-ledger storage / deal</t>
  </si>
  <si>
    <t>S3/object storage per deal (vendor/estimate)</t>
  </si>
  <si>
    <t>-- FIXED OPEX --</t>
  </si>
  <si>
    <t>£/mo</t>
  </si>
  <si>
    <t>Vercel Pro $20/seat + AWS/usage (vendor)</t>
  </si>
  <si>
    <t>Managed Postgres + S3 (vendor/estimate)</t>
  </si>
  <si>
    <t>Sentry/Datadog/Snyk tiers (vendor/estimate)</t>
  </si>
  <si>
    <t>GitHub $4–21/user (vendor)</t>
  </si>
  <si>
    <t>~£12/user Business Standard (vendor)</t>
  </si>
  <si>
    <t>HubSpot/Pipedrive (vendor/estimate)</t>
  </si>
  <si>
    <t>Outsourced (estimate)</t>
  </si>
  <si>
    <t>Commercial + regulatory queries (estimate)</t>
  </si>
  <si>
    <t>Compliance / MLRO support</t>
  </si>
  <si>
    <t>Fractional MLRO/consultant (benchmark/estimate)</t>
  </si>
  <si>
    <t>Trade events, content (estimate)</t>
  </si>
  <si>
    <t>Hot-desk → small office (estimate)</t>
  </si>
  <si>
    <t>Annualised /12; fintech loading (benchmark/estimate)</t>
  </si>
  <si>
    <t>-- HEADCOUNT BASELINE --</t>
  </si>
  <si>
    <t>FTE</t>
  </si>
  <si>
    <t>Engineers Yr1 baseline</t>
  </si>
  <si>
    <t>FTE Yr1</t>
  </si>
  <si>
    <t>Scaled in P&amp;L by year (benchmark)</t>
  </si>
  <si>
    <t>Compliance/ops Yr1 baseline</t>
  </si>
  <si>
    <t>Compliance/ops baseline headcount starts at one FTE.</t>
  </si>
  <si>
    <t>Sales/BD + CS Yr1 baseline</t>
  </si>
  <si>
    <t>(benchmark)</t>
  </si>
  <si>
    <t>-- SALARIES --****</t>
  </si>
  <si>
    <t>Founder salary</t>
  </si>
  <si>
    <t>£/yr</t>
  </si>
  <si>
    <t>Pre-seed founder (benchmark)</t>
  </si>
  <si>
    <t>Engineer salary</t>
  </si>
  <si>
    <t>UK fintech SWE (benchmark)</t>
  </si>
  <si>
    <t>Compliance/ops salary</t>
  </si>
  <si>
    <t>FS compliance officer (benchmark)</t>
  </si>
  <si>
    <t>Sales/BD/CS salary</t>
  </si>
  <si>
    <t>Employer NI rate**</t>
  </si>
  <si>
    <t>% of pay &gt;£5k</t>
  </si>
  <si>
    <t>15% above the £5,000 secondary threshold in 2026/27 (GOV.UK).</t>
  </si>
  <si>
    <t>Employer NI secondary threshold**</t>
  </si>
  <si>
    <t>£5,000 annual secondary threshold for 2026/27 (GOV.UK).</t>
  </si>
  <si>
    <t>Employer pension contribution***</t>
  </si>
  <si>
    <t>% of salary</t>
  </si>
  <si>
    <t>4% planning contribution; statutory employer minimum is 3% (TPR).</t>
  </si>
  <si>
    <t>Equipment, benefits, software/seat (estimate)</t>
  </si>
  <si>
    <t>-- TAX &amp; OPERATING FLAGS --</t>
  </si>
  <si>
    <t>Employment allowance**</t>
  </si>
  <si>
    <t>GBP/yr</t>
  </si>
  <si>
    <t>VAT registration threshold</t>
  </si>
  <si>
    <t>GBP revenue</t>
  </si>
  <si>
    <t>Flag threshold only; VAT cash timing not modelled in P&amp;L</t>
  </si>
  <si>
    <t>New counterparty onboarding share</t>
  </si>
  <si>
    <t>% screened parties</t>
  </si>
  <si>
    <t>Only this share gets fresh KYC/KYB onboarding; repeat checks assumed lower-touch/opex</t>
  </si>
  <si>
    <t>-- DOCUMENT INTAKE MIX + TIER PRICE BOOK --</t>
  </si>
  <si>
    <t>Tier A eBL mix Yr1</t>
  </si>
  <si>
    <t>% deals</t>
  </si>
  <si>
    <t>Lowest operational risk; source-of-truth digital document rail</t>
  </si>
  <si>
    <t>Tier B carrier/API mix Yr1</t>
  </si>
  <si>
    <t>Paper docs with DCSA/carrier/API verification</t>
  </si>
  <si>
    <t>Tier C paper collection mix Yr1</t>
  </si>
  <si>
    <t>Paper originals / manual collection / forensic fallback</t>
  </si>
  <si>
    <t>Tier A eBL mix Yr2</t>
  </si>
  <si>
    <t>Mix improves as eBL adoption grows</t>
  </si>
  <si>
    <t>Tier B carrier/API mix Yr2</t>
  </si>
  <si>
    <t>Core commercial tier</t>
  </si>
  <si>
    <t>Tier C paper collection mix Yr2</t>
  </si>
  <si>
    <t>Should shrink over time</t>
  </si>
  <si>
    <t>Tier A eBL mix Yr3</t>
  </si>
  <si>
    <t>Best-margin scaled tier</t>
  </si>
  <si>
    <t>Tier B carrier/API mix Yr3</t>
  </si>
  <si>
    <t>Carrier/API verified middle tier</t>
  </si>
  <si>
    <t>Tier C paper collection mix Yr3</t>
  </si>
  <si>
    <t>High-risk fallback, not strategic core</t>
  </si>
  <si>
    <t>Tier A escrow take rate</t>
  </si>
  <si>
    <t>% GMV</t>
  </si>
  <si>
    <t>Tier A eBL/source-of-truth rail: 0.80% of GMV. Competitive entry point versus researched escrow and LC alternatives; fixed across commercial scenarios.</t>
  </si>
  <si>
    <t>Tier B escrow take rate</t>
  </si>
  <si>
    <t>Tier B carrier/API-verified documents: 1.50% of GMV. Mid-tier fee reflects verification work while remaining inside the researched competitor range.</t>
  </si>
  <si>
    <t>Tier C escrow take rate</t>
  </si>
  <si>
    <t>Tier C paper/originals fallback: 3.00% of GMV. Premium manual tier for higher handling and dispute risk; still within researched upper-end escrow pricing.</t>
  </si>
  <si>
    <t>Tier A minimum escrow fee</t>
  </si>
  <si>
    <t>Single price-book assumption repeated across Low/Base/High; scenarios now vary adoption/mix/risk, not customer pricing. Benchmarked as an LC-like service below typical bank LC all-in economics.</t>
  </si>
  <si>
    <t>Tier B minimum escrow fee</t>
  </si>
  <si>
    <t>Tier C minimum escrow fee</t>
  </si>
  <si>
    <t>Tier A document/review fee</t>
  </si>
  <si>
    <t>Tier A light document/release-rule review fee; familiar admin-fee style pricing.</t>
  </si>
  <si>
    <t>Tier B document/review fee</t>
  </si>
  <si>
    <t>Tier B API-assisted document review fee; below many bank discrepancy/amendment fee stacks.</t>
  </si>
  <si>
    <t>Tier C document/review fee</t>
  </si>
  <si>
    <t>Tier C manual/paper review fee; priced for higher work but still LC-competitive all-in.</t>
  </si>
  <si>
    <t>Tier A dispute/amendment fee</t>
  </si>
  <si>
    <t>GBP/event</t>
  </si>
  <si>
    <t>Dispute/amendment admin fee within familiar LC admin-fee range.</t>
  </si>
  <si>
    <t>Tier B dispute/amendment fee</t>
  </si>
  <si>
    <t>Tier C dispute/amendment fee</t>
  </si>
  <si>
    <t>Paper/originals discrepancy handling; premium manual workflow fee.</t>
  </si>
  <si>
    <t>Tier A eBL/API handling cost</t>
  </si>
  <si>
    <t>eBL platform/API/validation cost; quote-based</t>
  </si>
  <si>
    <t>Tier B carrier/API handling cost</t>
  </si>
  <si>
    <t>Carrier/DCSA/API lookup + reconciliation</t>
  </si>
  <si>
    <t>Tier C paper/forensics handling cost</t>
  </si>
  <si>
    <t>Courier/originals/forensics partner fallback</t>
  </si>
  <si>
    <t>Tier A human review cost</t>
  </si>
  <si>
    <t>AI-assisted light examiner time</t>
  </si>
  <si>
    <t>Tier B human review cost</t>
  </si>
  <si>
    <t>Examiner plus carrier-source check</t>
  </si>
  <si>
    <t>Tier C human review cost</t>
  </si>
  <si>
    <t>Manual examiner + paper workflow</t>
  </si>
  <si>
    <t>Tier A support cost</t>
  </si>
  <si>
    <t>Low-touch self-serve</t>
  </si>
  <si>
    <t>Tier B support cost</t>
  </si>
  <si>
    <t>Assisted verification</t>
  </si>
  <si>
    <t>Tier C support cost</t>
  </si>
  <si>
    <t>Manual coordination</t>
  </si>
  <si>
    <t>Tier A dispute rate</t>
  </si>
  <si>
    <t>Lower source-document risk</t>
  </si>
  <si>
    <t>Tier B dispute rate</t>
  </si>
  <si>
    <t>Medium mismatch risk</t>
  </si>
  <si>
    <t>Tier C dispute rate</t>
  </si>
  <si>
    <t>Paper/originals risk</t>
  </si>
  <si>
    <t>Tier A dispute handling cost</t>
  </si>
  <si>
    <t>Internal handling cost</t>
  </si>
  <si>
    <t>Tier B dispute handling cost</t>
  </si>
  <si>
    <t>Tier C dispute handling cost</t>
  </si>
  <si>
    <t>Tier A risk score</t>
  </si>
  <si>
    <t>1 low - 5 high</t>
  </si>
  <si>
    <t>Model score for risk narrative</t>
  </si>
  <si>
    <t>Tier B risk score</t>
  </si>
  <si>
    <t>Tier C risk score</t>
  </si>
  <si>
    <t>Tier A SLA days</t>
  </si>
  <si>
    <t>days</t>
  </si>
  <si>
    <t>Minutes to hours</t>
  </si>
  <si>
    <t>Tier B SLA days</t>
  </si>
  <si>
    <t>Same day to one day</t>
  </si>
  <si>
    <t>Tier C SLA days</t>
  </si>
  <si>
    <t>Courier/originals path</t>
  </si>
  <si>
    <t>Tier A docs/deal</t>
  </si>
  <si>
    <t>docs/deal</t>
  </si>
  <si>
    <t>Digital doc bundle</t>
  </si>
  <si>
    <t>Tier B docs/deal</t>
  </si>
  <si>
    <t>Carrier/API verified bundle</t>
  </si>
  <si>
    <t>Tier C docs/deal</t>
  </si>
  <si>
    <t>Paper/originals bundle</t>
  </si>
  <si>
    <t>-- CUSTOMER ACQUISITION CROSS-CHECK --</t>
  </si>
  <si>
    <t>Deals per active customer Yr1</t>
  </si>
  <si>
    <t>deals/customer/yr</t>
  </si>
  <si>
    <t>Commercial sanity check; P&amp;L remains driven by deal count</t>
  </si>
  <si>
    <t>Deals per active customer Yr2</t>
  </si>
  <si>
    <t>Commercial sanity check; should improve with repeat usage</t>
  </si>
  <si>
    <t>Deals per active customer Yr3</t>
  </si>
  <si>
    <t>Commercial sanity check; high case assumes repeat platform usage</t>
  </si>
  <si>
    <t>Partner count Yr3</t>
  </si>
  <si>
    <t>Total API/platform partners by Year 3; setup fee charges only net-new partners</t>
  </si>
  <si>
    <t>-- OPTIONAL FEES / ADD-ONS --</t>
  </si>
  <si>
    <t>First-deal discount rate</t>
  </si>
  <si>
    <t>% discount</t>
  </si>
  <si>
    <t>Commercial launch discount policy; repeated across scenarios.</t>
  </si>
  <si>
    <t>Tier B expedited review uptake</t>
  </si>
  <si>
    <t>% Tier B deals</t>
  </si>
  <si>
    <t>Scenario-driven customer uptake of optional expedited Tier B review; fee itself is fixed in row 129.</t>
  </si>
  <si>
    <t>Tier C expedited review uptake</t>
  </si>
  <si>
    <t>% Tier C deals</t>
  </si>
  <si>
    <t>Scenario-driven customer uptake of optional expedited Tier C review; fee itself is fixed in row 130.</t>
  </si>
  <si>
    <t>Tier B expedited review fee</t>
  </si>
  <si>
    <t>Optional expedited Tier B review; price-book assumption, not scenario sensitivity.</t>
  </si>
  <si>
    <t>Tier C expedited review fee</t>
  </si>
  <si>
    <t>Optional expedited Tier C paper/originals workflow; price-book assumption.</t>
  </si>
  <si>
    <t>KYC/KYB onboarding fee / counterparty</t>
  </si>
  <si>
    <t>GBP/party</t>
  </si>
  <si>
    <t>KYC/KYB onboarding admin fee; can be charged or bundled into first deal.</t>
  </si>
  <si>
    <t>Tier C forensics pass-through markup</t>
  </si>
  <si>
    <t>% over cost</t>
  </si>
  <si>
    <t>Pass-through markup on paper/forensics partner costs.</t>
  </si>
  <si>
    <t>Tier C courier/original handling fee</t>
  </si>
  <si>
    <t>Tier C courier/original handling admin fee.</t>
  </si>
  <si>
    <t>Discrepancy cure / waiver fee</t>
  </si>
  <si>
    <t>GBP/case</t>
  </si>
  <si>
    <t>Discrepancy cure/waiver fee in familiar LC admin-fee range.</t>
  </si>
  <si>
    <t>% disputed deals resolved as cure/waiver</t>
  </si>
  <si>
    <t>% disputed</t>
  </si>
  <si>
    <t>Scenario-driven share of disputed deals resolved through lighter cure/waiver workflow.</t>
  </si>
  <si>
    <t>Partner setup / integration fee</t>
  </si>
  <si>
    <t>GBP/new partner</t>
  </si>
  <si>
    <t>Forwarder/platform/API setup fee; price-book assumption.</t>
  </si>
  <si>
    <t>Monthly minimum / committed volume fee</t>
  </si>
  <si>
    <t>GBP/partner/mo</t>
  </si>
  <si>
    <t>Monthly minimum / committed-volume fee for API/platform partners.</t>
  </si>
  <si>
    <t>Archive / audit record fee</t>
  </si>
  <si>
    <t>Archive/audit record fee per deal.</t>
  </si>
  <si>
    <t>Regulated yield economics (out of MVP)</t>
  </si>
  <si>
    <t>Not modelled</t>
  </si>
  <si>
    <t>Excluded from the MVP and funding case; no yield revenue is modelled.</t>
  </si>
  <si>
    <t>-- RISK / CONTINGENCY COST OFFSETS --</t>
  </si>
  <si>
    <t>Ongoing partner integration, certification and API maintenance</t>
  </si>
  <si>
    <t>Traydstream/Cleareye-style retainer or minimum commitment</t>
  </si>
  <si>
    <t>Fraud database build / governance Y1</t>
  </si>
  <si>
    <t>GBP Yr1</t>
  </si>
  <si>
    <t>BoL/document hash database; privacy/governance work</t>
  </si>
  <si>
    <t>Fraud database ongoing governance</t>
  </si>
  <si>
    <t>Hosting, governance and data-sharing overhead</t>
  </si>
  <si>
    <t>QA second-review rate</t>
  </si>
  <si>
    <t>Four-eyes check for high-risk or out-of-envelope decisions</t>
  </si>
  <si>
    <t>QA second-review cost</t>
  </si>
  <si>
    <t>GBP/review</t>
  </si>
  <si>
    <t>Examiner QA cost</t>
  </si>
  <si>
    <t>External dispute forum rate</t>
  </si>
  <si>
    <t>% disputed deals</t>
  </si>
  <si>
    <t>Share of DISPUTED deals escalating to formal external forum / expert determination (previously modelled as 3% of ALL deals stacked on tier dispute rates). Estimate - refine.</t>
  </si>
  <si>
    <t>Should be passed through where possible</t>
  </si>
  <si>
    <t>Operational error / wrongful release reserve</t>
  </si>
  <si>
    <t>% revenue</t>
  </si>
  <si>
    <t>Retained process-error risk, not delivery risk</t>
  </si>
  <si>
    <t>Expected out-of-pocket claim/deductible buffer</t>
  </si>
  <si>
    <t>Custody/key-management tooling and monitoring</t>
  </si>
  <si>
    <t>SAR/escalation handling, ongoing screening ops</t>
  </si>
  <si>
    <t>Forwarder/platform referral/revenue share; applied to partner-sourced revenue only (F167), not total revenue.</t>
  </si>
  <si>
    <t>% non-escrow fees</t>
  </si>
  <si>
    <t>Fees not always collected from escrow flow</t>
  </si>
  <si>
    <t>Partner/API outage manual fallback rate</t>
  </si>
  <si>
    <t>When carrier/API lookup fails</t>
  </si>
  <si>
    <t>Partner/API outage fallback cost</t>
  </si>
  <si>
    <t>Manual fallback cost</t>
  </si>
  <si>
    <t>Emergency audit, redeploy, legal response</t>
  </si>
  <si>
    <t>GBP</t>
  </si>
  <si>
    <t>Drafting/confirming documents-not-goods liability boundary</t>
  </si>
  <si>
    <t>Carrier/eBL/API/forensics contract risk allocation</t>
  </si>
  <si>
    <t>-- YEAR 4/5 GROWTH DRIVERS --</t>
  </si>
  <si>
    <t>Year 4 deals (total)</t>
  </si>
  <si>
    <t>Year 5 deals (total)</t>
  </si>
  <si>
    <t>Five-year continuation; used to test cash-flow breakeven</t>
  </si>
  <si>
    <t>Tier A eBL mix Yr4</t>
  </si>
  <si>
    <t>Assumes continued migration toward eBL/source-of-truth rails</t>
  </si>
  <si>
    <t>Tier B carrier/API mix Yr4</t>
  </si>
  <si>
    <t>Tier C paper collection mix Yr4</t>
  </si>
  <si>
    <t>High-risk paper fallback shrinks with scale</t>
  </si>
  <si>
    <t>Tier A eBL mix Yr5</t>
  </si>
  <si>
    <t>Tier B carrier/API mix Yr5</t>
  </si>
  <si>
    <t>Tier C paper collection mix Yr5</t>
  </si>
  <si>
    <t>Paper fallback retained but not strategic core</t>
  </si>
  <si>
    <t>Partner count Yr4</t>
  </si>
  <si>
    <t>Total API/platform partners by Year 4</t>
  </si>
  <si>
    <t>Partner count Yr5</t>
  </si>
  <si>
    <t>Total API/platform partners by Year 5</t>
  </si>
  <si>
    <t>Deals per active customer Yr4</t>
  </si>
  <si>
    <t>Improves with repeat platform usage</t>
  </si>
  <si>
    <t>Deals per active customer Yr5</t>
  </si>
  <si>
    <t>Commercial sanity check for mature usage</t>
  </si>
  <si>
    <t>Partner-sourced revenue share</t>
  </si>
  <si>
    <t>Est. share of revenue via partner/channel deals; partner commission (F144) applies only to this share, not total revenue. Planning estimate - refine, ideally by year.</t>
  </si>
  <si>
    <t>TIER-SPECIFIC DEAL VALUES</t>
  </si>
  <si>
    <t>Source: Blockmediary Deal-Value Research Report and Model, 11 Aug 2026.</t>
  </si>
  <si>
    <t>Tier A — Year 1 base deal value</t>
  </si>
  <si>
    <t>Base case from deal-value research; fixed across volume scenarios.</t>
  </si>
  <si>
    <t>Tier A — annual deal-value growth</t>
  </si>
  <si>
    <t>Exact annual compounding; independent of customer-volume scenario.</t>
  </si>
  <si>
    <t>Tier B — Year 1 base deal value</t>
  </si>
  <si>
    <t>Tier B — annual deal-value growth</t>
  </si>
  <si>
    <t>Tier C — Year 1 base deal value</t>
  </si>
  <si>
    <t>Tier C — annual deal-value growth</t>
  </si>
  <si>
    <t>CUSTOMER RETENTION &amp; CLIENT FUNDS</t>
  </si>
  <si>
    <t>Planning assumptions and hard controls added 11 Aug 2026.</t>
  </si>
  <si>
    <t>Planning assumption from Year 2. Annual deal volumes remain net targets; replace with observed cohort retention.</t>
  </si>
  <si>
    <t>Average funded-to-release holding period</t>
  </si>
  <si>
    <t>Used only to estimate safeguarded client assets; replace with pilot telemetry.</t>
  </si>
  <si>
    <t>Client escrow funds available to operations</t>
  </si>
  <si>
    <t>%</t>
  </si>
  <si>
    <t>Hard control: customer funds are not corporate cash and cannot fund operations.</t>
  </si>
  <si>
    <t>Client-asset yield recognised in model</t>
  </si>
  <si>
    <t>No yield or spread is recognised without legal, regulatory and accounting approval.</t>
  </si>
  <si>
    <t>PRESENTATION CONTROLS — REVIEW &amp; CAPACITY</t>
  </si>
  <si>
    <t>Simple planning controls; replace with pilot evidence.</t>
  </si>
  <si>
    <t>Deals above £50k threshold — Year 1</t>
  </si>
  <si>
    <t>Planning distribution tail; autonomy threshold from docs/business-requirements.md §9.2.</t>
  </si>
  <si>
    <t>Deals above £50k threshold — Year 2</t>
  </si>
  <si>
    <t>Planning estimate as ticket size and portfolio scale increase.</t>
  </si>
  <si>
    <t>Deals above £50k threshold — Year 3</t>
  </si>
  <si>
    <t>Planning estimate; refine from paid-pilot transaction distribution.</t>
  </si>
  <si>
    <t>Deals above £50k threshold — Year 4</t>
  </si>
  <si>
    <t>Planning estimate; reflects migration toward larger Tier A deals.</t>
  </si>
  <si>
    <t>Deals above £50k threshold — Year 5</t>
  </si>
  <si>
    <t>Planning estimate; refine before external reliance.</t>
  </si>
  <si>
    <t>Incremental mandatory review cost</t>
  </si>
  <si>
    <t>Loaded human-review allowance above the £50k autonomy threshold.</t>
  </si>
  <si>
    <t>Acquisition capacity warning threshold</t>
  </si>
  <si>
    <t>gross new customers / FTE</t>
  </si>
  <si>
    <t>Presentation warning only; not a full staffing engine.</t>
  </si>
  <si>
    <t>Sales/BD/CS FTE ramp (Y1 to Y5)</t>
  </si>
  <si>
    <t>Y1 / Y2 / Y3 / Y4 / Y5. Aggressive AI-enabled ramp; targets &lt;=250 gross new customers per FTE.</t>
  </si>
  <si>
    <t>MODEL CONVENTIONS</t>
  </si>
  <si>
    <t>Scope disclosures for this university idea-presentation model.</t>
  </si>
  <si>
    <t>Entity / workforce convention</t>
  </si>
  <si>
    <t>UK dev / UAE pilot</t>
  </si>
  <si>
    <t>planning</t>
  </si>
  <si>
    <t>UK development-cost assumptions; regulated pilot activity and oversight are partner-led until later UAE scale.</t>
  </si>
  <si>
    <t>Accounting scope</t>
  </si>
  <si>
    <t>Pre-tax operating model</t>
  </si>
  <si>
    <t>Runway model, not statutory accounts; all development expenditure is expensed.</t>
  </si>
  <si>
    <t>Payments and FX scope</t>
  </si>
  <si>
    <t>Partner-borne / excluded</t>
  </si>
  <si>
    <t>MVP boundary</t>
  </si>
  <si>
    <t>Blockmediary does not provide on/off-ramp or FX services in the MVP.</t>
  </si>
  <si>
    <t>NOTES</t>
  </si>
  <si>
    <t>SOURCE</t>
  </si>
  <si>
    <t>*GBP/USD 1.28 is a presentation translation rate derived from CBUAE AED cross-rates on 10 August 2026, not a live hedge rate. Refresh it before filing, contracting or fundraising.</t>
  </si>
  <si>
    <t>**Employer NI uses the 2026/27 15% rate above the £5,000 secondary threshold and a £10,500 Employment Allowance. The allowance remains subject to eligibility.</t>
  </si>
  <si>
    <t>https://www.gov.uk/guidance/rates-and-thresholds-for-employers-2026-to-2027</t>
  </si>
  <si>
    <t>***The model’s 4% employer pension contribution is deliberately above the 3% statutory minimum. Scheme definition and qualifying-earnings treatment should be confirmed at payroll setup.</t>
  </si>
  <si>
    <t>https://www.thepensionsregulator.gov.uk/media/s1shf2oe/the-essential-guide-for-automatic-enrolment-psn-2022.pdf</t>
  </si>
  <si>
    <t>****Founder, engineering, compliance and commercial salaries are UK planning midpoints informed by public recruitment data—not offers or committed hires. Location and seniority can materially change burn.</t>
  </si>
  <si>
    <t>https://www.morganmckinley.com/uk/salary-guide/calculator</t>
  </si>
  <si>
    <t>First 6 Months — Startup Costs (one-off + setup ramp)</t>
  </si>
  <si>
    <t>Cost driver</t>
  </si>
  <si>
    <t>Active</t>
  </si>
  <si>
    <t>Cur</t>
  </si>
  <si>
    <t>COMPANY FORMATION &amp; FILINGS</t>
  </si>
  <si>
    <t>Core company incorporation / filing</t>
  </si>
  <si>
    <t>£</t>
  </si>
  <si>
    <t>Registered office / address service (6mo)</t>
  </si>
  <si>
    <t>Administrative operating-base allowance (vendor/estimate).</t>
  </si>
  <si>
    <t>Founder/director verification and admin</t>
  </si>
  <si>
    <t>Identity and company-administration allowance (official/estimate).</t>
  </si>
  <si>
    <t>Annual corporate filing</t>
  </si>
  <si>
    <t>Administrative filing allowance; not a launch permission.</t>
  </si>
  <si>
    <t>LEGAL SETUP</t>
  </si>
  <si>
    <t>Shareholder agreement*</t>
  </si>
  <si>
    <t>£375–£3,000 fixed-fee (benchmark)</t>
  </si>
  <si>
    <t>IP assignment (founders/contractors)</t>
  </si>
  <si>
    <t>Assign IP into company (estimate)</t>
  </si>
  <si>
    <t>Articles / cap table / SAFE setup</t>
  </si>
  <si>
    <t>SAFE/ASA template + review (estimate)</t>
  </si>
  <si>
    <t>Website terms + privacy policy</t>
  </si>
  <si>
    <t>Bespoke for fintech (estimate)</t>
  </si>
  <si>
    <t>Trade Escrow Agreement template (bespoke)</t>
  </si>
  <si>
    <t>Core product contract; bespoke drafting (estimate)</t>
  </si>
  <si>
    <t>REGULATORY &amp; COMPLIANCE SETUP</t>
  </si>
  <si>
    <t>UAE regulatory perimeter + partner-route advice**</t>
  </si>
  <si>
    <t>DIFC partner-led pilot, custody/arranging split and VARA scale perimeter (estimate; verify with UAE counsel).</t>
  </si>
  <si>
    <t>UAE AML/KYC/sanctions policy + procedures</t>
  </si>
  <si>
    <t>Pilot policy pack, partner escalation and MLRO setup (estimate).</t>
  </si>
  <si>
    <t>DIFC data-protection setup (DPIA, records)</t>
  </si>
  <si>
    <t>DIFC/UAE data mapping, DPIA and processing records (estimate).</t>
  </si>
  <si>
    <t>DIFC data-protection filing allowance</t>
  </si>
  <si>
    <t>Planning allowance; confirm current DIFC requirements and fees.</t>
  </si>
  <si>
    <t>SECURITY</t>
  </si>
  <si>
    <t>Smart-contract audit / security review***</t>
  </si>
  <si>
    <t>Moderate-complexity escrow contracts (benchmark)</t>
  </si>
  <si>
    <t>Penetration test (web app)</t>
  </si>
  <si>
    <t>Pre-launch pentest (vendor/estimate)</t>
  </si>
  <si>
    <t>PRODUCT BUILD (one-off, pre-revenue)</t>
  </si>
  <si>
    <t>Smart-contract production hardening / integrations</t>
  </si>
  <si>
    <t>Production hardening, partner/custody integration and deployment controls (estimate).</t>
  </si>
  <si>
    <t>Web app hardening / partner API readiness</t>
  </si>
  <si>
    <t>Authentication, rate limits, CORS, integration and production-readiness work (estimate).</t>
  </si>
  <si>
    <t>UI/UX pilot readiness</t>
  </si>
  <si>
    <t>Pilot workflow refinement and usability testing (estimate).</t>
  </si>
  <si>
    <t>BRAND, DECK &amp; WEB</t>
  </si>
  <si>
    <t>Pitch deck + brand identity</t>
  </si>
  <si>
    <t>(estimate)</t>
  </si>
  <si>
    <t>Marketing website</t>
  </si>
  <si>
    <t>Domain + email + initial SaaS</t>
  </si>
  <si>
    <t>Domain, Workspace setup (vendor)</t>
  </si>
  <si>
    <t>BUSINESS DEVELOPMENT (setup)</t>
  </si>
  <si>
    <t>Pilot outreach / travel (UAE)</t>
  </si>
  <si>
    <t>DIFC and UAE pilot-customer development (estimate).</t>
  </si>
  <si>
    <t>DIFC/UAE fintech and trade events (first 6mo)</t>
  </si>
  <si>
    <t>Partner and pilot-customer events (estimate).</t>
  </si>
  <si>
    <t>INSURANCE (first-year, paid upfront)</t>
  </si>
  <si>
    <t>Professional indemnity (annual)</t>
  </si>
  <si>
    <t>Prepaid first-year insurance; do not also include Year 1 monthly insurance in P&amp;L.</t>
  </si>
  <si>
    <t>Cyber insurance (annual)</t>
  </si>
  <si>
    <t>D&amp;O insurance (annual)</t>
  </si>
  <si>
    <t>CONTINGENCY</t>
  </si>
  <si>
    <t>Contingency on one-off costs</t>
  </si>
  <si>
    <t>Applied to subtotal (estimate)</t>
  </si>
  <si>
    <t>Subtotal one-off costs (ex-contingency)</t>
  </si>
  <si>
    <t>Contingency amount</t>
  </si>
  <si>
    <t>TOTAL FIRST-6-MONTHS ONE-OFF COSTS</t>
  </si>
  <si>
    <t>*The £1,500 shareholder-agreement base case is the midpoint of public UK fixed-fee examples (£375–£3,000), not a legal quote. Complexity, investor rights and tax advice can increase it.</t>
  </si>
  <si>
    <t>https://founderdocuments.co.uk</t>
  </si>
  <si>
    <t>**The £25,000 UAE perimeter and partner-route allowance is a planning estimate for specialist advice and the pilot control pack—not a regulator charge. Replace it with a scoped UAE counsel quote.</t>
  </si>
  <si>
    <t>../docs/Dubai_Fintech_License_Requirements.md</t>
  </si>
  <si>
    <t>***The £30,000 smart-contract audit base case is a scoped planning allowance within published 2026 market ranges. Contract count, code complexity, documentation and urgency determine the final quote.</t>
  </si>
  <si>
    <t>https://www.zealynx.io/research/audit-ops/audit-pricing-2026</t>
  </si>
  <si>
    <t>Sensitivity Map</t>
  </si>
  <si>
    <t>Current 5-year model drivers, linked to the assumption rows that control each sensitivity.</t>
  </si>
  <si>
    <t>Use the links below to jump to the editable assumption. Scenario-driven rows use Low/Base/High; fixed rows use the active value in Assumptions column F.</t>
  </si>
  <si>
    <t>Rank</t>
  </si>
  <si>
    <t>Sensitivity lever</t>
  </si>
  <si>
    <t>Why it matters in this model</t>
  </si>
  <si>
    <t>Click to edit</t>
  </si>
  <si>
    <t>Related assumption rows</t>
  </si>
  <si>
    <t>Current model setting</t>
  </si>
  <si>
    <t>Outputs affected</t>
  </si>
  <si>
    <t>How to test it</t>
  </si>
  <si>
    <t>Deal volume</t>
  </si>
  <si>
    <t>Master adoption driver. Revenue, GMV, variable costs, onboarding activity, and cash-flow timing all scale from deal count.</t>
  </si>
  <si>
    <t>Assumptions!B11</t>
  </si>
  <si>
    <t>B11:B13; B155:B156</t>
  </si>
  <si>
    <t>Revenue, COGS, cash-flow break-even, funding ask</t>
  </si>
  <si>
    <t>Change deal counts by year or switch scenario in Assumptions!C4.</t>
  </si>
  <si>
    <t>Document intake mix</t>
  </si>
  <si>
    <t>Tier A/B/C mix controls pricing, direct costs, dispute rates, SLA, and risk profile.</t>
  </si>
  <si>
    <t>Assumptions!B64</t>
  </si>
  <si>
    <t>B64:B72; B157:B162</t>
  </si>
  <si>
    <t>Gross margin, risk costs, operations load</t>
  </si>
  <si>
    <t>Move volume away from Tier C over time to test automation / eBL adoption.</t>
  </si>
  <si>
    <t>Tier price book</t>
  </si>
  <si>
    <t>Core revenue is tier-specific now. The old generic escrow fee is retired.</t>
  </si>
  <si>
    <t>Assumptions!B73</t>
  </si>
  <si>
    <t>B73:B84</t>
  </si>
  <si>
    <t>Revenue per deal, gross margin, break-even timing</t>
  </si>
  <si>
    <t>Adjust tier take rates, minimum fees, document fees, and dispute fees.</t>
  </si>
  <si>
    <t>Average deal value</t>
  </si>
  <si>
    <t>Tier-specific deal values</t>
  </si>
  <si>
    <t>Assumptions!B170:B175</t>
  </si>
  <si>
    <t>GMV, escrow fee revenue, revenue/deal</t>
  </si>
  <si>
    <t>Use the independent deal-value cases below; do not automatically combine ticket-size upside with the High volume scenario.</t>
  </si>
  <si>
    <t>Partner commercialization</t>
  </si>
  <si>
    <t>Partner counts create setup revenue and monthly minimums, but also affect integration/operating complexity.</t>
  </si>
  <si>
    <t>Assumptions!B17</t>
  </si>
  <si>
    <t>B17; B113; B163:B164; B125:B126</t>
  </si>
  <si>
    <t>Add-on revenue, customer acquisition, cash runway</t>
  </si>
  <si>
    <t>Change partner count rows and setup/monthly minimum fees together.</t>
  </si>
  <si>
    <t>Repeat usage / active customers</t>
  </si>
  <si>
    <t>Converts deal targets into implied active customers and checks whether adoption assumptions are believable.</t>
  </si>
  <si>
    <t>Assumptions!B110</t>
  </si>
  <si>
    <t>B110:B112; B165:B166</t>
  </si>
  <si>
    <t>Active customers, revenue/customer, sales load</t>
  </si>
  <si>
    <t>Lower repeat usage if customers are mostly one-off shipments.</t>
  </si>
  <si>
    <t>KYC/KYB onboarding economics</t>
  </si>
  <si>
    <t>Repeat-counterparty treatment affects both onboarding revenue and screening cost.</t>
  </si>
  <si>
    <t>Assumptions!B62</t>
  </si>
  <si>
    <t>B62; B19:B20; B120</t>
  </si>
  <si>
    <t>COGS, add-on revenue, margin on repeat customers</t>
  </si>
  <si>
    <t>Stress whether repeat customers require fresh checks every deal.</t>
  </si>
  <si>
    <t>Tier C paper / forensics recovery</t>
  </si>
  <si>
    <t>Tier C is the high-risk fallback. Margin depends on passing through the expensive handling and forensics work.</t>
  </si>
  <si>
    <t>Assumptions!B87</t>
  </si>
  <si>
    <t>B87; B90; B93; B121:B122</t>
  </si>
  <si>
    <t>Tier C gross margin, ops burden, risk reserve</t>
  </si>
  <si>
    <t>Increase Tier C costs or reduce pass-through to test downside exposure.</t>
  </si>
  <si>
    <t>Disputes and retained-risk reserves</t>
  </si>
  <si>
    <t>Disputes drive service fees, human handling cost, external forum cost, and wrongful-release/process-error reserves.</t>
  </si>
  <si>
    <t>Assumptions!B94</t>
  </si>
  <si>
    <t>B94:B99; B136:B148; B151:B153</t>
  </si>
  <si>
    <t>Risk costs, funding ask, gross margin</t>
  </si>
  <si>
    <t>Test a bad-doc environment by increasing Tier C dispute rates and forum cost.</t>
  </si>
  <si>
    <t>Headcount and salaries</t>
  </si>
  <si>
    <t>Payroll is the dominant fixed cost and the biggest determinant of burn before scale.</t>
  </si>
  <si>
    <t>Assumptions!B39</t>
  </si>
  <si>
    <t>B39:B51</t>
  </si>
  <si>
    <t>EBITDA, burn, funding ask, break-even</t>
  </si>
  <si>
    <t>Delay hires or increase salary/on-cost assumptions to test runway.</t>
  </si>
  <si>
    <t>Fixed opex and compliance</t>
  </si>
  <si>
    <t>Ongoing legal, compliance, insurance, tooling, and infrastructure spend sets the monthly burn floor.</t>
  </si>
  <si>
    <t>Assumptions!B26</t>
  </si>
  <si>
    <t>B26:B37; B132:B135; B141:B143</t>
  </si>
  <si>
    <t>Operating burn, cash runway, funding ask</t>
  </si>
  <si>
    <t>Raise compliance/legal/insurance costs for regulated-market downside.</t>
  </si>
  <si>
    <t>Operating reserve and UAE launch timing</t>
  </si>
  <si>
    <t>Funding need is driven by the first paid pilot, the later VARA stage, peak monthly deficit and the selected unrestricted operating reserve.</t>
  </si>
  <si>
    <t>B5:B6; F6; F14</t>
  </si>
  <si>
    <t>Funding ask, runway, first-revenue timing, future scale capital</t>
  </si>
  <si>
    <t>Change the timing case or operating-reserve months; workforce start months remain explicit.</t>
  </si>
  <si>
    <t>Customer churn</t>
  </si>
  <si>
    <t>Raises replacement acquisition required to maintain net annual deal targets.</t>
  </si>
  <si>
    <t>Assumptions!B178</t>
  </si>
  <si>
    <t>Gross acquisition requirement; sales capacity</t>
  </si>
  <si>
    <t>Raise or lower churn. Planned deal volumes remain net targets unless the commercial scenarios are also changed.</t>
  </si>
  <si>
    <t>Accuracy check</t>
  </si>
  <si>
    <t>The old generic escrow-fee sensitivity is removed. Pricing sensitivity now points to tier-specific take rates, minimum fees, document/review fees, and dispute/amendment fees in Assumptions rows 72-83.</t>
  </si>
  <si>
    <t>Pilot-to-paid conversion is not a standalone model input. It is represented by deal volume, partner count, and repeat usage / active customer assumptions.</t>
  </si>
  <si>
    <t>DEAL-VALUE SENSITIVITY — INDEPENDENT OF COMMERCIAL SCENARIO</t>
  </si>
  <si>
    <t>Tier</t>
  </si>
  <si>
    <t>Year 1 (GBP)</t>
  </si>
  <si>
    <t>Annual growth</t>
  </si>
  <si>
    <t>Year 5 (GBP)</t>
  </si>
  <si>
    <t>Commercial interpretation</t>
  </si>
  <si>
    <t>Model use</t>
  </si>
  <si>
    <t>Source / status</t>
  </si>
  <si>
    <t>A</t>
  </si>
  <si>
    <t>Conservative initial use and expansion.</t>
  </si>
  <si>
    <t>Sensitivity only; not linked to the scenario engine.</t>
  </si>
  <si>
    <t>Deal-value research, 11 Aug 2026</t>
  </si>
  <si>
    <t>Implemented operating assumption.</t>
  </si>
  <si>
    <t>Strong adoption and wallet expansion.</t>
  </si>
  <si>
    <t>B</t>
  </si>
  <si>
    <t>Commercially stressed; fee burden is material at this size.</t>
  </si>
  <si>
    <t>Strong adoption and repeat usage.</t>
  </si>
  <si>
    <t>C</t>
  </si>
  <si>
    <t>Commercially stressed; customer fee is approximately 4% at GBP 20k.</t>
  </si>
  <si>
    <t>Larger and more frequent repeat transactions.</t>
  </si>
  <si>
    <t>Sensitivity cases are deliberately separate from Low / Base / High customer-volume scenarios to prevent unintentional growth stacking.</t>
  </si>
  <si>
    <t>Risk Register — UAE Pilot, Pricing &amp; Model Assumptions</t>
  </si>
  <si>
    <t>Presentation-grade assumptions requiring UAE counsel, regulated-partner confirmation or firm quotes before live use.</t>
  </si>
  <si>
    <t>Assumption / item</t>
  </si>
  <si>
    <t>Risk level</t>
  </si>
  <si>
    <t>Why it's high-risk / what to confirm</t>
  </si>
  <si>
    <t>Confirm with</t>
  </si>
  <si>
    <t>DIFC partner-led pilot permission basis</t>
  </si>
  <si>
    <t>CRITICAL</t>
  </si>
  <si>
    <t>The Month-12 pilot assumes a regulated partner can support the relevant custody/settlement permissions and approve the operating model. Responsibilities and customer limits remain unconfirmed.</t>
  </si>
  <si>
    <t>UAE regulatory counsel + regulated partner</t>
  </si>
  <si>
    <t>VARA licensing perimeter for UAE-wide scale</t>
  </si>
  <si>
    <t>The Month-30 scale case assumes the required VARA categories, capital and operating controls can be secured. Current model values are planning assumptions, not approval.</t>
  </si>
  <si>
    <t>VARA counsel / regulator</t>
  </si>
  <si>
    <t>Escrow take rate &amp; revenue lines</t>
  </si>
  <si>
    <t>HIGH</t>
  </si>
  <si>
    <t>All revenue figures are 'estimate' quality — no clean public documentary-escrow comparable. The entire revenue model is a hypothesis until validated in paid pilots.</t>
  </si>
  <si>
    <t>Pilot pricing tests</t>
  </si>
  <si>
    <t>Trade Escrow Agreement enforceability</t>
  </si>
  <si>
    <t>Bespoke contract governing on-chain release of funds against off-chain documents; enforceability across buyer/seller jurisdictions is untested.</t>
  </si>
  <si>
    <t>Trade-finance + crypto counsel</t>
  </si>
  <si>
    <t>Smart-contract audit scope &amp; cost</t>
  </si>
  <si>
    <t>MEDIUM</t>
  </si>
  <si>
    <t>Audit cost depends on final contract complexity; a contract holding client funds warrants a top-tier audit and possibly re-audit after changes.</t>
  </si>
  <si>
    <t>Audit firm quote (scoped)</t>
  </si>
  <si>
    <t>UAE AML/KYC obligations and MLRO split</t>
  </si>
  <si>
    <t>Internal compliance FTE owns controls; the MLRO/specialist retainer is advisory and escalation support. Partner responsibilities must be documented to avoid gaps or duplicate costs.</t>
  </si>
  <si>
    <t>MLRO + partner compliance lead</t>
  </si>
  <si>
    <t>DIFC/UAE data protection</t>
  </si>
  <si>
    <t>Trade documents may contain personal data. DIFC/UAE processing, transfer, retention and breach requirements must be mapped before pilot launch.</t>
  </si>
  <si>
    <t>UAE data-protection counsel</t>
  </si>
  <si>
    <t>Insurance availability &amp; loading</t>
  </si>
  <si>
    <t>Crypto/fintech PI, cyber and D&amp;O can be hard to place and carry heavy loadings or exclusions (e.g. crypto exclusions). Quotes will vary widely.</t>
  </si>
  <si>
    <t>Specialist fintech insurance broker</t>
  </si>
  <si>
    <t>Salary &amp; contractor benchmarks</t>
  </si>
  <si>
    <t>LOW</t>
  </si>
  <si>
    <t>Ranges are benchmark-quality, not offers; actual hires may sit outside the band, especially scarce crypto/compliance talent.</t>
  </si>
  <si>
    <t>Recruiter / live market data</t>
  </si>
  <si>
    <t>Funding size &amp; timing</t>
  </si>
  <si>
    <t>The initial raise and later VARA capital call are modelled separately. Funding availability and investor timing may not match the planned launch milestones.</t>
  </si>
  <si>
    <t>Pre-seed/seed investors</t>
  </si>
  <si>
    <t>Goods delivery / quality / performance risk</t>
  </si>
  <si>
    <t>EXCLUDED</t>
  </si>
  <si>
    <t>Core premise: Blockmediary releases against documents, not actual delivery/condition. Must be drafted explicitly in TEA and customer terms.</t>
  </si>
  <si>
    <t>Trade finance counsel</t>
  </si>
  <si>
    <t>Wrongful release / process error</t>
  </si>
  <si>
    <t>Retained risk: if our rules engine, examiner, API integration or release workflow makes a bad decision, we may face claims.</t>
  </si>
  <si>
    <t>PI/E&amp;O insurer + counsel</t>
  </si>
  <si>
    <t>Document-source failure or outage</t>
  </si>
  <si>
    <t>Carrier/eBL/API source may be unavailable or wrong; model includes fallback and integration costs.</t>
  </si>
  <si>
    <t>Carrier/eBL partners</t>
  </si>
  <si>
    <t>Tier C paper/originals risk</t>
  </si>
  <si>
    <t>Manual paper, courier, originals and forensics create higher operational error and dispute risk.</t>
  </si>
  <si>
    <t>Forensics partner + ops lead</t>
  </si>
  <si>
    <t>Partner indemnities / pass-throughs</t>
  </si>
  <si>
    <t>Need contracts with eBL, carrier API, forensics, courier and KYC providers to push source failures and direct costs outward.</t>
  </si>
  <si>
    <t>Commercial counsel</t>
  </si>
  <si>
    <t>Operational error reserve adequacy</t>
  </si>
  <si>
    <t>Reserve is assumption-based, not actuarial. Must be revisited after pilot loss/dispute history.</t>
  </si>
  <si>
    <t>CFO + insurer</t>
  </si>
  <si>
    <t>Regulatory delay reserve</t>
  </si>
  <si>
    <t>Base planning assumes paid pilot Month 12 and VARA scale Month 30. Rework, partner conditions or regulator feedback can move both dates and increase operating funding need.</t>
  </si>
  <si>
    <t>UAE counsel / partner / investors</t>
  </si>
  <si>
    <t>Yield share upside</t>
  </si>
  <si>
    <t>Kept off in base case. Only use if regulated yield infrastructure and customer terms permit it.</t>
  </si>
  <si>
    <t>Crypto/payments counsel</t>
  </si>
  <si>
    <t>Driver Tables — Researched Cost &amp; Revenue Assumptions</t>
  </si>
  <si>
    <t>Reference ranges in native quoted currency. The operating model itself is controlled from Assumptions: fixed inputs use Assumptions column F; scenario drivers use Low/Base/High.</t>
  </si>
  <si>
    <t>Cost/Revenue driver</t>
  </si>
  <si>
    <t>Reference low</t>
  </si>
  <si>
    <t>Model / reference base</t>
  </si>
  <si>
    <t>Reference high</t>
  </si>
  <si>
    <t>Currency</t>
  </si>
  <si>
    <t>Source quality</t>
  </si>
  <si>
    <t>Source URL / note</t>
  </si>
  <si>
    <t>Modelling note</t>
  </si>
  <si>
    <t>Model usage</t>
  </si>
  <si>
    <t>Tiered escrow take rates</t>
  </si>
  <si>
    <t>Internal competitor analysis: Tazapay, Truzo, XREX and Komgo; final pilot pricing remains to be tested.</t>
  </si>
  <si>
    <t>Model uses one fixed Assumptions value; Low/Base/High scenarios do not change pricing.</t>
  </si>
  <si>
    <t>Reference; model input in Assumptions</t>
  </si>
  <si>
    <t>Minimum escrow fee</t>
  </si>
  <si>
    <t>A £150 / B £250 / C £500</t>
  </si>
  <si>
    <t>Single price book</t>
  </si>
  <si>
    <t>Protects small-deal margin</t>
  </si>
  <si>
    <t>Protects margin on small deals</t>
  </si>
  <si>
    <t>Document review fee</t>
  </si>
  <si>
    <t>A £25 / B £90 / C £300</t>
  </si>
  <si>
    <t>Below familiar LC discrepancy/admin fee burden</t>
  </si>
  <si>
    <t>Flat per-deal doc-check charge</t>
  </si>
  <si>
    <t>A £100 / B £200 / C £500</t>
  </si>
  <si>
    <t>Admin-fee comparable</t>
  </si>
  <si>
    <t>Charged only on disputed/amended deals</t>
  </si>
  <si>
    <t>SaaS/API partner fee</t>
  </si>
  <si>
    <t>White-label/API from Yr2</t>
  </si>
  <si>
    <t>× partners × 12</t>
  </si>
  <si>
    <t>Pilot→paid conversion</t>
  </si>
  <si>
    <t>benchmark</t>
  </si>
  <si>
    <t>B2B fintech pilots convert ~20–55%; feeds deal ramp</t>
  </si>
  <si>
    <t>Drives Yr1→Yr2 deal growth</t>
  </si>
  <si>
    <t>Scenario driver</t>
  </si>
  <si>
    <t>Startup cost</t>
  </si>
  <si>
    <t>Administrative setup only.</t>
  </si>
  <si>
    <t>Registered office / address service</t>
  </si>
  <si>
    <t>Compliance/legal</t>
  </si>
  <si>
    <t>DIFC/UAE operating-base quote required.</t>
  </si>
  <si>
    <t>Six-month planning allowance.</t>
  </si>
  <si>
    <t>Identity and company-administration allowance.</t>
  </si>
  <si>
    <t>Shareholder agreement</t>
  </si>
  <si>
    <t>https://founderdocuments.co.uk / lawyersonline.co.uk</t>
  </si>
  <si>
    <t>Fixed-fee range</t>
  </si>
  <si>
    <t>IP assignment</t>
  </si>
  <si>
    <t>Founder/contractor IP into NewCo</t>
  </si>
  <si>
    <t>Terms + privacy policy</t>
  </si>
  <si>
    <t>Fintech-grade</t>
  </si>
  <si>
    <t>Trade Escrow Agreement (bespoke)</t>
  </si>
  <si>
    <t>Core product contract; bespoke</t>
  </si>
  <si>
    <t>HIGH uncertainty</t>
  </si>
  <si>
    <t>UAE regulatory perimeter + partner-route advice</t>
  </si>
  <si>
    <t>docs/Dubai_Fintech_License_Requirements.md plus specialist UAE counsel.</t>
  </si>
  <si>
    <t>DIFC partner pilot and later VARA scale perimeter.</t>
  </si>
  <si>
    <t>UAE counsel and regulated-partner operating requirements.</t>
  </si>
  <si>
    <t>Pilot control pack and MLRO/escalation split.</t>
  </si>
  <si>
    <t>DIFC data-protection setup</t>
  </si>
  <si>
    <t>DIFC/UAE data-protection requirements; verify current primary rules.</t>
  </si>
  <si>
    <t>DPIA, processing records and transfer mapping.</t>
  </si>
  <si>
    <t>Planning allowance; verify current DIFC filing requirements and fees.</t>
  </si>
  <si>
    <t>Administrative data-protection filing allowance.</t>
  </si>
  <si>
    <t>Smart-contract audit</t>
  </si>
  <si>
    <t>Moderate-complexity escrow</t>
  </si>
  <si>
    <t>Penetration test</t>
  </si>
  <si>
    <t>Pre-launch web app pentest</t>
  </si>
  <si>
    <t>Smart-contract development</t>
  </si>
  <si>
    <t>Contract build (days×rate)</t>
  </si>
  <si>
    <t>Web/full-stack build</t>
  </si>
  <si>
    <t>MVP incl integrations</t>
  </si>
  <si>
    <t>UI/UX design</t>
  </si>
  <si>
    <t>Brand + pitch deck</t>
  </si>
  <si>
    <t>Marketing website + domain</t>
  </si>
  <si>
    <t>vendor/estimate</t>
  </si>
  <si>
    <t>Domain/Workspace vendor-priced</t>
  </si>
  <si>
    <t>667</t>
  </si>
  <si>
    <t>Business development</t>
  </si>
  <si>
    <t>ME travel raises high end</t>
  </si>
  <si>
    <t>Claude API per document</t>
  </si>
  <si>
    <t>COGS/variable cost</t>
  </si>
  <si>
    <t>$</t>
  </si>
  <si>
    <t>vendor</t>
  </si>
  <si>
    <t>https://docs.claude.com (Haiku $1/$5, Sonnet $3/$15 per MTok)</t>
  </si>
  <si>
    <t>Use Haiku+caching; batch −50%</t>
  </si>
  <si>
    <t>OCR alternative (AWS Textract etc.)</t>
  </si>
  <si>
    <t>AWS Textract ~$1.5/1000 pages forms-tier</t>
  </si>
  <si>
    <t>Fallback/complement to LLM</t>
  </si>
  <si>
    <t>KYB business verification</t>
  </si>
  <si>
    <t>https://didit.me (fr $2); https://sumsub.com/pricing</t>
  </si>
  <si>
    <t>Per entity</t>
  </si>
  <si>
    <t>KYC/UBO + sanctions</t>
  </si>
  <si>
    <t>https://sumsub.com/pricing ($1.35); Didit $0.30</t>
  </si>
  <si>
    <t>Per counterparty/UBO</t>
  </si>
  <si>
    <t>Human document review</t>
  </si>
  <si>
    <t>Human-in-loop; automate down over time</t>
  </si>
  <si>
    <t>Scales with volume</t>
  </si>
  <si>
    <t>Blockchain gas (Base L2)</t>
  </si>
  <si>
    <t>official</t>
  </si>
  <si>
    <t>https://docs.base.org/.../network-fees (~$0.002/200k gas)</t>
  </si>
  <si>
    <t>Several txns/deal (deploy+release)</t>
  </si>
  <si>
    <t>RPC/node provider</t>
  </si>
  <si>
    <t>Alchemy/QuickNode metered compute units</t>
  </si>
  <si>
    <t>Doc + ledger storage</t>
  </si>
  <si>
    <t>S3 + Glacier audit ledger</t>
  </si>
  <si>
    <t>Blended</t>
  </si>
  <si>
    <t>Manual labour</t>
  </si>
  <si>
    <t>× disputed deals</t>
  </si>
  <si>
    <t>Fixed opex</t>
  </si>
  <si>
    <t>https://vercel.com/pricing ($20/seat) + AWS usage</t>
  </si>
  <si>
    <t>Watch usage overages</t>
  </si>
  <si>
    <t>Managed Postgres + S3</t>
  </si>
  <si>
    <t>Monitoring/logging/security</t>
  </si>
  <si>
    <t>Sentry/Datadog/Snyk</t>
  </si>
  <si>
    <t>GitHub $4–21/user</t>
  </si>
  <si>
    <t>Google Workspace</t>
  </si>
  <si>
    <t>~£12/user Business Standard</t>
  </si>
  <si>
    <t>HubSpot/Pipedrive</t>
  </si>
  <si>
    <t>Outsourced</t>
  </si>
  <si>
    <t>Legal retainer</t>
  </si>
  <si>
    <t>Ongoing commercial/reg</t>
  </si>
  <si>
    <t>benchmark/estimate</t>
  </si>
  <si>
    <t>Fractional MLRO/consultant</t>
  </si>
  <si>
    <t>Marketing / conferences</t>
  </si>
  <si>
    <t>Insurance PI+cyber+D&amp;O</t>
  </si>
  <si>
    <t>Superscript/Lockton fintech; PI+cyber+D&amp;O</t>
  </si>
  <si>
    <t>Annual /12; fintech loading</t>
  </si>
  <si>
    <t>HR</t>
  </si>
  <si>
    <t>Pre-seed founder norm</t>
  </si>
  <si>
    <t>Software engineer salary</t>
  </si>
  <si>
    <t>https://savingtool.co.uk; glassdoor UK fintech SWE</t>
  </si>
  <si>
    <t>https://www.morganmckinley.com/uk/salary-guide/data/compliance-officer/london</t>
  </si>
  <si>
    <t>FS compliance officer</t>
  </si>
  <si>
    <t>15% above £5,000 ST</t>
  </si>
  <si>
    <t>Min 3% employer</t>
  </si>
  <si>
    <t>Smart-contract dev day rate</t>
  </si>
  <si>
    <t>Specialist Solidity contractor</t>
  </si>
  <si>
    <t>Full-stack dev day rate</t>
  </si>
  <si>
    <t>Inside/outside IR35 varies</t>
  </si>
  <si>
    <t>Compliance consultant day rate</t>
  </si>
  <si>
    <t>Crypto reg specialist</t>
  </si>
  <si>
    <t>UX/design day rate</t>
  </si>
  <si>
    <t>Pre-seed raise (UK/EU)</t>
  </si>
  <si>
    <t>Funding</t>
  </si>
  <si>
    <t>Carta/PitchBook; UK/EU pre-seed via SAFE</t>
  </si>
  <si>
    <t>SAFE common &lt;£4M-equiv</t>
  </si>
  <si>
    <t>Seed raise (UK/EU)</t>
  </si>
  <si>
    <t>Median seed $2.5–3.5M</t>
  </si>
  <si>
    <t>Priced round</t>
  </si>
  <si>
    <t>Seed raise (Middle East)</t>
  </si>
  <si>
    <t>ME avg seed ~$3.7M</t>
  </si>
  <si>
    <t>Higher dilution ~25%</t>
  </si>
  <si>
    <t>Pre-seed dilution</t>
  </si>
  <si>
    <t>Carta State of Pre-Seed</t>
  </si>
  <si>
    <t>Runway buffer (regulated fintech)</t>
  </si>
  <si>
    <t>months</t>
  </si>
  <si>
    <t>Regulated fintech carries longer buffer</t>
  </si>
  <si>
    <t>Cash buffer guidance</t>
  </si>
  <si>
    <t>Tier A/B/C mix by year</t>
  </si>
  <si>
    <t>Revenue / risk</t>
  </si>
  <si>
    <t>See Assumptions rows 75-83</t>
  </si>
  <si>
    <t>Base: A 15%-&gt;30%-&gt;45%; B 45%-&gt;45%-&gt;40%; C 40%-&gt;25%-&gt;15%</t>
  </si>
  <si>
    <t>Upside shifts faster to eBL</t>
  </si>
  <si>
    <t>% of deals</t>
  </si>
  <si>
    <t>Derived from slide-09 six-layer verification stack and slide-10 tier mix</t>
  </si>
  <si>
    <t>Tier A eBL take rate/min fee</t>
  </si>
  <si>
    <t>% GMV / GBP</t>
  </si>
  <si>
    <t>Tier A eBL/source-of-truth rail; competitive entry price. Source: docs/Competitor-analysis.md.</t>
  </si>
  <si>
    <t>Single price book; commercial scenarios change adoption and mix, not pricing.</t>
  </si>
  <si>
    <t>Tier B carrier/API take rate/min fee</t>
  </si>
  <si>
    <t>Tier B carrier/API verification; mid-tier escrow price. Source: docs/Competitor-analysis.md.</t>
  </si>
  <si>
    <t>Tier C paper take rate/min fee</t>
  </si>
  <si>
    <t>Tier C paper/originals fallback; premium manual price. Source: docs/Competitor-analysis.md.</t>
  </si>
  <si>
    <t>estimate/quote-based</t>
  </si>
  <si>
    <t>eBL platform/API validation</t>
  </si>
  <si>
    <t>Model uses one fixed Assumptions value unless explicitly listed as a scenario driver.</t>
  </si>
  <si>
    <t>DCSA/carrier verification</t>
  </si>
  <si>
    <t>Courier/originals/forensics partner</t>
  </si>
  <si>
    <t>Light examiner time</t>
  </si>
  <si>
    <t>Examiner plus source check</t>
  </si>
  <si>
    <t>Paper/manual examiner workflow</t>
  </si>
  <si>
    <t>Risk</t>
  </si>
  <si>
    <t>2%</t>
  </si>
  <si>
    <t>4%</t>
  </si>
  <si>
    <t>7%</t>
  </si>
  <si>
    <t>Lower document-source risk</t>
  </si>
  <si>
    <t>6%</t>
  </si>
  <si>
    <t>10%</t>
  </si>
  <si>
    <t>15%</t>
  </si>
  <si>
    <t>12%</t>
  </si>
  <si>
    <t>20%</t>
  </si>
  <si>
    <t>30%</t>
  </si>
  <si>
    <t>Tier A SLA</t>
  </si>
  <si>
    <t>Risk / ops</t>
  </si>
  <si>
    <t>0.02d</t>
  </si>
  <si>
    <t>0.05d</t>
  </si>
  <si>
    <t>0.1d</t>
  </si>
  <si>
    <t>Tier B SLA</t>
  </si>
  <si>
    <t>0.25d</t>
  </si>
  <si>
    <t>0.5d</t>
  </si>
  <si>
    <t>1d</t>
  </si>
  <si>
    <t>Tier C SLA</t>
  </si>
  <si>
    <t>5d</t>
  </si>
  <si>
    <t>7d</t>
  </si>
  <si>
    <t>10d</t>
  </si>
  <si>
    <t>Physical originals path</t>
  </si>
  <si>
    <t>Tier A/B/C docs per deal</t>
  </si>
  <si>
    <t>A2/B4/C6</t>
  </si>
  <si>
    <t>A3/B6/C9</t>
  </si>
  <si>
    <t>A4/B8/C12</t>
  </si>
  <si>
    <t>Different intake methods imply different document packs</t>
  </si>
  <si>
    <t>Tier risk score</t>
  </si>
  <si>
    <t>A1/B2/C4</t>
  </si>
  <si>
    <t>A1/B3/C5</t>
  </si>
  <si>
    <t>A2/B3/C5</t>
  </si>
  <si>
    <t>Narrative risk score for finance/pitch</t>
  </si>
  <si>
    <t>MODEL CHECKS</t>
  </si>
  <si>
    <t>Green status means the model reconciles mechanically. UAE partner, DIFC and VARA assumptions remain presentation estimates pending counsel and regulator confirmation.</t>
  </si>
  <si>
    <t>Overall model status</t>
  </si>
  <si>
    <t>Check</t>
  </si>
  <si>
    <t>Actual</t>
  </si>
  <si>
    <t>Expected</t>
  </si>
  <si>
    <t>Difference</t>
  </si>
  <si>
    <t>Tolerance</t>
  </si>
  <si>
    <t>Status</t>
  </si>
  <si>
    <t>Interpretation</t>
  </si>
  <si>
    <t>Business scenario selector</t>
  </si>
  <si>
    <t>Presentation default must be Base (2); change temporarily for sensitivities.</t>
  </si>
  <si>
    <t>UAE timing case selector</t>
  </si>
  <si>
    <t>Presentation default must be Base timing (2).</t>
  </si>
  <si>
    <t>P&amp;L operating-cost roll-up</t>
  </si>
  <si>
    <t>Payroll + fixed opex + one-off.</t>
  </si>
  <si>
    <t>P&amp;L cumulative roll-forward</t>
  </si>
  <si>
    <t>Cumulative result equals sum of annual results.</t>
  </si>
  <si>
    <t>Cash closing balance roll-forward</t>
  </si>
  <si>
    <t>Unrestricted + restricted cash.</t>
  </si>
  <si>
    <t>Restricted capital tie-out</t>
  </si>
  <si>
    <t>Initial and future restricted capital are funded and held separately from operating cash.</t>
  </si>
  <si>
    <t>Total raise presentation tie</t>
  </si>
  <si>
    <t>Operating ask plus restricted capital.</t>
  </si>
  <si>
    <t>No cash receipts before permitted month</t>
  </si>
  <si>
    <t>Receipt lag enforced.</t>
  </si>
  <si>
    <t>Minimum unrestricted closing cash</t>
  </si>
  <si>
    <t>Funding plan avoids an operating cash shortfall.</t>
  </si>
  <si>
    <t>Dashboard headline cells evaluate</t>
  </si>
  <si>
    <t>Zero means the key dashboard KPI formulas evaluate without errors.</t>
  </si>
  <si>
    <t>Receipts reconcile to revenue</t>
  </si>
  <si>
    <t>60-month receipts equal five-year revenue less the lag tail falling after month 60.</t>
  </si>
  <si>
    <t>Staged UAE regulatory one-offs tie-out</t>
  </si>
  <si>
    <t>Pilot one-off plus later VARA application fees equal the staged regulatory one-offs in the P&amp;L.</t>
  </si>
  <si>
    <t>Selected scenario revenue ties to active P&amp;L</t>
  </si>
  <si>
    <t>Selected scenario COGS ties to active P&amp;L</t>
  </si>
  <si>
    <t>Tier deal-value assumptions populated</t>
  </si>
  <si>
    <t>All three Year-1 values and all three annual growth rates must be numeric.</t>
  </si>
  <si>
    <t>Tier GMV ties to five-year P&amp;L</t>
  </si>
  <si>
    <t>P&amp;L GMV must be sourced from the tier-level calculation.</t>
  </si>
  <si>
    <t>Blended deal values reconcile</t>
  </si>
  <si>
    <t>The displayed average must equal total GMV divided by deal count.</t>
  </si>
  <si>
    <t>Tier escrow revenue ties to P&amp;L</t>
  </si>
  <si>
    <t>Escrow revenue must retain tier-specific rates and minimum fees.</t>
  </si>
  <si>
    <t>Selected scenario GMV ties to P&amp;L</t>
  </si>
  <si>
    <t>The active Low / Base / High volume scenario must use the same tier-value schedule as the P&amp;L.</t>
  </si>
  <si>
    <t>Churn assumption within planning range</t>
  </si>
  <si>
    <t>Annual logo churn must remain between 0% and 30% for this planning model.</t>
  </si>
  <si>
    <t>Customer retention bridge closes</t>
  </si>
  <si>
    <t>Ending customers must equal target customers in every year.</t>
  </si>
  <si>
    <t>Client-funds memorandum balances</t>
  </si>
  <si>
    <t>Safeguarded client assets plus matching liabilities must net to zero.</t>
  </si>
  <si>
    <t>Client funds excluded from operating cash</t>
  </si>
  <si>
    <t>Client funds and the cash-flow placeholder must contribute zero operating liquidity.</t>
  </si>
  <si>
    <t>First paid pilot month</t>
  </si>
  <si>
    <t>Base case implements the agreed Month-12 paid pilot.</t>
  </si>
  <si>
    <t>First cash receipt month</t>
  </si>
  <si>
    <t>One-month receipt lag puts first cash in Month 13.</t>
  </si>
  <si>
    <t>VARA scale target month</t>
  </si>
  <si>
    <t>Base case implements the Month-30 VARA scale target.</t>
  </si>
  <si>
    <t>Critical path drives first paid pilot</t>
  </si>
  <si>
    <t>First paid month must follow the latest customer-blocking gate.</t>
  </si>
  <si>
    <t>Workforce timing schedule ties</t>
  </si>
  <si>
    <t>Role weights are driven by explicit start months, not the launch selector.</t>
  </si>
  <si>
    <t>Tier price book consistency</t>
  </si>
  <si>
    <t>Tier A / B / C take rates must remain 0.8% / 1.5% / 3.0%.</t>
  </si>
  <si>
    <t>Use-of-funds amount tie</t>
  </si>
  <si>
    <t>Use-of-funds amounts must equal the initial operating funding need.</t>
  </si>
  <si>
    <t>Use-of-funds percentage tie</t>
  </si>
  <si>
    <t>Use-of-funds shares must sum to 100%.</t>
  </si>
  <si>
    <t>Future VARA capital excluded from initial ask</t>
  </si>
  <si>
    <t>Future VARA restricted capital is separately displayed and not spendable pilot runway.</t>
  </si>
  <si>
    <t>Net operating cash-flow subtotal logic</t>
  </si>
  <si>
    <t>Independent subtotal check prevents gross-margin double counting; £100 tolerance covers cumulative monthly rounding.</t>
  </si>
  <si>
    <t>VARA operating-month schedule</t>
  </si>
  <si>
    <t>Base timing must stage 0 / 0 / 7 / 12 / 12 months.</t>
  </si>
  <si>
    <t>Dashboard / selected scenario funding tie</t>
  </si>
  <si>
    <t>Dashboard funding card must equal the selected scenario funding requirement.</t>
  </si>
  <si>
    <t>Mandatory-review inputs valid</t>
  </si>
  <si>
    <t>Threshold shares must be 0%–100% and incremental review cost non-negative.</t>
  </si>
  <si>
    <t>Three-month reserve sensitivity tie</t>
  </si>
  <si>
    <t>The 3-month sensitivity must reproduce the selected funding headline.</t>
  </si>
  <si>
    <t>Client Funds Memorandum — Safeguarded Escrow Scale</t>
  </si>
  <si>
    <t>Memorandum only: customer escrow is not revenue, unrestricted cash, runway liquidity or funding capacity.</t>
  </si>
  <si>
    <t>SAFEGUARDED CLIENT ESCROW — FIVE-YEAR MEMORANDUM</t>
  </si>
  <si>
    <t>Treatment / note</t>
  </si>
  <si>
    <t>Annual GMV</t>
  </si>
  <si>
    <t>GBP/year</t>
  </si>
  <si>
    <t>Commercial throughput sourced from the five-year P&amp;L.</t>
  </si>
  <si>
    <t>Planning assumption; replace with measured pilot cycle time.</t>
  </si>
  <si>
    <t>Average safeguarded client assets</t>
  </si>
  <si>
    <t>Annual GMV × holding days ÷ 365; memorandum balance only.</t>
  </si>
  <si>
    <t>Matching client escrow liability</t>
  </si>
  <si>
    <t>Equal and opposite obligation to customers / escrow beneficiaries.</t>
  </si>
  <si>
    <t>Net client-funds balance</t>
  </si>
  <si>
    <t>Client asset plus matching liability; must equal zero.</t>
  </si>
  <si>
    <t>Availability to Blockmediary operating cash</t>
  </si>
  <si>
    <t>Hard-control result: zero availability to operations.</t>
  </si>
  <si>
    <t>Memorandum yield at assumed rate (not in P&amp;L)</t>
  </si>
  <si>
    <t>No yield or spread recognised in the model.</t>
  </si>
  <si>
    <t>POLICY AND CONTROL INTERPRETATION</t>
  </si>
  <si>
    <t>1. During the partner-led pilot, buyer funds route to the regulated partner or a counsel-approved non-custodial smart contract structure; they never route through a Blockmediary-controlled wallet.</t>
  </si>
  <si>
    <t>2. Client assets and matching liabilities are shown gross solely to size operational safeguarding, reconciliation and custody requirements.</t>
  </si>
  <si>
    <t>3. Client funds remain excluded from revenue, unrestricted cash, runway and the funding ask.</t>
  </si>
  <si>
    <t>4. No client-asset yield or spread is modelled without legal, regulatory and accounting approval; replace the 14-day hold with pilot telemetry.</t>
  </si>
  <si>
    <t>MEMORANDUM CHECKS</t>
  </si>
  <si>
    <t>Client assets plus liability</t>
  </si>
  <si>
    <t>Expected: 0</t>
  </si>
  <si>
    <t>Checks the gross memorandum balances net to zero.</t>
  </si>
  <si>
    <t>Operating cash availability</t>
  </si>
  <si>
    <t>Checks that none of the client assets are available to operations.</t>
  </si>
  <si>
    <t>HOLDING-PERIOD SENSITIVITY — YEAR 5</t>
  </si>
  <si>
    <t>Holding period</t>
  </si>
  <si>
    <t>Average client funds</t>
  </si>
  <si>
    <t>Change vs current base</t>
  </si>
  <si>
    <t>Higher safeguarded balances do not increase operating cash; they indicate reconciliation, security, insurance and reporting scale.</t>
  </si>
  <si>
    <t>Launch Readiness</t>
  </si>
  <si>
    <t>Tier Economics</t>
  </si>
  <si>
    <t>Revenue Risk Add-Ons</t>
  </si>
  <si>
    <t>P&amp;L 5yr</t>
  </si>
  <si>
    <t>Cash Flow Statement</t>
  </si>
  <si>
    <t>Startup 6mo</t>
  </si>
  <si>
    <t>Ranked view of the assumptions that most affect funding, margin and growth.</t>
  </si>
  <si>
    <t>Key legal, regulatory, commercial and operating assumptions that still need validation.</t>
  </si>
  <si>
    <t>Driver Tables</t>
  </si>
  <si>
    <t>Research ranges and source notes supporting the model's cost and revenue inputs.</t>
  </si>
  <si>
    <t>Model Checks</t>
  </si>
  <si>
    <t>Safeguarded client-funds balances and holding-period sensitivity; excluded from operating cash.</t>
  </si>
  <si>
    <t>1. Edit blue inputs in Assumptions and Launch Readiness. Yellow cells are key presentation controls; formulas and linked values update automatically.</t>
  </si>
  <si>
    <t>3. Launch Readiness!B5 selects timing: 1=Early, 2=Base, 3=Delayed. The route is fixed as DIFC partner-led pilot followed by VARA expansion.</t>
  </si>
  <si>
    <t>4. Startup 6mo holds core pre-revenue build costs. Launch Readiness separately times partner/DIFC pilot costs, future VARA fees and restricted capital.</t>
  </si>
  <si>
    <t>5. P&amp;L 5yr, Cash Flow Statement and Model Checks provide economics, runway and integrity; supporting tabs retain sources, sensitivities, risks and safeguarding detail.</t>
  </si>
  <si>
    <t>Driver Tables keeps each driver in its native quoted currency; the conversion happens where the driver feeds the P&amp;L.</t>
  </si>
  <si>
    <t>Base cases shown. Inputs: Assumptions!C4 and Launch Readiness!B5. Y4/Y5 acquisition intensity is flagged in P&amp;L 5yr.</t>
  </si>
  <si>
    <t>Scenario Engine!$H$49:$L$49</t>
  </si>
  <si>
    <t>Scenario Engine!$H$9:$L$9</t>
  </si>
  <si>
    <t>Scenario Engine!$H$8:$J$8</t>
  </si>
  <si>
    <t>Scenario Engine!D30/J30/P30</t>
  </si>
  <si>
    <t>Scenario Engine!D62/J62/P62</t>
  </si>
  <si>
    <t>Cash Flow Statement!B45:B47</t>
  </si>
  <si>
    <t>Launch Readiness!F12</t>
  </si>
  <si>
    <t>Tier Economics total escrow fee / GMV</t>
  </si>
  <si>
    <t>Launch Readiness!F17</t>
  </si>
  <si>
    <t>• Base Y4/Y5 volume is a planning target; acquisition capacity is flagged in P&amp;L 5yr.</t>
  </si>
  <si>
    <t>Driver Tables row 19 / pending partner term sheet</t>
  </si>
  <si>
    <t>Tier-weighted docs/deal from Tier Economics</t>
  </si>
  <si>
    <t>Annual payroll from P&amp;L 5yr divided by 12.</t>
  </si>
  <si>
    <t>Annual fixed opex from P&amp;L 5yr divided by 12.</t>
  </si>
  <si>
    <t>Startup 6mo / Year 1 one-off spend paid over months 1-6.</t>
  </si>
  <si>
    <t>Payroll, fixed opex and one-off cost are scenario-invariant and link straight to P&amp;L 5yr. Green cells are links to other sheets.</t>
  </si>
  <si>
    <t>SCENARIO-INVARIANT COSTS (linked from P&amp;L 5yr)</t>
  </si>
  <si>
    <t>Five-year continuation; linked into P&amp;L 5yr</t>
  </si>
  <si>
    <t>One-off costs incurred in months 0-6. Recurring opex/payroll lives in P&amp;L 5yr. Scenario-driven (Low/Base/High).</t>
  </si>
  <si>
    <t>Administrative company setup only; UAE launch permissions are modelled in Launch Readiness.</t>
  </si>
  <si>
    <t>Launch Readiness!A5</t>
  </si>
  <si>
    <t>Administrative company setup allowance; UAE launch permissions are modelled separately in Launch Readiness.</t>
  </si>
  <si>
    <t>Reference benchmark only; Startup 6mo uses project-level cost estimates.</t>
  </si>
  <si>
    <t>Feeds Tier Economics</t>
  </si>
  <si>
    <t>Selected Scenario Engine revenue equals the active P&amp;L.</t>
  </si>
  <si>
    <t>Selected Scenario Engine COGS equals the active P&amp;L.</t>
  </si>
  <si>
    <t>benchmark = credible third-party benchmark / salary survey / market report.  estimate = informed estimate, NOT independently sourced</t>
  </si>
  <si>
    <t>£10,500 Employment Allowance in 2026/27 (GOV.UK).</t>
  </si>
  <si>
    <t>Projected Steady State CAC</t>
  </si>
  <si>
    <t>AI-enabled staffing ramp targets &lt;=250 gross new customers per Sales/BD/CS FTE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</si>
</sst>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0&quot; months&quot;"/>
    <numFmt numFmtId="165" formatCode="0&quot; mo&quot;"/>
    <numFmt numFmtId="166" formatCode="#,##0.0;\(#,##0.0\);0.0"/>
    <numFmt numFmtId="167" formatCode="#,##0;[Red]\(#,##0\);0"/>
    <numFmt numFmtId="168" formatCode="&quot;£&quot;#,##0;[Red]\(&quot;£&quot;#,##0\);&quot;–&quot;"/>
    <numFmt numFmtId="169" formatCode="#,##0.0;[Red]\(#,##0.0\);0.0"/>
    <numFmt numFmtId="170" formatCode="#,##0;\(#,##0\);0"/>
    <numFmt numFmtId="171" formatCode="0%;[Red]\-0%;0%"/>
    <numFmt numFmtId="172" formatCode="0.00%;[Red]\-0.00%;0.00%"/>
    <numFmt numFmtId="173" formatCode="&quot;£&quot;#,##0.00;[Red]\(&quot;£&quot;#,##0.00\);&quot;–&quot;"/>
    <numFmt numFmtId="174" formatCode="#,##0.00;[Red]\(#,##0.00\);0.00"/>
    <numFmt numFmtId="175" formatCode="#,##0.0000;[Red]\(#,##0.0000\);0.0000"/>
    <numFmt numFmtId="176" formatCode="0.0%;[Red]\-0.0%;0.0%"/>
    <numFmt numFmtId="177" formatCode="&quot;$&quot;#,##0.00;[Red]\(&quot;$&quot;#,##0.00\);&quot;–&quot;"/>
    <numFmt numFmtId="178" formatCode="&quot;$&quot;#,##0;[Red]\(&quot;$&quot;#,##0\);&quot;–&quot;"/>
    <numFmt numFmtId="179" formatCode="#,##0.######;[Red]\(#,##0.######\);0"/>
    <numFmt numFmtId="180" formatCode="&quot;£&quot;#,##0.##;[Red]\(&quot;£&quot;#,##0.##\);&quot;£&quot;0"/>
  </numFmts>
  <fonts count="41" x14ac:knownFonts="1">
    <font>
      <sz val="10"/>
      <name val="Arial"/>
    </font>
    <font>
      <sz val="12"/>
      <color theme="10"/>
      <name val="Calibri"/>
      <family val="2"/>
    </font>
    <font>
      <sz val="10"/>
      <color theme="10"/>
      <name val="Arial"/>
      <family val="2"/>
    </font>
    <font>
      <b/>
      <sz val="15"/>
      <color rgb="FFFFFFFF"/>
      <name val="Calibri"/>
      <family val="2"/>
    </font>
    <font>
      <sz val="10"/>
      <color rgb="FFFFFFFF"/>
      <name val="Calibri"/>
      <family val="2"/>
    </font>
    <font>
      <b/>
      <sz val="22"/>
      <color rgb="FF1B2A41"/>
      <name val="Calibri"/>
      <family val="2"/>
    </font>
    <font>
      <b/>
      <sz val="20"/>
      <color rgb="FF1B2A41"/>
      <name val="Calibri"/>
      <family val="2"/>
    </font>
    <font>
      <sz val="11"/>
      <color rgb="FF667385"/>
      <name val="Calibri"/>
      <family val="2"/>
    </font>
    <font>
      <i/>
      <sz val="10"/>
      <color rgb="FF667385"/>
      <name val="Calibri"/>
      <family val="2"/>
    </font>
    <font>
      <b/>
      <sz val="9"/>
      <color rgb="FF8A6100"/>
      <name val="Calibri"/>
      <family val="2"/>
    </font>
    <font>
      <b/>
      <sz val="10"/>
      <color rgb="FF1B2A41"/>
      <name val="Calibri"/>
      <family val="2"/>
    </font>
    <font>
      <sz val="10"/>
      <color rgb="FF667385"/>
      <name val="Calibri"/>
      <family val="2"/>
    </font>
    <font>
      <b/>
      <sz val="10"/>
      <color rgb="FF8A6100"/>
      <name val="Calibri"/>
      <family val="2"/>
    </font>
    <font>
      <b/>
      <sz val="9"/>
      <color rgb="FF1B2A41"/>
      <name val="Calibri"/>
      <family val="2"/>
    </font>
    <font>
      <sz val="10"/>
      <color rgb="FF313D4F"/>
      <name val="Calibri"/>
      <family val="2"/>
    </font>
    <font>
      <sz val="10"/>
      <color rgb="FF1B6B4A"/>
      <name val="Calibri"/>
      <family val="2"/>
    </font>
    <font>
      <sz val="10"/>
      <color rgb="FF1F4E9C"/>
      <name val="Calibri"/>
      <family val="2"/>
    </font>
    <font>
      <b/>
      <sz val="11"/>
      <color rgb="FF1F4E9C"/>
      <name val="Calibri"/>
      <family val="2"/>
    </font>
    <font>
      <i/>
      <sz val="10"/>
      <color rgb="FF1B2A41"/>
      <name val="Calibri"/>
      <family val="2"/>
    </font>
    <font>
      <b/>
      <sz val="10"/>
      <color rgb="FF1B2A41"/>
      <name val="Calibri"/>
      <family val="2"/>
    </font>
    <font>
      <sz val="8"/>
      <color rgb="FF667385"/>
      <name val="Calibri"/>
      <family val="2"/>
    </font>
    <font>
      <i/>
      <sz val="9"/>
      <color rgb="FF667385"/>
      <name val="Calibri"/>
      <family val="2"/>
    </font>
    <font>
      <b/>
      <sz val="9"/>
      <color rgb="FF667385"/>
      <name val="Calibri"/>
      <family val="2"/>
    </font>
    <font>
      <sz val="9"/>
      <color rgb="FF1F4E9C"/>
      <name val="Calibri"/>
      <family val="2"/>
    </font>
    <font>
      <sz val="9"/>
      <color rgb="FF939EAC"/>
      <name val="Calibri"/>
      <family val="2"/>
    </font>
    <font>
      <sz val="9"/>
      <color rgb="FF667385"/>
      <name val="Calibri"/>
      <family val="2"/>
    </font>
    <font>
      <sz val="8"/>
      <color rgb="FF939EAC"/>
      <name val="Calibri"/>
      <family val="2"/>
    </font>
    <font>
      <b/>
      <sz val="10"/>
      <color rgb="FF1B6B4A"/>
      <name val="Calibri"/>
      <family val="2"/>
    </font>
    <font>
      <b/>
      <sz val="16"/>
      <color rgb="FF1B6B4A"/>
      <name val="Calibri"/>
      <family val="2"/>
    </font>
    <font>
      <b/>
      <sz val="9"/>
      <color rgb="FFA3231C"/>
      <name val="Calibri"/>
      <family val="2"/>
    </font>
    <font>
      <b/>
      <sz val="9"/>
      <color rgb="FF8A6100"/>
      <name val="Calibri"/>
      <family val="2"/>
    </font>
    <font>
      <sz val="9"/>
      <color rgb="FF667385"/>
      <name val="Calibri"/>
      <family val="2"/>
    </font>
    <font>
      <sz val="9"/>
      <color rgb="FF939EAC"/>
      <name val="Calibri"/>
      <family val="2"/>
    </font>
    <font>
      <i/>
      <sz val="9"/>
      <color rgb="FF939EAC"/>
      <name val="Calibri"/>
      <family val="2"/>
    </font>
    <font>
      <sz val="10"/>
      <color rgb="FF8A6100"/>
      <name val="Calibri"/>
      <family val="2"/>
    </font>
    <font>
      <b/>
      <sz val="10"/>
      <color rgb="FF1F4E9C"/>
      <name val="Calibri"/>
      <family val="2"/>
    </font>
    <font>
      <b/>
      <sz val="8"/>
      <color rgb="FF939EAC"/>
      <name val="Calibri"/>
      <family val="2"/>
    </font>
    <font>
      <b/>
      <sz val="11"/>
      <color rgb="FF1B2A41"/>
      <name val="Calibri"/>
      <family val="2"/>
    </font>
    <font>
      <i/>
      <sz val="9"/>
      <color rgb="FF939EAC"/>
      <name val="Calibri"/>
      <family val="2"/>
    </font>
    <font>
      <i/>
      <sz val="10"/>
      <color theme="0" tint="-0.49992370372631001"/>
      <name val="Calibri"/>
      <family val="2"/>
    </font>
    <font>
      <b/>
      <sz val="12"/>
      <color rgb="FF1F4E9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B2A41"/>
      </patternFill>
    </fill>
    <fill>
      <patternFill patternType="none"/>
    </fill>
    <fill>
      <patternFill patternType="solid">
        <fgColor rgb="FFEBEFF4"/>
      </patternFill>
    </fill>
    <fill>
      <patternFill patternType="solid">
        <fgColor rgb="FFFCF4E4"/>
      </patternFill>
    </fill>
    <fill>
      <patternFill patternType="solid">
        <fgColor rgb="FFF4F6F9"/>
      </patternFill>
    </fill>
    <fill>
      <patternFill patternType="solid">
        <fgColor rgb="FFFDF7EA"/>
      </patternFill>
    </fill>
    <fill>
      <patternFill patternType="solid">
        <fgColor rgb="FFFBEAC7"/>
      </patternFill>
    </fill>
    <fill>
      <patternFill patternType="solid">
        <fgColor rgb="FFF7F9FB"/>
      </patternFill>
    </fill>
    <fill>
      <patternFill patternType="solid">
        <fgColor rgb="FFFFFFFF"/>
      </patternFill>
    </fill>
    <fill>
      <patternFill patternType="solid">
        <fgColor rgb="FFE9F3ED"/>
      </patternFill>
    </fill>
    <fill>
      <patternFill patternType="solid">
        <fgColor rgb="FFFBEAE8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C08A1E"/>
      </bottom>
      <diagonal/>
    </border>
    <border>
      <left/>
      <right/>
      <top/>
      <bottom/>
      <diagonal/>
    </border>
    <border>
      <left/>
      <right/>
      <top style="thin">
        <color rgb="FFDDE2E8"/>
      </top>
      <bottom style="thin">
        <color rgb="FFDDE2E8"/>
      </bottom>
      <diagonal/>
    </border>
    <border>
      <left/>
      <right/>
      <top style="thin">
        <color rgb="FFC08A1E"/>
      </top>
      <bottom style="thin">
        <color rgb="FFC08A1E"/>
      </bottom>
      <diagonal/>
    </border>
    <border>
      <left/>
      <right/>
      <top style="thin">
        <color rgb="FFDDE2E8"/>
      </top>
      <bottom/>
      <diagonal/>
    </border>
    <border>
      <left/>
      <right/>
      <top style="thin">
        <color rgb="FFDDE2E8"/>
      </top>
      <bottom style="medium">
        <color rgb="FF1B2A41"/>
      </bottom>
      <diagonal/>
    </border>
    <border>
      <left/>
      <right/>
      <top/>
      <bottom style="thin">
        <color rgb="FFDDE2E8"/>
      </bottom>
      <diagonal/>
    </border>
    <border>
      <left style="thin">
        <color rgb="FFDDE2E8"/>
      </left>
      <right style="thin">
        <color rgb="FFDDE2E8"/>
      </right>
      <top style="thin">
        <color rgb="FFC08A1E"/>
      </top>
      <bottom style="thin">
        <color rgb="FFC08A1E"/>
      </bottom>
      <diagonal/>
    </border>
    <border>
      <left/>
      <right/>
      <top style="thin">
        <color rgb="FFAEB8C4"/>
      </top>
      <bottom style="thin">
        <color rgb="FFDDE2E8"/>
      </bottom>
      <diagonal/>
    </border>
    <border>
      <left/>
      <right/>
      <top style="thin">
        <color rgb="FF1B2A41"/>
      </top>
      <bottom style="thin">
        <color rgb="FFDDE2E8"/>
      </bottom>
      <diagonal/>
    </border>
    <border>
      <left/>
      <right/>
      <top style="thin">
        <color rgb="FF1B2A41"/>
      </top>
      <bottom style="double">
        <color rgb="FF1B2A41"/>
      </bottom>
      <diagonal/>
    </border>
    <border>
      <left style="thin">
        <color rgb="FFDDE2E8"/>
      </left>
      <right style="thin">
        <color rgb="FFDDE2E8"/>
      </right>
      <top style="thin">
        <color rgb="FFDDE2E8"/>
      </top>
      <bottom style="thin">
        <color rgb="FFDDE2E8"/>
      </bottom>
      <diagonal/>
    </border>
    <border>
      <left style="thin">
        <color rgb="FFDDE2E8"/>
      </left>
      <right/>
      <top style="medium">
        <color rgb="FFC08A1E"/>
      </top>
      <bottom/>
      <diagonal/>
    </border>
    <border>
      <left/>
      <right/>
      <top style="medium">
        <color rgb="FFC08A1E"/>
      </top>
      <bottom/>
      <diagonal/>
    </border>
    <border>
      <left/>
      <right style="thin">
        <color rgb="FFDDE2E8"/>
      </right>
      <top style="medium">
        <color rgb="FFC08A1E"/>
      </top>
      <bottom/>
      <diagonal/>
    </border>
    <border>
      <left style="thin">
        <color rgb="FFDDE2E8"/>
      </left>
      <right/>
      <top/>
      <bottom/>
      <diagonal/>
    </border>
    <border>
      <left/>
      <right style="thin">
        <color rgb="FFDDE2E8"/>
      </right>
      <top/>
      <bottom/>
      <diagonal/>
    </border>
    <border>
      <left style="thin">
        <color rgb="FFDDE2E8"/>
      </left>
      <right/>
      <top/>
      <bottom style="thin">
        <color rgb="FFDDE2E8"/>
      </bottom>
      <diagonal/>
    </border>
    <border>
      <left/>
      <right style="thin">
        <color rgb="FFDDE2E8"/>
      </right>
      <top/>
      <bottom style="thin">
        <color rgb="FFDDE2E8"/>
      </bottom>
      <diagonal/>
    </border>
    <border>
      <left style="thin">
        <color rgb="FFAEB8C4"/>
      </left>
      <right/>
      <top style="thin">
        <color rgb="FFDDE2E8"/>
      </top>
      <bottom style="medium">
        <color rgb="FF1B2A41"/>
      </bottom>
      <diagonal/>
    </border>
    <border>
      <left style="thin">
        <color rgb="FFAEB8C4"/>
      </left>
      <right/>
      <top/>
      <bottom style="thin">
        <color rgb="FFDDE2E8"/>
      </bottom>
      <diagonal/>
    </border>
    <border>
      <left style="thin">
        <color rgb="FFAEB8C4"/>
      </left>
      <right/>
      <top style="thin">
        <color rgb="FF1B2A41"/>
      </top>
      <bottom style="thin">
        <color rgb="FFDDE2E8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rgb="FFDDE2E8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10" fillId="4" borderId="3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0" fontId="12" fillId="5" borderId="4" xfId="0" applyFont="1" applyFill="1" applyBorder="1" applyAlignment="1">
      <alignment horizontal="left" vertical="center"/>
    </xf>
    <xf numFmtId="0" fontId="9" fillId="3" borderId="5" xfId="0" applyFont="1" applyFill="1" applyBorder="1" applyAlignment="1">
      <alignment horizontal="left"/>
    </xf>
    <xf numFmtId="0" fontId="13" fillId="6" borderId="6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horizontal="left" vertical="center" wrapText="1"/>
    </xf>
    <xf numFmtId="0" fontId="13" fillId="6" borderId="6" xfId="0" applyFont="1" applyFill="1" applyBorder="1" applyAlignment="1">
      <alignment horizontal="right" vertical="center" wrapText="1"/>
    </xf>
    <xf numFmtId="0" fontId="14" fillId="3" borderId="7" xfId="0" applyFont="1" applyFill="1" applyBorder="1" applyAlignment="1">
      <alignment horizontal="left" vertical="center"/>
    </xf>
    <xf numFmtId="0" fontId="14" fillId="3" borderId="7" xfId="0" applyFont="1" applyFill="1" applyBorder="1" applyAlignment="1">
      <alignment horizontal="left" vertical="center" wrapText="1"/>
    </xf>
    <xf numFmtId="0" fontId="10" fillId="3" borderId="7" xfId="0" applyFont="1" applyFill="1" applyBorder="1" applyAlignment="1">
      <alignment horizontal="left" vertical="center"/>
    </xf>
    <xf numFmtId="0" fontId="14" fillId="3" borderId="7" xfId="0" applyFont="1" applyFill="1" applyBorder="1" applyAlignment="1">
      <alignment horizontal="right" vertical="center"/>
    </xf>
    <xf numFmtId="0" fontId="16" fillId="7" borderId="7" xfId="0" applyFont="1" applyFill="1" applyBorder="1" applyAlignment="1">
      <alignment horizontal="right" vertical="center"/>
    </xf>
    <xf numFmtId="0" fontId="16" fillId="3" borderId="7" xfId="0" applyFont="1" applyFill="1" applyBorder="1" applyAlignment="1">
      <alignment horizontal="right" vertical="center"/>
    </xf>
    <xf numFmtId="0" fontId="14" fillId="3" borderId="7" xfId="0" applyFont="1" applyFill="1" applyBorder="1" applyAlignment="1">
      <alignment horizontal="center" vertical="center"/>
    </xf>
    <xf numFmtId="0" fontId="14" fillId="3" borderId="7" xfId="0" applyFont="1" applyFill="1" applyBorder="1" applyAlignment="1">
      <alignment horizontal="left" vertical="top" wrapText="1"/>
    </xf>
    <xf numFmtId="0" fontId="15" fillId="3" borderId="7" xfId="0" applyFont="1" applyFill="1" applyBorder="1" applyAlignment="1">
      <alignment horizontal="left" vertical="center" wrapText="1"/>
    </xf>
    <xf numFmtId="0" fontId="16" fillId="3" borderId="7" xfId="0" applyFont="1" applyFill="1" applyBorder="1" applyAlignment="1">
      <alignment horizontal="left" vertical="center" wrapText="1"/>
    </xf>
    <xf numFmtId="0" fontId="10" fillId="3" borderId="9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right" vertical="center"/>
    </xf>
    <xf numFmtId="0" fontId="10" fillId="4" borderId="10" xfId="0" applyFont="1" applyFill="1" applyBorder="1" applyAlignment="1">
      <alignment horizontal="left" vertical="center"/>
    </xf>
    <xf numFmtId="0" fontId="19" fillId="4" borderId="11" xfId="0" applyFont="1" applyFill="1" applyBorder="1" applyAlignment="1">
      <alignment horizontal="right" vertical="center"/>
    </xf>
    <xf numFmtId="0" fontId="19" fillId="4" borderId="11" xfId="0" applyFont="1" applyFill="1" applyBorder="1" applyAlignment="1">
      <alignment horizontal="left" vertical="center"/>
    </xf>
    <xf numFmtId="0" fontId="10" fillId="9" borderId="7" xfId="0" applyFont="1" applyFill="1" applyBorder="1" applyAlignment="1">
      <alignment horizontal="right" vertical="center"/>
    </xf>
    <xf numFmtId="0" fontId="10" fillId="9" borderId="7" xfId="0" applyFont="1" applyFill="1" applyBorder="1" applyAlignment="1">
      <alignment horizontal="left" vertical="center"/>
    </xf>
    <xf numFmtId="0" fontId="22" fillId="3" borderId="5" xfId="0" applyFont="1" applyFill="1" applyBorder="1" applyAlignment="1">
      <alignment horizontal="left"/>
    </xf>
    <xf numFmtId="0" fontId="23" fillId="3" borderId="2" xfId="0" applyFont="1" applyFill="1" applyBorder="1" applyAlignment="1">
      <alignment horizontal="left" vertical="center"/>
    </xf>
    <xf numFmtId="0" fontId="24" fillId="3" borderId="7" xfId="0" applyFont="1" applyFill="1" applyBorder="1" applyAlignment="1">
      <alignment horizontal="left" vertical="center"/>
    </xf>
    <xf numFmtId="0" fontId="25" fillId="3" borderId="7" xfId="0" applyFont="1" applyFill="1" applyBorder="1" applyAlignment="1">
      <alignment horizontal="left" vertical="center" wrapText="1"/>
    </xf>
    <xf numFmtId="0" fontId="25" fillId="3" borderId="7" xfId="0" applyFont="1" applyFill="1" applyBorder="1" applyAlignment="1">
      <alignment horizontal="left" vertical="top" wrapText="1"/>
    </xf>
    <xf numFmtId="0" fontId="25" fillId="3" borderId="7" xfId="0" applyFont="1" applyFill="1" applyBorder="1" applyAlignment="1">
      <alignment horizontal="left" vertical="center"/>
    </xf>
    <xf numFmtId="0" fontId="27" fillId="11" borderId="7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9" fillId="12" borderId="7" xfId="0" applyFont="1" applyFill="1" applyBorder="1" applyAlignment="1">
      <alignment horizontal="center" vertical="center"/>
    </xf>
    <xf numFmtId="0" fontId="30" fillId="5" borderId="7" xfId="0" applyFont="1" applyFill="1" applyBorder="1" applyAlignment="1">
      <alignment horizontal="center" vertical="center"/>
    </xf>
    <xf numFmtId="0" fontId="31" fillId="9" borderId="7" xfId="0" applyFont="1" applyFill="1" applyBorder="1" applyAlignment="1">
      <alignment horizontal="center" vertical="center"/>
    </xf>
    <xf numFmtId="0" fontId="32" fillId="3" borderId="7" xfId="0" applyFont="1" applyFill="1" applyBorder="1" applyAlignment="1">
      <alignment horizontal="center" vertical="center"/>
    </xf>
    <xf numFmtId="0" fontId="33" fillId="3" borderId="7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left" vertical="center"/>
    </xf>
    <xf numFmtId="0" fontId="31" fillId="3" borderId="2" xfId="0" applyFont="1" applyFill="1" applyBorder="1" applyAlignment="1">
      <alignment horizontal="left" vertical="center"/>
    </xf>
    <xf numFmtId="0" fontId="34" fillId="3" borderId="2" xfId="0" applyFont="1" applyFill="1" applyBorder="1" applyAlignment="1">
      <alignment horizontal="left" vertical="center"/>
    </xf>
    <xf numFmtId="0" fontId="35" fillId="3" borderId="2" xfId="0" applyFont="1" applyFill="1" applyBorder="1" applyAlignment="1">
      <alignment horizontal="left" vertical="center"/>
    </xf>
    <xf numFmtId="0" fontId="24" fillId="3" borderId="2" xfId="0" applyFont="1" applyFill="1" applyBorder="1" applyAlignment="1">
      <alignment horizontal="right" vertical="center"/>
    </xf>
    <xf numFmtId="0" fontId="11" fillId="3" borderId="2" xfId="0" applyFont="1" applyFill="1" applyBorder="1" applyAlignment="1">
      <alignment horizontal="left" vertical="center"/>
    </xf>
    <xf numFmtId="0" fontId="36" fillId="3" borderId="7" xfId="0" applyFont="1" applyFill="1" applyBorder="1" applyAlignment="1">
      <alignment horizontal="left" vertical="center"/>
    </xf>
    <xf numFmtId="0" fontId="26" fillId="3" borderId="2" xfId="0" applyFont="1" applyFill="1" applyBorder="1" applyAlignment="1">
      <alignment horizontal="left" vertical="center"/>
    </xf>
    <xf numFmtId="0" fontId="38" fillId="3" borderId="2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6" fillId="10" borderId="13" xfId="0" applyFont="1" applyFill="1" applyBorder="1" applyAlignment="1">
      <alignment horizontal="left" vertical="center"/>
    </xf>
    <xf numFmtId="0" fontId="13" fillId="10" borderId="16" xfId="0" applyFont="1" applyFill="1" applyBorder="1" applyAlignment="1">
      <alignment horizontal="left" vertical="top" wrapText="1"/>
    </xf>
    <xf numFmtId="0" fontId="20" fillId="10" borderId="18" xfId="0" applyFont="1" applyFill="1" applyBorder="1" applyAlignment="1">
      <alignment horizontal="left" vertical="top" wrapText="1"/>
    </xf>
    <xf numFmtId="167" fontId="14" fillId="3" borderId="7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right" vertical="center"/>
    </xf>
    <xf numFmtId="169" fontId="14" fillId="3" borderId="7" xfId="0" applyNumberFormat="1" applyFont="1" applyFill="1" applyBorder="1" applyAlignment="1">
      <alignment horizontal="right" vertical="center"/>
    </xf>
    <xf numFmtId="166" fontId="26" fillId="3" borderId="2" xfId="0" applyNumberFormat="1" applyFont="1" applyFill="1" applyBorder="1" applyAlignment="1">
      <alignment horizontal="right" vertical="center"/>
    </xf>
    <xf numFmtId="170" fontId="26" fillId="3" borderId="2" xfId="0" applyNumberFormat="1" applyFont="1" applyFill="1" applyBorder="1" applyAlignment="1">
      <alignment horizontal="right" vertical="center"/>
    </xf>
    <xf numFmtId="171" fontId="26" fillId="3" borderId="2" xfId="0" applyNumberFormat="1" applyFont="1" applyFill="1" applyBorder="1" applyAlignment="1">
      <alignment horizontal="right" vertical="center"/>
    </xf>
    <xf numFmtId="172" fontId="14" fillId="3" borderId="2" xfId="0" applyNumberFormat="1" applyFont="1" applyFill="1" applyBorder="1" applyAlignment="1">
      <alignment horizontal="left" vertical="center"/>
    </xf>
    <xf numFmtId="168" fontId="14" fillId="3" borderId="2" xfId="0" applyNumberFormat="1" applyFont="1" applyFill="1" applyBorder="1" applyAlignment="1">
      <alignment horizontal="left" vertical="center"/>
    </xf>
    <xf numFmtId="173" fontId="14" fillId="3" borderId="2" xfId="0" applyNumberFormat="1" applyFont="1" applyFill="1" applyBorder="1" applyAlignment="1">
      <alignment horizontal="left" vertical="center"/>
    </xf>
    <xf numFmtId="169" fontId="14" fillId="3" borderId="2" xfId="0" applyNumberFormat="1" applyFont="1" applyFill="1" applyBorder="1" applyAlignment="1">
      <alignment horizontal="left" vertical="center"/>
    </xf>
    <xf numFmtId="174" fontId="14" fillId="3" borderId="2" xfId="0" applyNumberFormat="1" applyFont="1" applyFill="1" applyBorder="1" applyAlignment="1">
      <alignment horizontal="left" vertical="center"/>
    </xf>
    <xf numFmtId="166" fontId="15" fillId="3" borderId="7" xfId="0" applyNumberFormat="1" applyFont="1" applyFill="1" applyBorder="1" applyAlignment="1">
      <alignment horizontal="right" vertical="center"/>
    </xf>
    <xf numFmtId="168" fontId="15" fillId="3" borderId="7" xfId="0" applyNumberFormat="1" applyFont="1" applyFill="1" applyBorder="1" applyAlignment="1">
      <alignment horizontal="right" vertical="center"/>
    </xf>
    <xf numFmtId="169" fontId="15" fillId="3" borderId="7" xfId="0" applyNumberFormat="1" applyFont="1" applyFill="1" applyBorder="1" applyAlignment="1">
      <alignment horizontal="right" vertical="center"/>
    </xf>
    <xf numFmtId="168" fontId="16" fillId="7" borderId="7" xfId="0" applyNumberFormat="1" applyFont="1" applyFill="1" applyBorder="1" applyAlignment="1">
      <alignment horizontal="right" vertical="center"/>
    </xf>
    <xf numFmtId="171" fontId="16" fillId="7" borderId="7" xfId="0" applyNumberFormat="1" applyFont="1" applyFill="1" applyBorder="1" applyAlignment="1">
      <alignment horizontal="right" vertical="center"/>
    </xf>
    <xf numFmtId="167" fontId="16" fillId="7" borderId="7" xfId="0" applyNumberFormat="1" applyFont="1" applyFill="1" applyBorder="1" applyAlignment="1">
      <alignment horizontal="right" vertical="center"/>
    </xf>
    <xf numFmtId="175" fontId="16" fillId="7" borderId="7" xfId="0" applyNumberFormat="1" applyFont="1" applyFill="1" applyBorder="1" applyAlignment="1">
      <alignment horizontal="right" vertical="center"/>
    </xf>
    <xf numFmtId="167" fontId="17" fillId="8" borderId="8" xfId="0" applyNumberFormat="1" applyFont="1" applyFill="1" applyBorder="1" applyAlignment="1">
      <alignment horizontal="center" vertical="center"/>
    </xf>
    <xf numFmtId="164" fontId="10" fillId="9" borderId="7" xfId="0" applyNumberFormat="1" applyFont="1" applyFill="1" applyBorder="1" applyAlignment="1">
      <alignment horizontal="right" vertical="center"/>
    </xf>
    <xf numFmtId="168" fontId="10" fillId="9" borderId="7" xfId="0" applyNumberFormat="1" applyFont="1" applyFill="1" applyBorder="1" applyAlignment="1">
      <alignment horizontal="righ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9" borderId="7" xfId="0" applyNumberFormat="1" applyFont="1" applyFill="1" applyBorder="1" applyAlignment="1">
      <alignment horizontal="center" vertical="center"/>
    </xf>
    <xf numFmtId="0" fontId="25" fillId="9" borderId="7" xfId="0" applyFont="1" applyFill="1" applyBorder="1" applyAlignment="1">
      <alignment horizontal="left" vertical="center" wrapText="1"/>
    </xf>
    <xf numFmtId="165" fontId="14" fillId="3" borderId="7" xfId="0" applyNumberFormat="1" applyFont="1" applyFill="1" applyBorder="1" applyAlignment="1">
      <alignment horizontal="right" vertical="center"/>
    </xf>
    <xf numFmtId="171" fontId="14" fillId="3" borderId="7" xfId="0" applyNumberFormat="1" applyFont="1" applyFill="1" applyBorder="1" applyAlignment="1">
      <alignment horizontal="right" vertical="center"/>
    </xf>
    <xf numFmtId="171" fontId="14" fillId="3" borderId="2" xfId="0" applyNumberFormat="1" applyFont="1" applyFill="1" applyBorder="1" applyAlignment="1">
      <alignment horizontal="left" vertical="center"/>
    </xf>
    <xf numFmtId="176" fontId="14" fillId="3" borderId="7" xfId="0" applyNumberFormat="1" applyFont="1" applyFill="1" applyBorder="1" applyAlignment="1">
      <alignment horizontal="right" vertical="center"/>
    </xf>
    <xf numFmtId="0" fontId="13" fillId="6" borderId="20" xfId="0" applyFont="1" applyFill="1" applyBorder="1" applyAlignment="1">
      <alignment horizontal="center" vertical="center" wrapText="1"/>
    </xf>
    <xf numFmtId="176" fontId="10" fillId="9" borderId="21" xfId="0" applyNumberFormat="1" applyFont="1" applyFill="1" applyBorder="1" applyAlignment="1">
      <alignment horizontal="right" vertical="center"/>
    </xf>
    <xf numFmtId="167" fontId="10" fillId="9" borderId="21" xfId="0" applyNumberFormat="1" applyFont="1" applyFill="1" applyBorder="1" applyAlignment="1">
      <alignment horizontal="right" vertical="center"/>
    </xf>
    <xf numFmtId="169" fontId="10" fillId="9" borderId="21" xfId="0" applyNumberFormat="1" applyFont="1" applyFill="1" applyBorder="1" applyAlignment="1">
      <alignment horizontal="right" vertical="center"/>
    </xf>
    <xf numFmtId="168" fontId="10" fillId="9" borderId="21" xfId="0" applyNumberFormat="1" applyFont="1" applyFill="1" applyBorder="1" applyAlignment="1">
      <alignment horizontal="right" vertical="center"/>
    </xf>
    <xf numFmtId="168" fontId="10" fillId="3" borderId="9" xfId="0" applyNumberFormat="1" applyFont="1" applyFill="1" applyBorder="1" applyAlignment="1">
      <alignment horizontal="right" vertical="center"/>
    </xf>
    <xf numFmtId="168" fontId="10" fillId="4" borderId="22" xfId="0" applyNumberFormat="1" applyFont="1" applyFill="1" applyBorder="1" applyAlignment="1">
      <alignment horizontal="right" vertical="center"/>
    </xf>
    <xf numFmtId="176" fontId="15" fillId="3" borderId="7" xfId="0" applyNumberFormat="1" applyFont="1" applyFill="1" applyBorder="1" applyAlignment="1">
      <alignment horizontal="right" vertical="center"/>
    </xf>
    <xf numFmtId="167" fontId="15" fillId="3" borderId="7" xfId="0" applyNumberFormat="1" applyFont="1" applyFill="1" applyBorder="1" applyAlignment="1">
      <alignment horizontal="right" vertical="center"/>
    </xf>
    <xf numFmtId="168" fontId="10" fillId="4" borderId="10" xfId="0" applyNumberFormat="1" applyFont="1" applyFill="1" applyBorder="1" applyAlignment="1">
      <alignment horizontal="right" vertical="center"/>
    </xf>
    <xf numFmtId="0" fontId="25" fillId="4" borderId="7" xfId="0" applyFont="1" applyFill="1" applyBorder="1" applyAlignment="1">
      <alignment horizontal="left" vertical="center" wrapText="1"/>
    </xf>
    <xf numFmtId="169" fontId="10" fillId="4" borderId="10" xfId="0" applyNumberFormat="1" applyFont="1" applyFill="1" applyBorder="1" applyAlignment="1">
      <alignment horizontal="right" vertical="center"/>
    </xf>
    <xf numFmtId="168" fontId="19" fillId="4" borderId="11" xfId="0" applyNumberFormat="1" applyFont="1" applyFill="1" applyBorder="1" applyAlignment="1">
      <alignment horizontal="right" vertical="center"/>
    </xf>
    <xf numFmtId="171" fontId="15" fillId="3" borderId="7" xfId="0" applyNumberFormat="1" applyFont="1" applyFill="1" applyBorder="1" applyAlignment="1">
      <alignment horizontal="right" vertical="center"/>
    </xf>
    <xf numFmtId="168" fontId="15" fillId="3" borderId="7" xfId="0" applyNumberFormat="1" applyFont="1" applyFill="1" applyBorder="1" applyAlignment="1">
      <alignment horizontal="left" vertical="center" wrapText="1"/>
    </xf>
    <xf numFmtId="0" fontId="13" fillId="6" borderId="6" xfId="0" applyFont="1" applyFill="1" applyBorder="1" applyAlignment="1">
      <alignment horizontal="left" vertical="center"/>
    </xf>
    <xf numFmtId="167" fontId="13" fillId="6" borderId="6" xfId="0" applyNumberFormat="1" applyFont="1" applyFill="1" applyBorder="1" applyAlignment="1">
      <alignment horizontal="center" vertical="center" wrapText="1"/>
    </xf>
    <xf numFmtId="167" fontId="20" fillId="6" borderId="6" xfId="0" applyNumberFormat="1" applyFont="1" applyFill="1" applyBorder="1" applyAlignment="1">
      <alignment horizontal="center" vertical="center" wrapText="1"/>
    </xf>
    <xf numFmtId="0" fontId="20" fillId="6" borderId="6" xfId="0" applyFont="1" applyFill="1" applyBorder="1" applyAlignment="1">
      <alignment horizontal="left" vertical="center" wrapText="1"/>
    </xf>
    <xf numFmtId="0" fontId="26" fillId="3" borderId="7" xfId="0" applyFont="1" applyFill="1" applyBorder="1" applyAlignment="1">
      <alignment horizontal="center" vertical="center"/>
    </xf>
    <xf numFmtId="168" fontId="26" fillId="3" borderId="2" xfId="0" applyNumberFormat="1" applyFont="1" applyFill="1" applyBorder="1" applyAlignment="1">
      <alignment horizontal="right" vertical="center"/>
    </xf>
    <xf numFmtId="168" fontId="10" fillId="9" borderId="7" xfId="0" applyNumberFormat="1" applyFont="1" applyFill="1" applyBorder="1" applyAlignment="1">
      <alignment horizontal="left" vertical="center"/>
    </xf>
    <xf numFmtId="176" fontId="10" fillId="4" borderId="10" xfId="0" applyNumberFormat="1" applyFont="1" applyFill="1" applyBorder="1" applyAlignment="1">
      <alignment horizontal="right" vertical="center"/>
    </xf>
    <xf numFmtId="167" fontId="14" fillId="3" borderId="21" xfId="0" applyNumberFormat="1" applyFont="1" applyFill="1" applyBorder="1" applyAlignment="1">
      <alignment horizontal="right" vertical="center"/>
    </xf>
    <xf numFmtId="168" fontId="14" fillId="3" borderId="21" xfId="0" applyNumberFormat="1" applyFont="1" applyFill="1" applyBorder="1" applyAlignment="1">
      <alignment horizontal="right" vertical="center"/>
    </xf>
    <xf numFmtId="176" fontId="10" fillId="4" borderId="22" xfId="0" applyNumberFormat="1" applyFont="1" applyFill="1" applyBorder="1" applyAlignment="1">
      <alignment horizontal="right" vertical="center"/>
    </xf>
    <xf numFmtId="167" fontId="15" fillId="3" borderId="21" xfId="0" applyNumberFormat="1" applyFont="1" applyFill="1" applyBorder="1" applyAlignment="1">
      <alignment horizontal="right" vertical="center"/>
    </xf>
    <xf numFmtId="168" fontId="15" fillId="3" borderId="21" xfId="0" applyNumberFormat="1" applyFont="1" applyFill="1" applyBorder="1" applyAlignment="1">
      <alignment horizontal="right" vertical="center"/>
    </xf>
    <xf numFmtId="176" fontId="15" fillId="3" borderId="21" xfId="0" applyNumberFormat="1" applyFont="1" applyFill="1" applyBorder="1" applyAlignment="1">
      <alignment horizontal="right" vertical="center"/>
    </xf>
    <xf numFmtId="169" fontId="15" fillId="3" borderId="21" xfId="0" applyNumberFormat="1" applyFont="1" applyFill="1" applyBorder="1" applyAlignment="1">
      <alignment horizontal="right" vertical="center"/>
    </xf>
    <xf numFmtId="176" fontId="16" fillId="3" borderId="7" xfId="0" applyNumberFormat="1" applyFont="1" applyFill="1" applyBorder="1" applyAlignment="1">
      <alignment horizontal="right" vertical="center"/>
    </xf>
    <xf numFmtId="174" fontId="16" fillId="7" borderId="7" xfId="0" applyNumberFormat="1" applyFont="1" applyFill="1" applyBorder="1" applyAlignment="1">
      <alignment horizontal="right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7" borderId="7" xfId="0" applyNumberFormat="1" applyFont="1" applyFill="1" applyBorder="1" applyAlignment="1">
      <alignment horizontal="right" vertical="center"/>
    </xf>
    <xf numFmtId="168" fontId="16" fillId="3" borderId="7" xfId="0" applyNumberFormat="1" applyFont="1" applyFill="1" applyBorder="1" applyAlignment="1">
      <alignment horizontal="right" vertical="center"/>
    </xf>
    <xf numFmtId="176" fontId="16" fillId="7" borderId="7" xfId="0" applyNumberFormat="1" applyFont="1" applyFill="1" applyBorder="1" applyAlignment="1">
      <alignment horizontal="right" vertical="center"/>
    </xf>
    <xf numFmtId="167" fontId="16" fillId="3" borderId="7" xfId="0" applyNumberFormat="1" applyFont="1" applyFill="1" applyBorder="1" applyAlignment="1">
      <alignment horizontal="right" vertical="center"/>
    </xf>
    <xf numFmtId="177" fontId="16" fillId="3" borderId="7" xfId="0" applyNumberFormat="1" applyFont="1" applyFill="1" applyBorder="1" applyAlignment="1">
      <alignment horizontal="right" vertical="center"/>
    </xf>
    <xf numFmtId="177" fontId="16" fillId="7" borderId="7" xfId="0" applyNumberFormat="1" applyFont="1" applyFill="1" applyBorder="1" applyAlignment="1">
      <alignment horizontal="right" vertical="center"/>
    </xf>
    <xf numFmtId="178" fontId="16" fillId="7" borderId="7" xfId="0" applyNumberFormat="1" applyFont="1" applyFill="1" applyBorder="1" applyAlignment="1">
      <alignment horizontal="right" vertical="center"/>
    </xf>
    <xf numFmtId="172" fontId="16" fillId="7" borderId="7" xfId="0" applyNumberFormat="1" applyFont="1" applyFill="1" applyBorder="1" applyAlignment="1">
      <alignment horizontal="right" vertical="center"/>
    </xf>
    <xf numFmtId="0" fontId="14" fillId="9" borderId="7" xfId="0" applyFont="1" applyFill="1" applyBorder="1" applyAlignment="1">
      <alignment horizontal="right" vertical="center"/>
    </xf>
    <xf numFmtId="169" fontId="18" fillId="9" borderId="7" xfId="0" applyNumberFormat="1" applyFont="1" applyFill="1" applyBorder="1" applyAlignment="1">
      <alignment horizontal="right" vertical="center"/>
    </xf>
    <xf numFmtId="176" fontId="18" fillId="9" borderId="7" xfId="0" applyNumberFormat="1" applyFont="1" applyFill="1" applyBorder="1" applyAlignment="1">
      <alignment horizontal="right" vertical="center"/>
    </xf>
    <xf numFmtId="172" fontId="10" fillId="9" borderId="7" xfId="0" applyNumberFormat="1" applyFont="1" applyFill="1" applyBorder="1" applyAlignment="1">
      <alignment horizontal="right" vertical="center"/>
    </xf>
    <xf numFmtId="172" fontId="16" fillId="3" borderId="7" xfId="0" applyNumberFormat="1" applyFont="1" applyFill="1" applyBorder="1" applyAlignment="1">
      <alignment horizontal="right" vertical="center"/>
    </xf>
    <xf numFmtId="0" fontId="23" fillId="3" borderId="2" xfId="0" applyFont="1" applyFill="1" applyBorder="1" applyAlignment="1">
      <alignment horizontal="left" vertical="center" wrapText="1"/>
    </xf>
    <xf numFmtId="0" fontId="26" fillId="3" borderId="7" xfId="0" applyFont="1" applyFill="1" applyBorder="1" applyAlignment="1">
      <alignment horizontal="left" vertical="center"/>
    </xf>
    <xf numFmtId="167" fontId="10" fillId="9" borderId="7" xfId="0" applyNumberFormat="1" applyFont="1" applyFill="1" applyBorder="1" applyAlignment="1">
      <alignment horizontal="right" vertical="center"/>
    </xf>
    <xf numFmtId="173" fontId="10" fillId="9" borderId="7" xfId="0" applyNumberFormat="1" applyFont="1" applyFill="1" applyBorder="1" applyAlignment="1">
      <alignment horizontal="right" vertical="center"/>
    </xf>
    <xf numFmtId="173" fontId="16" fillId="3" borderId="7" xfId="0" applyNumberFormat="1" applyFont="1" applyFill="1" applyBorder="1" applyAlignment="1">
      <alignment horizontal="right" vertical="center"/>
    </xf>
    <xf numFmtId="172" fontId="10" fillId="9" borderId="7" xfId="0" applyNumberFormat="1" applyFont="1" applyFill="1" applyBorder="1" applyAlignment="1">
      <alignment horizontal="left" vertical="center"/>
    </xf>
    <xf numFmtId="172" fontId="15" fillId="3" borderId="7" xfId="0" applyNumberFormat="1" applyFont="1" applyFill="1" applyBorder="1" applyAlignment="1">
      <alignment horizontal="left" vertical="center" wrapText="1"/>
    </xf>
    <xf numFmtId="167" fontId="10" fillId="9" borderId="7" xfId="0" applyNumberFormat="1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left" vertical="center" wrapText="1"/>
    </xf>
    <xf numFmtId="167" fontId="14" fillId="3" borderId="7" xfId="0" applyNumberFormat="1" applyFont="1" applyFill="1" applyBorder="1" applyAlignment="1">
      <alignment horizontal="center" vertical="top"/>
    </xf>
    <xf numFmtId="0" fontId="15" fillId="3" borderId="7" xfId="0" applyFont="1" applyFill="1" applyBorder="1" applyAlignment="1">
      <alignment horizontal="left" vertical="top" wrapText="1"/>
    </xf>
    <xf numFmtId="171" fontId="16" fillId="3" borderId="7" xfId="0" applyNumberFormat="1" applyFont="1" applyFill="1" applyBorder="1" applyAlignment="1">
      <alignment horizontal="right" vertical="center"/>
    </xf>
    <xf numFmtId="179" fontId="14" fillId="3" borderId="7" xfId="0" applyNumberFormat="1" applyFont="1" applyFill="1" applyBorder="1" applyAlignment="1">
      <alignment horizontal="right" vertical="center"/>
    </xf>
    <xf numFmtId="180" fontId="14" fillId="3" borderId="7" xfId="0" applyNumberFormat="1" applyFont="1" applyFill="1" applyBorder="1" applyAlignment="1">
      <alignment horizontal="right" vertical="center"/>
    </xf>
    <xf numFmtId="179" fontId="15" fillId="3" borderId="7" xfId="0" applyNumberFormat="1" applyFont="1" applyFill="1" applyBorder="1" applyAlignment="1">
      <alignment horizontal="right" vertical="center"/>
    </xf>
    <xf numFmtId="180" fontId="15" fillId="3" borderId="7" xfId="0" applyNumberFormat="1" applyFont="1" applyFill="1" applyBorder="1" applyAlignment="1">
      <alignment horizontal="right" vertical="center"/>
    </xf>
    <xf numFmtId="0" fontId="24" fillId="4" borderId="7" xfId="0" applyFont="1" applyFill="1" applyBorder="1" applyAlignment="1">
      <alignment horizontal="left" vertical="center"/>
    </xf>
    <xf numFmtId="169" fontId="39" fillId="9" borderId="7" xfId="0" applyNumberFormat="1" applyFont="1" applyFill="1" applyBorder="1" applyAlignment="1">
      <alignment horizontal="right" vertical="center"/>
    </xf>
    <xf numFmtId="0" fontId="40" fillId="3" borderId="2" xfId="0" applyFont="1" applyFill="1" applyBorder="1" applyAlignment="1">
      <alignment horizontal="left" vertical="center"/>
    </xf>
    <xf numFmtId="0" fontId="9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0" fontId="8" fillId="3" borderId="2" xfId="0" applyFont="1" applyFill="1" applyBorder="1" applyAlignment="1">
      <alignment horizontal="left" vertical="center" wrapText="1"/>
    </xf>
    <xf numFmtId="0" fontId="10" fillId="4" borderId="3" xfId="0" applyFont="1" applyFill="1" applyBorder="1" applyAlignment="1">
      <alignment horizontal="left" vertical="center"/>
    </xf>
    <xf numFmtId="0" fontId="6" fillId="10" borderId="14" xfId="0" applyFont="1" applyFill="1" applyBorder="1" applyAlignment="1">
      <alignment horizontal="left" vertical="center"/>
    </xf>
    <xf numFmtId="0" fontId="6" fillId="10" borderId="15" xfId="0" applyFont="1" applyFill="1" applyBorder="1" applyAlignment="1">
      <alignment horizontal="left" vertical="center"/>
    </xf>
    <xf numFmtId="0" fontId="13" fillId="10" borderId="2" xfId="0" applyFont="1" applyFill="1" applyBorder="1" applyAlignment="1">
      <alignment horizontal="left" vertical="top" wrapText="1"/>
    </xf>
    <xf numFmtId="0" fontId="13" fillId="10" borderId="17" xfId="0" applyFont="1" applyFill="1" applyBorder="1" applyAlignment="1">
      <alignment horizontal="left" vertical="top" wrapText="1"/>
    </xf>
    <xf numFmtId="0" fontId="20" fillId="10" borderId="7" xfId="0" applyFont="1" applyFill="1" applyBorder="1" applyAlignment="1">
      <alignment horizontal="left" vertical="top" wrapText="1"/>
    </xf>
    <xf numFmtId="0" fontId="20" fillId="10" borderId="19" xfId="0" applyFont="1" applyFill="1" applyBorder="1" applyAlignment="1">
      <alignment horizontal="left" vertical="top" wrapText="1"/>
    </xf>
    <xf numFmtId="0" fontId="37" fillId="3" borderId="2" xfId="0" applyFont="1" applyFill="1" applyBorder="1" applyAlignment="1">
      <alignment horizontal="left" vertical="center"/>
    </xf>
    <xf numFmtId="0" fontId="14" fillId="3" borderId="2" xfId="0" applyFont="1" applyFill="1" applyBorder="1" applyAlignment="1">
      <alignment horizontal="left" vertical="center"/>
    </xf>
    <xf numFmtId="0" fontId="38" fillId="3" borderId="2" xfId="0" applyFont="1" applyFill="1" applyBorder="1" applyAlignment="1">
      <alignment horizontal="left" vertical="center"/>
    </xf>
    <xf numFmtId="0" fontId="31" fillId="3" borderId="2" xfId="0" applyFont="1" applyFill="1" applyBorder="1" applyAlignment="1">
      <alignment horizontal="left" vertical="center"/>
    </xf>
    <xf numFmtId="0" fontId="13" fillId="6" borderId="6" xfId="0" applyFont="1" applyFill="1" applyBorder="1" applyAlignment="1">
      <alignment horizontal="center" vertical="center" wrapText="1"/>
    </xf>
    <xf numFmtId="168" fontId="15" fillId="3" borderId="7" xfId="0" applyNumberFormat="1" applyFont="1" applyFill="1" applyBorder="1" applyAlignment="1">
      <alignment horizontal="right" vertical="center"/>
    </xf>
    <xf numFmtId="168" fontId="14" fillId="3" borderId="7" xfId="0" applyNumberFormat="1" applyFont="1" applyFill="1" applyBorder="1" applyAlignment="1">
      <alignment horizontal="right" vertical="center"/>
    </xf>
    <xf numFmtId="169" fontId="15" fillId="3" borderId="7" xfId="0" applyNumberFormat="1" applyFont="1" applyFill="1" applyBorder="1" applyAlignment="1">
      <alignment horizontal="right" vertical="center"/>
    </xf>
    <xf numFmtId="169" fontId="14" fillId="3" borderId="7" xfId="0" applyNumberFormat="1" applyFont="1" applyFill="1" applyBorder="1" applyAlignment="1">
      <alignment horizontal="right" vertical="center"/>
    </xf>
    <xf numFmtId="0" fontId="14" fillId="3" borderId="7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center"/>
    </xf>
    <xf numFmtId="0" fontId="0" fillId="0" borderId="0" xfId="0"/>
    <xf numFmtId="0" fontId="13" fillId="6" borderId="6" xfId="0" applyFont="1" applyFill="1" applyBorder="1" applyAlignment="1">
      <alignment horizontal="left" vertical="center" wrapText="1"/>
    </xf>
    <xf numFmtId="0" fontId="23" fillId="3" borderId="2" xfId="0" applyFont="1" applyFill="1" applyBorder="1" applyAlignment="1">
      <alignment horizontal="left" vertical="top" wrapText="1"/>
    </xf>
    <xf numFmtId="0" fontId="25" fillId="3" borderId="7" xfId="0" applyFont="1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0" fontId="22" fillId="3" borderId="5" xfId="0" applyFont="1" applyFill="1" applyBorder="1" applyAlignment="1">
      <alignment horizontal="left"/>
    </xf>
    <xf numFmtId="0" fontId="21" fillId="3" borderId="2" xfId="0" applyFont="1" applyFill="1" applyBorder="1" applyAlignment="1">
      <alignment horizontal="left" vertical="center"/>
    </xf>
    <xf numFmtId="0" fontId="14" fillId="3" borderId="3" xfId="0" applyFont="1" applyFill="1" applyBorder="1" applyAlignment="1">
      <alignment horizontal="left" vertical="center"/>
    </xf>
    <xf numFmtId="0" fontId="14" fillId="3" borderId="23" xfId="0" applyFont="1" applyFill="1" applyBorder="1" applyAlignment="1">
      <alignment horizontal="left" vertical="center"/>
    </xf>
    <xf numFmtId="0" fontId="14" fillId="3" borderId="24" xfId="0" applyFont="1" applyFill="1" applyBorder="1" applyAlignment="1">
      <alignment horizontal="left" vertical="center"/>
    </xf>
    <xf numFmtId="171" fontId="16" fillId="7" borderId="2" xfId="0" applyNumberFormat="1" applyFont="1" applyFill="1" applyBorder="1" applyAlignment="1">
      <alignment horizontal="right" vertical="center"/>
    </xf>
    <xf numFmtId="176" fontId="18" fillId="9" borderId="2" xfId="0" applyNumberFormat="1" applyFont="1" applyFill="1" applyBorder="1" applyAlignment="1">
      <alignment horizontal="right" vertical="center"/>
    </xf>
    <xf numFmtId="171" fontId="16" fillId="7" borderId="24" xfId="0" applyNumberFormat="1" applyFont="1" applyFill="1" applyBorder="1" applyAlignment="1">
      <alignment horizontal="right" vertical="center"/>
    </xf>
    <xf numFmtId="176" fontId="18" fillId="9" borderId="24" xfId="0" applyNumberFormat="1" applyFont="1" applyFill="1" applyBorder="1" applyAlignment="1">
      <alignment horizontal="right" vertical="center"/>
    </xf>
    <xf numFmtId="171" fontId="16" fillId="7" borderId="23" xfId="0" applyNumberFormat="1" applyFont="1" applyFill="1" applyBorder="1" applyAlignment="1">
      <alignment horizontal="right" vertical="center"/>
    </xf>
    <xf numFmtId="176" fontId="18" fillId="9" borderId="23" xfId="0" applyNumberFormat="1" applyFont="1" applyFill="1" applyBorder="1" applyAlignment="1">
      <alignment horizontal="right" vertical="center"/>
    </xf>
    <xf numFmtId="171" fontId="16" fillId="7" borderId="3" xfId="0" applyNumberFormat="1" applyFont="1" applyFill="1" applyBorder="1" applyAlignment="1">
      <alignment horizontal="right" vertical="center"/>
    </xf>
    <xf numFmtId="176" fontId="18" fillId="9" borderId="3" xfId="0" applyNumberFormat="1" applyFont="1" applyFill="1" applyBorder="1" applyAlignment="1">
      <alignment horizontal="right" vertical="center"/>
    </xf>
    <xf numFmtId="176" fontId="16" fillId="3" borderId="24" xfId="0" applyNumberFormat="1" applyFont="1" applyFill="1" applyBorder="1" applyAlignment="1">
      <alignment horizontal="right" vertical="center"/>
    </xf>
    <xf numFmtId="172" fontId="16" fillId="7" borderId="24" xfId="0" applyNumberFormat="1" applyFont="1" applyFill="1" applyBorder="1" applyAlignment="1">
      <alignment horizontal="right" vertical="center"/>
    </xf>
    <xf numFmtId="176" fontId="16" fillId="3" borderId="23" xfId="0" applyNumberFormat="1" applyFont="1" applyFill="1" applyBorder="1" applyAlignment="1">
      <alignment horizontal="right" vertical="center"/>
    </xf>
    <xf numFmtId="172" fontId="16" fillId="7" borderId="23" xfId="0" applyNumberFormat="1" applyFont="1" applyFill="1" applyBorder="1" applyAlignment="1">
      <alignment horizontal="right" vertical="center"/>
    </xf>
    <xf numFmtId="167" fontId="16" fillId="3" borderId="24" xfId="0" applyNumberFormat="1" applyFont="1" applyFill="1" applyBorder="1" applyAlignment="1">
      <alignment horizontal="right" vertical="center"/>
    </xf>
    <xf numFmtId="167" fontId="16" fillId="7" borderId="24" xfId="0" applyNumberFormat="1" applyFont="1" applyFill="1" applyBorder="1" applyAlignment="1">
      <alignment horizontal="right" vertical="center"/>
    </xf>
    <xf numFmtId="167" fontId="16" fillId="3" borderId="23" xfId="0" applyNumberFormat="1" applyFont="1" applyFill="1" applyBorder="1" applyAlignment="1">
      <alignment horizontal="right" vertical="center"/>
    </xf>
    <xf numFmtId="167" fontId="16" fillId="7" borderId="23" xfId="0" applyNumberFormat="1" applyFont="1" applyFill="1" applyBorder="1" applyAlignment="1">
      <alignment horizontal="right" vertical="center"/>
    </xf>
    <xf numFmtId="176" fontId="16" fillId="7" borderId="24" xfId="0" applyNumberFormat="1" applyFont="1" applyFill="1" applyBorder="1" applyAlignment="1">
      <alignment horizontal="right" vertical="center"/>
    </xf>
    <xf numFmtId="176" fontId="16" fillId="7" borderId="23" xfId="0" applyNumberFormat="1" applyFont="1" applyFill="1" applyBorder="1" applyAlignment="1">
      <alignment horizontal="right" vertical="center"/>
    </xf>
    <xf numFmtId="0" fontId="16" fillId="3" borderId="24" xfId="0" applyFont="1" applyFill="1" applyBorder="1" applyAlignment="1">
      <alignment horizontal="right" vertical="center"/>
    </xf>
    <xf numFmtId="0" fontId="16" fillId="7" borderId="24" xfId="0" applyFont="1" applyFill="1" applyBorder="1" applyAlignment="1">
      <alignment horizontal="right" vertical="center"/>
    </xf>
    <xf numFmtId="0" fontId="16" fillId="3" borderId="23" xfId="0" applyFont="1" applyFill="1" applyBorder="1" applyAlignment="1">
      <alignment horizontal="right" vertical="center"/>
    </xf>
    <xf numFmtId="0" fontId="16" fillId="7" borderId="23" xfId="0" applyFont="1" applyFill="1" applyBorder="1" applyAlignment="1">
      <alignment horizontal="right" vertical="center"/>
    </xf>
  </cellXfs>
  <cellStyles count="3">
    <cellStyle name="Hyperlink" xfId="2" xr:uid="{00000000-0005-0000-0000-000000000000}"/>
    <cellStyle name="Hyperlink 1" xfId="1" xr:uid="{00000000-0005-0000-0000-000001000000}"/>
    <cellStyle name="Normal" xfId="0" builtinId="0"/>
  </cellStyles>
  <dxfs count="6">
    <dxf>
      <font>
        <b/>
        <color rgb="FF1B6B4A"/>
      </font>
      <fill>
        <patternFill>
          <bgColor rgb="FFE9F3ED"/>
        </patternFill>
      </fill>
    </dxf>
    <dxf>
      <font>
        <b/>
        <color rgb="FFA3231C"/>
      </font>
      <fill>
        <patternFill>
          <bgColor rgb="FFFBEAE8"/>
        </patternFill>
      </fill>
    </dxf>
    <dxf>
      <font>
        <b/>
        <color rgb="FF1B6B4A"/>
      </font>
      <fill>
        <patternFill>
          <bgColor rgb="FFE9F3ED"/>
        </patternFill>
      </fill>
    </dxf>
    <dxf>
      <font>
        <b/>
        <color rgb="FFA3231C"/>
      </font>
      <fill>
        <patternFill>
          <bgColor rgb="FFFBEAE8"/>
        </patternFill>
      </fill>
    </dxf>
    <dxf>
      <font>
        <b/>
        <color rgb="FFA3231C"/>
      </font>
      <fill>
        <patternFill>
          <bgColor rgb="FFFBEAE8"/>
        </patternFill>
      </fill>
    </dxf>
    <dxf>
      <font>
        <b/>
        <color rgb="FF1B6B4A"/>
      </font>
      <fill>
        <patternFill>
          <bgColor rgb="FFE9F3E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C00000"/>
      <rgbColor rgb="FFEDEDED"/>
      <rgbColor rgb="FF0000FF"/>
      <rgbColor rgb="FFFFFF00"/>
      <rgbColor rgb="FFF2F2F2"/>
      <rgbColor rgb="FFDEEBF7"/>
      <rgbColor rgb="FF9C0006"/>
      <rgbColor rgb="FF007400"/>
      <rgbColor rgb="FF16324F"/>
      <rgbColor rgb="FFBF8F00"/>
      <rgbColor rgb="FF5B50C8"/>
      <rgbColor rgb="FF2E7D32"/>
      <rgbColor rgb="FFBEBFBE"/>
      <rgbColor rgb="FF808080"/>
      <rgbColor rgb="FF5795D0"/>
      <rgbColor rgb="FF7030A0"/>
      <rgbColor rgb="FFFFF2CC"/>
      <rgbColor rgb="FFD9EAF7"/>
      <rgbColor rgb="FF1F4E78"/>
      <rgbColor rgb="FFC98212"/>
      <rgbColor rgb="FF0667C1"/>
      <rgbColor rgb="FFD6DCE5"/>
      <rgbColor rgb="FF1F4E79"/>
      <rgbColor rgb="FFEAF3F8"/>
      <rgbColor rgb="FFD9EAD3"/>
      <rgbColor rgb="FFE2EFDA"/>
      <rgbColor rgb="FF5B6573"/>
      <rgbColor rgb="FFF7F4EF"/>
      <rgbColor rgb="FF0198E9"/>
      <rgbColor rgb="FF2E5496"/>
      <rgbColor rgb="FFEAE6DF"/>
      <rgbColor rgb="FFDDEBF7"/>
      <rgbColor rgb="FFE2F0D9"/>
      <rgbColor rgb="FFFBE5D6"/>
      <rgbColor rgb="FFD9E1F2"/>
      <rgbColor rgb="FFF4B084"/>
      <rgbColor rgb="FFD9D4CC"/>
      <rgbColor rgb="FFF8CBAD"/>
      <rgbColor rgb="FF2E75B6"/>
      <rgbColor rgb="FFD9E2F3"/>
      <rgbColor rgb="FFBF9000"/>
      <rgbColor rgb="FFFCE4D6"/>
      <rgbColor rgb="FFF59E0B"/>
      <rgbColor rgb="FFC55A17"/>
      <rgbColor rgb="FF6B7280"/>
      <rgbColor rgb="FF666666"/>
      <rgbColor rgb="FF16365C"/>
      <rgbColor rgb="FF468235"/>
      <rgbColor rgb="FF0B1736"/>
      <rgbColor rgb="FF31491F"/>
      <rgbColor rgb="FF814800"/>
      <rgbColor rgb="FF595959"/>
      <rgbColor rgb="FF1F3864"/>
      <rgbColor rgb="FF1A2538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7.4076793186990703E-2"/>
          <c:y val="4.8980672491395302E-2"/>
          <c:w val="0.89611629102121704"/>
          <c:h val="0.75086047127349798"/>
        </c:manualLayout>
      </c:layout>
      <c:lineChart>
        <c:grouping val="standard"/>
        <c:varyColors val="0"/>
        <c:ser>
          <c:idx val="0"/>
          <c:order val="0"/>
          <c:tx>
            <c:strRef>
              <c:f>Dashboard!$C$57</c:f>
              <c:strCache>
                <c:ptCount val="1"/>
                <c:pt idx="0">
                  <c:v>Revenue</c:v>
                </c:pt>
              </c:strCache>
            </c:strRef>
          </c:tx>
          <c:spPr>
            <a:ln w="25920">
              <a:solidFill>
                <a:srgbClr val="1B2A41"/>
              </a:solidFill>
            </a:ln>
          </c:spPr>
          <c:marker>
            <c:symbol val="none"/>
          </c:marker>
          <c:cat>
            <c:strRef>
              <c:f>Dashboard!$B$58:$B$62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Dashboard!$C$58:$C$62</c:f>
              <c:numCache>
                <c:formatCode>#,##0.0;\(#,##0.0\);0.0</c:formatCode>
                <c:ptCount val="5"/>
                <c:pt idx="0">
                  <c:v>2.4490500000000004E-3</c:v>
                </c:pt>
                <c:pt idx="1">
                  <c:v>0.40454899999999999</c:v>
                </c:pt>
                <c:pt idx="2">
                  <c:v>1.387904</c:v>
                </c:pt>
                <c:pt idx="3">
                  <c:v>8.9426919200000015</c:v>
                </c:pt>
                <c:pt idx="4">
                  <c:v>17.832613677500003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2AB-42CF-91FD-7FCC16AF7FD6}"/>
            </c:ext>
          </c:extLst>
        </c:ser>
        <c:ser>
          <c:idx val="1"/>
          <c:order val="1"/>
          <c:tx>
            <c:strRef>
              <c:f>Dashboard!$D$57</c:f>
              <c:strCache>
                <c:ptCount val="1"/>
                <c:pt idx="0">
                  <c:v>EBITDA</c:v>
                </c:pt>
              </c:strCache>
            </c:strRef>
          </c:tx>
          <c:spPr>
            <a:ln w="25920">
              <a:solidFill>
                <a:srgbClr val="C08A1E"/>
              </a:solidFill>
            </a:ln>
          </c:spPr>
          <c:marker>
            <c:symbol val="none"/>
          </c:marker>
          <c:cat>
            <c:strRef>
              <c:f>Dashboard!$B$58:$B$62</c:f>
              <c:strCache>
                <c:ptCount val="5"/>
                <c:pt idx="0">
                  <c:v>Y1</c:v>
                </c:pt>
                <c:pt idx="1">
                  <c:v>Y2</c:v>
                </c:pt>
                <c:pt idx="2">
                  <c:v>Y3</c:v>
                </c:pt>
                <c:pt idx="3">
                  <c:v>Y4</c:v>
                </c:pt>
                <c:pt idx="4">
                  <c:v>Y5</c:v>
                </c:pt>
              </c:strCache>
            </c:strRef>
          </c:cat>
          <c:val>
            <c:numRef>
              <c:f>Dashboard!$D$58:$D$62</c:f>
              <c:numCache>
                <c:formatCode>#,##0.0;\(#,##0.0\);0.0</c:formatCode>
                <c:ptCount val="5"/>
                <c:pt idx="0">
                  <c:v>-0.76236643911458335</c:v>
                </c:pt>
                <c:pt idx="1">
                  <c:v>-0.83424882812500001</c:v>
                </c:pt>
                <c:pt idx="2">
                  <c:v>-0.37845458333333332</c:v>
                </c:pt>
                <c:pt idx="3">
                  <c:v>5.0020291075000021</c:v>
                </c:pt>
                <c:pt idx="4">
                  <c:v>11.753016240000003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2AB-42CF-91FD-7FCC16AF7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24625"/>
        <c:axId val="84939916"/>
      </c:lineChart>
      <c:catAx>
        <c:axId val="153246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Fiscal year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DDE2E8"/>
            </a:solidFill>
          </a:ln>
        </c:spPr>
        <c:txPr>
          <a:bodyPr anchorCtr="1"/>
          <a:lstStyle/>
          <a:p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939916"/>
        <c:crosses val="autoZero"/>
        <c:auto val="1"/>
        <c:lblAlgn val="ctr"/>
        <c:lblOffset val="100"/>
        <c:noMultiLvlLbl val="1"/>
      </c:catAx>
      <c:valAx>
        <c:axId val="8493991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Amount (GBP m)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0">
            <a:solidFill>
              <a:srgbClr val="DDE2E8"/>
            </a:solidFill>
          </a:ln>
        </c:spPr>
        <c:txPr>
          <a:bodyPr anchorCtr="1"/>
          <a:lstStyle/>
          <a:p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2462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</c:spPr>
      <c:txPr>
        <a:bodyPr anchorCtr="1"/>
        <a:lstStyle/>
        <a:p>
          <a:pPr>
            <a:defRPr sz="1000" b="0" u="none">
              <a:solidFill>
                <a:srgbClr val="667385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EDF0F4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>
        <c:manualLayout>
          <c:layoutTarget val="inner"/>
          <c:xMode val="edge"/>
          <c:yMode val="edge"/>
          <c:x val="0.309961608405739"/>
          <c:y val="0.17961560861968601"/>
          <c:w val="0.54152354010911297"/>
          <c:h val="0.53721607454863096"/>
        </c:manualLayout>
      </c:layout>
      <c:barChart>
        <c:barDir val="bar"/>
        <c:grouping val="clustered"/>
        <c:varyColors val="1"/>
        <c:ser>
          <c:idx val="0"/>
          <c:order val="0"/>
          <c:tx>
            <c:v>Amount</c:v>
          </c:tx>
          <c:spPr>
            <a:solidFill>
              <a:srgbClr val="3A6491"/>
            </a:solidFill>
            <a:ln w="12600">
              <a:noFill/>
            </a:ln>
          </c:spPr>
          <c:invertIfNegative val="1"/>
          <c:dPt>
            <c:idx val="1"/>
            <c:invertIfNegative val="0"/>
            <c:bubble3D val="0"/>
            <c:spPr>
              <a:solidFill>
                <a:srgbClr val="C08A1E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1-785B-408F-8033-5D19BA8683F0}"/>
              </c:ext>
            </c:extLst>
          </c:dPt>
          <c:dPt>
            <c:idx val="2"/>
            <c:invertIfNegative val="0"/>
            <c:bubble3D val="0"/>
            <c:spPr>
              <a:solidFill>
                <a:srgbClr val="2F6F4E"/>
              </a:solidFill>
              <a:ln w="12600">
                <a:noFill/>
              </a:ln>
            </c:spPr>
            <c:extLst>
              <c:ext xmlns:c16="http://schemas.microsoft.com/office/drawing/2014/chart" uri="{C3380CC4-5D6E-409C-BE32-E72D297353CC}">
                <c16:uniqueId val="{00000003-785B-408F-8033-5D19BA8683F0}"/>
              </c:ext>
            </c:extLst>
          </c:dPt>
          <c:dLbls>
            <c:dLbl>
              <c:idx val="0"/>
              <c:spPr/>
              <c:txPr>
                <a:bodyPr anchorCtr="1"/>
                <a:lstStyle/>
                <a:p>
                  <a:pPr>
                    <a:defRPr sz="1000" b="0" u="none">
                      <a:solidFill>
                        <a:srgbClr val="667385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85B-408F-8033-5D19BA8683F0}"/>
                </c:ext>
              </c:extLst>
            </c:dLbl>
            <c:dLbl>
              <c:idx val="1"/>
              <c:spPr/>
              <c:txPr>
                <a:bodyPr anchorCtr="1"/>
                <a:lstStyle/>
                <a:p>
                  <a:pPr>
                    <a:defRPr sz="1000" b="0" u="none">
                      <a:solidFill>
                        <a:srgbClr val="667385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85B-408F-8033-5D19BA8683F0}"/>
                </c:ext>
              </c:extLst>
            </c:dLbl>
            <c:dLbl>
              <c:idx val="2"/>
              <c:spPr/>
              <c:txPr>
                <a:bodyPr anchorCtr="1"/>
                <a:lstStyle/>
                <a:p>
                  <a:pPr>
                    <a:defRPr sz="1000" b="0" u="none">
                      <a:solidFill>
                        <a:srgbClr val="667385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5B-408F-8033-5D19BA8683F0}"/>
                </c:ext>
              </c:extLst>
            </c:dLbl>
            <c:spPr>
              <a:noFill/>
              <a:ln>
                <a:noFill/>
              </a:ln>
            </c:spPr>
            <c:txPr>
              <a:bodyPr anchorCtr="1"/>
              <a:lstStyle/>
              <a:p>
                <a:pPr>
                  <a:defRPr sz="1000" b="0" u="none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Dashboard!$F$58:$F$60</c:f>
              <c:strCache>
                <c:ptCount val="3"/>
                <c:pt idx="0">
                  <c:v>Peak operating deficit</c:v>
                </c:pt>
                <c:pt idx="1">
                  <c:v>Operating reserve</c:v>
                </c:pt>
                <c:pt idx="2">
                  <c:v>Initial restricted capital</c:v>
                </c:pt>
              </c:strCache>
            </c:strRef>
          </c:cat>
          <c:val>
            <c:numRef>
              <c:f>Dashboard!$G$58:$G$60</c:f>
              <c:numCache>
                <c:formatCode>#,##0.0;\(#,##0.0\);0.0</c:formatCode>
                <c:ptCount val="3"/>
                <c:pt idx="0">
                  <c:v>2.649419</c:v>
                </c:pt>
                <c:pt idx="1">
                  <c:v>0.191027</c:v>
                </c:pt>
                <c:pt idx="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12600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785B-408F-8033-5D19BA868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594588"/>
        <c:axId val="93394609"/>
      </c:barChart>
      <c:catAx>
        <c:axId val="8859458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Funding category </a:t>
                </a:r>
              </a:p>
            </c:rich>
          </c:tx>
          <c:layout>
            <c:manualLayout>
              <c:xMode val="edge"/>
              <c:yMode val="edge"/>
              <c:x val="1.9330504479019298E-2"/>
              <c:y val="0.16587070471753099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0">
            <a:solidFill>
              <a:srgbClr val="DDE2E8"/>
            </a:solidFill>
          </a:ln>
        </c:spPr>
        <c:txPr>
          <a:bodyPr anchorCtr="1"/>
          <a:lstStyle/>
          <a:p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3394609"/>
        <c:crosses val="autoZero"/>
        <c:auto val="1"/>
        <c:lblAlgn val="ctr"/>
        <c:lblOffset val="100"/>
        <c:noMultiLvlLbl val="1"/>
      </c:catAx>
      <c:valAx>
        <c:axId val="933946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 sz="18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Amount (GBP m)</a:t>
                </a:r>
              </a:p>
            </c:rich>
          </c:tx>
          <c:layout>
            <c:manualLayout>
              <c:xMode val="edge"/>
              <c:yMode val="edge"/>
              <c:x val="0.37334141577423002"/>
              <c:y val="0.83214909726266695"/>
            </c:manualLayout>
          </c:layout>
          <c:overlay val="0"/>
        </c:title>
        <c:numFmt formatCode="0.0" sourceLinked="0"/>
        <c:majorTickMark val="out"/>
        <c:minorTickMark val="none"/>
        <c:tickLblPos val="nextTo"/>
        <c:spPr>
          <a:ln w="0">
            <a:solidFill>
              <a:srgbClr val="DDE2E8"/>
            </a:solidFill>
          </a:ln>
        </c:spPr>
        <c:txPr>
          <a:bodyPr anchorCtr="1"/>
          <a:lstStyle/>
          <a:p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859458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zero"/>
    <c:showDLblsOverMax val="1"/>
  </c:chart>
  <c:spPr>
    <a:solidFill>
      <a:srgbClr val="FFFFFF"/>
    </a:solidFill>
    <a:ln w="9360">
      <a:solidFill>
        <a:srgbClr val="EDF0F4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Dashboard!$C$67</c:f>
              <c:strCache>
                <c:ptCount val="1"/>
                <c:pt idx="0">
                  <c:v>Low</c:v>
                </c:pt>
              </c:strCache>
            </c:strRef>
          </c:tx>
          <c:spPr>
            <a:ln w="25920">
              <a:solidFill>
                <a:srgbClr val="939EAC"/>
              </a:solidFill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Dashboard!$C$68:$C$77</c:f>
              <c:numCache>
                <c:formatCode>#,##0.0;\(#,##0.0\);0.0</c:formatCode>
                <c:ptCount val="10"/>
                <c:pt idx="0">
                  <c:v>-0.65539999999999998</c:v>
                </c:pt>
                <c:pt idx="1">
                  <c:v>-1.0678730000000001</c:v>
                </c:pt>
                <c:pt idx="2">
                  <c:v>-1.623505</c:v>
                </c:pt>
                <c:pt idx="3">
                  <c:v>-2.1182650000000001</c:v>
                </c:pt>
                <c:pt idx="4">
                  <c:v>-2.53607</c:v>
                </c:pt>
                <c:pt idx="5">
                  <c:v>-2.899562</c:v>
                </c:pt>
                <c:pt idx="6">
                  <c:v>-3.350263</c:v>
                </c:pt>
                <c:pt idx="7">
                  <c:v>-3.7622589999999998</c:v>
                </c:pt>
                <c:pt idx="8">
                  <c:v>-3.4651420000000002</c:v>
                </c:pt>
                <c:pt idx="9">
                  <c:v>-2.9242780000000002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97-4FE6-9A11-6CE8313A75A7}"/>
            </c:ext>
          </c:extLst>
        </c:ser>
        <c:ser>
          <c:idx val="1"/>
          <c:order val="1"/>
          <c:tx>
            <c:strRef>
              <c:f>Dashboard!$D$67</c:f>
              <c:strCache>
                <c:ptCount val="1"/>
                <c:pt idx="0">
                  <c:v>Base</c:v>
                </c:pt>
              </c:strCache>
            </c:strRef>
          </c:tx>
          <c:spPr>
            <a:ln w="25920">
              <a:solidFill>
                <a:srgbClr val="3A6491"/>
              </a:solidFill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Dashboard!$D$68:$D$77</c:f>
              <c:numCache>
                <c:formatCode>#,##0.0;\(#,##0.0\);0.0</c:formatCode>
                <c:ptCount val="10"/>
                <c:pt idx="0">
                  <c:v>-0.65539999999999998</c:v>
                </c:pt>
                <c:pt idx="1">
                  <c:v>-1.068227</c:v>
                </c:pt>
                <c:pt idx="2">
                  <c:v>-1.5591619999999999</c:v>
                </c:pt>
                <c:pt idx="3">
                  <c:v>-1.976288</c:v>
                </c:pt>
                <c:pt idx="4">
                  <c:v>-2.2401460000000002</c:v>
                </c:pt>
                <c:pt idx="5">
                  <c:v>-2.4366880000000002</c:v>
                </c:pt>
                <c:pt idx="6">
                  <c:v>-0.56523800000000002</c:v>
                </c:pt>
                <c:pt idx="7">
                  <c:v>1.935778</c:v>
                </c:pt>
                <c:pt idx="8">
                  <c:v>7.0714589999999999</c:v>
                </c:pt>
                <c:pt idx="9">
                  <c:v>12.947967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97-4FE6-9A11-6CE8313A75A7}"/>
            </c:ext>
          </c:extLst>
        </c:ser>
        <c:ser>
          <c:idx val="2"/>
          <c:order val="2"/>
          <c:tx>
            <c:strRef>
              <c:f>Dashboard!$E$67</c:f>
              <c:strCache>
                <c:ptCount val="1"/>
                <c:pt idx="0">
                  <c:v>High</c:v>
                </c:pt>
              </c:strCache>
            </c:strRef>
          </c:tx>
          <c:spPr>
            <a:ln w="25920">
              <a:solidFill>
                <a:srgbClr val="2F6F4E"/>
              </a:solidFill>
            </a:ln>
          </c:spPr>
          <c:marker>
            <c:symbol val="none"/>
          </c:marker>
          <c:cat>
            <c:strRef>
              <c:f>Dashboard!$B$68:$B$77</c:f>
              <c:strCache>
                <c:ptCount val="10"/>
                <c:pt idx="0">
                  <c:v>Y1 M6</c:v>
                </c:pt>
                <c:pt idx="1">
                  <c:v>Y1 M12</c:v>
                </c:pt>
                <c:pt idx="2">
                  <c:v>Y2 M6</c:v>
                </c:pt>
                <c:pt idx="3">
                  <c:v>Y2 M12</c:v>
                </c:pt>
                <c:pt idx="4">
                  <c:v>Y3 M6</c:v>
                </c:pt>
                <c:pt idx="5">
                  <c:v>Y3 M12</c:v>
                </c:pt>
                <c:pt idx="6">
                  <c:v>Y4 M6</c:v>
                </c:pt>
                <c:pt idx="7">
                  <c:v>Y4 M12</c:v>
                </c:pt>
                <c:pt idx="8">
                  <c:v>Y5 M6</c:v>
                </c:pt>
                <c:pt idx="9">
                  <c:v>Y5 M12</c:v>
                </c:pt>
              </c:strCache>
            </c:strRef>
          </c:cat>
          <c:val>
            <c:numRef>
              <c:f>Dashboard!$E$68:$E$77</c:f>
              <c:numCache>
                <c:formatCode>#,##0.0;\(#,##0.0\);0.0</c:formatCode>
                <c:ptCount val="10"/>
                <c:pt idx="0">
                  <c:v>-0.65539999999999998</c:v>
                </c:pt>
                <c:pt idx="1">
                  <c:v>-1.068902</c:v>
                </c:pt>
                <c:pt idx="2">
                  <c:v>-1.437783</c:v>
                </c:pt>
                <c:pt idx="3">
                  <c:v>-1.7092590000000001</c:v>
                </c:pt>
                <c:pt idx="4">
                  <c:v>-1.735746</c:v>
                </c:pt>
                <c:pt idx="5">
                  <c:v>-1.6766760000000001</c:v>
                </c:pt>
                <c:pt idx="6">
                  <c:v>2.721956</c:v>
                </c:pt>
                <c:pt idx="7">
                  <c:v>8.3237419999999993</c:v>
                </c:pt>
                <c:pt idx="8">
                  <c:v>20.267924000000001</c:v>
                </c:pt>
                <c:pt idx="9">
                  <c:v>33.921709999999997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A97-4FE6-9A11-6CE8313A75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47149"/>
        <c:axId val="14456823"/>
      </c:lineChart>
      <c:catAx>
        <c:axId val="7434714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6-month checkpoint</a:t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 w="0">
            <a:solidFill>
              <a:srgbClr val="DDE2E8"/>
            </a:solidFill>
          </a:ln>
        </c:spPr>
        <c:txPr>
          <a:bodyPr anchorCtr="1"/>
          <a:lstStyle/>
          <a:p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4456823"/>
        <c:crosses val="autoZero"/>
        <c:auto val="1"/>
        <c:lblAlgn val="ctr"/>
        <c:lblOffset val="100"/>
        <c:noMultiLvlLbl val="1"/>
      </c:catAx>
      <c:valAx>
        <c:axId val="14456823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 sz="1000" b="1">
                    <a:solidFill>
                      <a:srgbClr val="667385"/>
                    </a:solidFill>
                    <a:latin typeface="Calibri"/>
                    <a:ea typeface="Calibri"/>
                    <a:cs typeface="Calibri"/>
                  </a:rPr>
                  <a:t>Cash balance (GBP m)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spPr>
          <a:ln w="0">
            <a:solidFill>
              <a:srgbClr val="DDE2E8"/>
            </a:solidFill>
          </a:ln>
        </c:spPr>
        <c:txPr>
          <a:bodyPr anchorCtr="1"/>
          <a:lstStyle/>
          <a:p>
            <a:pPr>
              <a:defRPr sz="1000" b="0" u="none">
                <a:solidFill>
                  <a:srgbClr val="667385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434714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</c:spPr>
      <c:txPr>
        <a:bodyPr anchorCtr="1"/>
        <a:lstStyle/>
        <a:p>
          <a:pPr>
            <a:defRPr sz="1000" b="0" u="none">
              <a:solidFill>
                <a:srgbClr val="667385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  <a:ln w="9360">
      <a:solidFill>
        <a:srgbClr val="EDF0F4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26504</xdr:colOff>
      <xdr:row>14</xdr:row>
      <xdr:rowOff>54093</xdr:rowOff>
    </xdr:from>
    <xdr:to>
      <xdr:col>7</xdr:col>
      <xdr:colOff>44065</xdr:colOff>
      <xdr:row>20</xdr:row>
      <xdr:rowOff>206850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792692</xdr:colOff>
      <xdr:row>14</xdr:row>
      <xdr:rowOff>59267</xdr:rowOff>
    </xdr:from>
    <xdr:to>
      <xdr:col>14</xdr:col>
      <xdr:colOff>850982</xdr:colOff>
      <xdr:row>21</xdr:row>
      <xdr:rowOff>148907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84667</xdr:colOff>
      <xdr:row>22</xdr:row>
      <xdr:rowOff>417660</xdr:rowOff>
    </xdr:from>
    <xdr:to>
      <xdr:col>7</xdr:col>
      <xdr:colOff>56237</xdr:colOff>
      <xdr:row>35</xdr:row>
      <xdr:rowOff>15987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rulebooks.vara.ae/rulebook/b-paid-capital" TargetMode="External"/><Relationship Id="rId1" Type="http://schemas.openxmlformats.org/officeDocument/2006/relationships/hyperlink" Target="https://rulebooks.vara.ae/rulebook/schedule-2-supervision-and-authorisation-fe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1"/>
  </sheetPr>
  <dimension ref="B2:D81"/>
  <sheetViews>
    <sheetView showGridLines="0" topLeftCell="A27" workbookViewId="0">
      <selection activeCell="F57" sqref="F57"/>
    </sheetView>
  </sheetViews>
  <sheetFormatPr defaultColWidth="8.5703125" defaultRowHeight="12.75" x14ac:dyDescent="0.2"/>
  <cols>
    <col min="1" max="1" width="2.140625" customWidth="1"/>
    <col min="2" max="2" width="6" customWidth="1"/>
    <col min="3" max="3" width="32" customWidth="1"/>
    <col min="4" max="4" width="96" customWidth="1"/>
  </cols>
  <sheetData>
    <row r="2" spans="2:4" ht="33.950000000000003" customHeight="1" x14ac:dyDescent="0.2">
      <c r="B2" s="3" t="s">
        <v>0</v>
      </c>
    </row>
    <row r="3" spans="2:4" ht="18" customHeight="1" x14ac:dyDescent="0.2">
      <c r="B3" s="51" t="s">
        <v>1</v>
      </c>
    </row>
    <row r="4" spans="2:4" ht="9.9499999999999993" customHeight="1" x14ac:dyDescent="0.2"/>
    <row r="5" spans="2:4" ht="21" customHeight="1" x14ac:dyDescent="0.2">
      <c r="B5" s="5" t="s">
        <v>2</v>
      </c>
      <c r="C5" s="5"/>
      <c r="D5" s="6" t="s">
        <v>3</v>
      </c>
    </row>
    <row r="6" spans="2:4" ht="15" customHeight="1" x14ac:dyDescent="0.2">
      <c r="B6" s="43" t="s">
        <v>4</v>
      </c>
    </row>
    <row r="7" spans="2:4" ht="20.100000000000001" customHeight="1" x14ac:dyDescent="0.2">
      <c r="B7" s="8" t="s">
        <v>5</v>
      </c>
      <c r="C7" s="8"/>
      <c r="D7" s="8"/>
    </row>
    <row r="8" spans="2:4" ht="17.100000000000001" customHeight="1" x14ac:dyDescent="0.2">
      <c r="B8" s="46">
        <v>1</v>
      </c>
      <c r="C8" s="147" t="s">
        <v>6</v>
      </c>
      <c r="D8" s="47" t="s">
        <v>7</v>
      </c>
    </row>
    <row r="9" spans="2:4" ht="17.100000000000001" customHeight="1" x14ac:dyDescent="0.2">
      <c r="B9" s="46">
        <v>2</v>
      </c>
      <c r="C9" s="147" t="s">
        <v>8</v>
      </c>
      <c r="D9" s="47" t="s">
        <v>9</v>
      </c>
    </row>
    <row r="10" spans="2:4" ht="6.95" customHeight="1" x14ac:dyDescent="0.2"/>
    <row r="11" spans="2:4" ht="20.100000000000001" customHeight="1" x14ac:dyDescent="0.2">
      <c r="B11" s="8" t="s">
        <v>10</v>
      </c>
      <c r="C11" s="8"/>
      <c r="D11" s="8"/>
    </row>
    <row r="12" spans="2:4" ht="17.100000000000001" customHeight="1" x14ac:dyDescent="0.2">
      <c r="B12" s="46">
        <v>3</v>
      </c>
      <c r="C12" s="147" t="s">
        <v>1517</v>
      </c>
      <c r="D12" s="47" t="s">
        <v>11</v>
      </c>
    </row>
    <row r="13" spans="2:4" ht="6.95" customHeight="1" x14ac:dyDescent="0.2"/>
    <row r="14" spans="2:4" ht="20.100000000000001" customHeight="1" x14ac:dyDescent="0.2">
      <c r="B14" s="8" t="s">
        <v>12</v>
      </c>
      <c r="C14" s="8"/>
      <c r="D14" s="8"/>
    </row>
    <row r="15" spans="2:4" ht="17.100000000000001" customHeight="1" x14ac:dyDescent="0.2">
      <c r="B15" s="46">
        <v>4</v>
      </c>
      <c r="C15" s="147" t="s">
        <v>1518</v>
      </c>
      <c r="D15" s="47" t="s">
        <v>13</v>
      </c>
    </row>
    <row r="16" spans="2:4" ht="17.100000000000001" customHeight="1" x14ac:dyDescent="0.2">
      <c r="B16" s="46">
        <v>5</v>
      </c>
      <c r="C16" s="147" t="s">
        <v>1519</v>
      </c>
      <c r="D16" s="47" t="s">
        <v>14</v>
      </c>
    </row>
    <row r="17" spans="2:4" ht="6.95" customHeight="1" x14ac:dyDescent="0.2"/>
    <row r="18" spans="2:4" ht="20.100000000000001" customHeight="1" x14ac:dyDescent="0.2">
      <c r="B18" s="8" t="s">
        <v>15</v>
      </c>
      <c r="C18" s="8"/>
      <c r="D18" s="8"/>
    </row>
    <row r="19" spans="2:4" ht="17.100000000000001" customHeight="1" x14ac:dyDescent="0.2">
      <c r="B19" s="46">
        <v>6</v>
      </c>
      <c r="C19" s="147" t="s">
        <v>1520</v>
      </c>
      <c r="D19" s="47" t="s">
        <v>16</v>
      </c>
    </row>
    <row r="20" spans="2:4" ht="17.100000000000001" customHeight="1" x14ac:dyDescent="0.2">
      <c r="B20" s="46">
        <v>7</v>
      </c>
      <c r="C20" s="147" t="s">
        <v>1521</v>
      </c>
      <c r="D20" s="47" t="s">
        <v>17</v>
      </c>
    </row>
    <row r="21" spans="2:4" ht="17.100000000000001" customHeight="1" x14ac:dyDescent="0.2">
      <c r="B21" s="46">
        <v>8</v>
      </c>
      <c r="C21" s="147" t="s">
        <v>18</v>
      </c>
      <c r="D21" s="47" t="s">
        <v>19</v>
      </c>
    </row>
    <row r="22" spans="2:4" ht="6.95" customHeight="1" x14ac:dyDescent="0.2"/>
    <row r="23" spans="2:4" ht="20.100000000000001" customHeight="1" x14ac:dyDescent="0.2">
      <c r="B23" s="8" t="s">
        <v>20</v>
      </c>
      <c r="C23" s="8"/>
      <c r="D23" s="8"/>
    </row>
    <row r="24" spans="2:4" ht="17.100000000000001" customHeight="1" x14ac:dyDescent="0.2">
      <c r="B24" s="46">
        <v>9</v>
      </c>
      <c r="C24" s="147" t="s">
        <v>21</v>
      </c>
      <c r="D24" s="47" t="s">
        <v>22</v>
      </c>
    </row>
    <row r="25" spans="2:4" ht="17.100000000000001" customHeight="1" x14ac:dyDescent="0.2">
      <c r="B25" s="46">
        <v>10</v>
      </c>
      <c r="C25" s="147" t="s">
        <v>1522</v>
      </c>
      <c r="D25" s="47" t="s">
        <v>23</v>
      </c>
    </row>
    <row r="26" spans="2:4" ht="17.100000000000001" customHeight="1" x14ac:dyDescent="0.2">
      <c r="B26" s="46">
        <v>11</v>
      </c>
      <c r="C26" s="147" t="s">
        <v>24</v>
      </c>
      <c r="D26" s="47" t="s">
        <v>1523</v>
      </c>
    </row>
    <row r="27" spans="2:4" ht="17.100000000000001" customHeight="1" x14ac:dyDescent="0.2">
      <c r="B27" s="46">
        <v>12</v>
      </c>
      <c r="C27" s="147" t="s">
        <v>25</v>
      </c>
      <c r="D27" s="47" t="s">
        <v>1524</v>
      </c>
    </row>
    <row r="28" spans="2:4" ht="17.100000000000001" customHeight="1" x14ac:dyDescent="0.2">
      <c r="B28" s="46">
        <v>13</v>
      </c>
      <c r="C28" s="147" t="s">
        <v>1525</v>
      </c>
      <c r="D28" s="47" t="s">
        <v>1526</v>
      </c>
    </row>
    <row r="29" spans="2:4" ht="6.95" customHeight="1" x14ac:dyDescent="0.2"/>
    <row r="30" spans="2:4" ht="20.100000000000001" customHeight="1" x14ac:dyDescent="0.2">
      <c r="B30" s="8" t="s">
        <v>26</v>
      </c>
      <c r="C30" s="8"/>
      <c r="D30" s="8"/>
    </row>
    <row r="31" spans="2:4" ht="17.100000000000001" customHeight="1" x14ac:dyDescent="0.2">
      <c r="B31" s="46">
        <v>14</v>
      </c>
      <c r="C31" s="147" t="s">
        <v>1527</v>
      </c>
      <c r="D31" s="47" t="s">
        <v>27</v>
      </c>
    </row>
    <row r="32" spans="2:4" ht="17.100000000000001" customHeight="1" x14ac:dyDescent="0.2">
      <c r="B32" s="46">
        <v>15</v>
      </c>
      <c r="C32" s="147" t="s">
        <v>28</v>
      </c>
      <c r="D32" s="47" t="s">
        <v>1528</v>
      </c>
    </row>
    <row r="33" spans="2:4" ht="17.100000000000001" hidden="1" customHeight="1" x14ac:dyDescent="0.2">
      <c r="B33" s="46"/>
      <c r="C33" s="45"/>
      <c r="D33" s="47"/>
    </row>
    <row r="34" spans="2:4" ht="6.95" hidden="1" customHeight="1" x14ac:dyDescent="0.2"/>
    <row r="35" spans="2:4" ht="20.100000000000001" hidden="1" customHeight="1" x14ac:dyDescent="0.2">
      <c r="B35" s="8"/>
      <c r="C35" s="8"/>
      <c r="D35" s="8"/>
    </row>
    <row r="36" spans="2:4" ht="17.100000000000001" hidden="1" customHeight="1" x14ac:dyDescent="0.2">
      <c r="B36" s="46"/>
      <c r="C36" s="45"/>
      <c r="D36" s="47"/>
    </row>
    <row r="37" spans="2:4" ht="17.100000000000001" hidden="1" customHeight="1" x14ac:dyDescent="0.2">
      <c r="B37" s="46"/>
      <c r="C37" s="45"/>
      <c r="D37" s="47"/>
    </row>
    <row r="38" spans="2:4" ht="6.95" hidden="1" customHeight="1" x14ac:dyDescent="0.2"/>
    <row r="39" spans="2:4" ht="6.95" customHeight="1" x14ac:dyDescent="0.2"/>
    <row r="40" spans="2:4" ht="21" customHeight="1" x14ac:dyDescent="0.2">
      <c r="B40" s="5" t="s">
        <v>29</v>
      </c>
      <c r="C40" s="5"/>
      <c r="D40" s="5"/>
    </row>
    <row r="41" spans="2:4" ht="15.95" customHeight="1" x14ac:dyDescent="0.2">
      <c r="B41" s="42" t="s">
        <v>30</v>
      </c>
    </row>
    <row r="42" spans="2:4" ht="15.95" customHeight="1" x14ac:dyDescent="0.2">
      <c r="B42" s="42" t="s">
        <v>31</v>
      </c>
    </row>
    <row r="43" spans="2:4" ht="15.95" customHeight="1" x14ac:dyDescent="0.2">
      <c r="B43" s="42" t="s">
        <v>32</v>
      </c>
    </row>
    <row r="44" spans="2:4" ht="8.1" customHeight="1" x14ac:dyDescent="0.2"/>
    <row r="45" spans="2:4" ht="21" customHeight="1" x14ac:dyDescent="0.2">
      <c r="B45" s="5" t="s">
        <v>33</v>
      </c>
      <c r="C45" s="5"/>
      <c r="D45" s="5"/>
    </row>
    <row r="46" spans="2:4" ht="15.95" customHeight="1" x14ac:dyDescent="0.2">
      <c r="B46" s="42" t="s">
        <v>1529</v>
      </c>
    </row>
    <row r="47" spans="2:4" ht="15.95" customHeight="1" x14ac:dyDescent="0.2">
      <c r="B47" s="42" t="s">
        <v>34</v>
      </c>
    </row>
    <row r="48" spans="2:4" ht="15.95" customHeight="1" x14ac:dyDescent="0.2">
      <c r="B48" s="42" t="s">
        <v>1530</v>
      </c>
    </row>
    <row r="49" spans="2:4" ht="15.95" customHeight="1" x14ac:dyDescent="0.2">
      <c r="B49" s="42" t="s">
        <v>1531</v>
      </c>
    </row>
    <row r="50" spans="2:4" ht="15.95" customHeight="1" x14ac:dyDescent="0.2">
      <c r="B50" s="42" t="s">
        <v>1532</v>
      </c>
    </row>
    <row r="51" spans="2:4" ht="8.1" customHeight="1" x14ac:dyDescent="0.2"/>
    <row r="52" spans="2:4" ht="21" customHeight="1" x14ac:dyDescent="0.2">
      <c r="B52" s="5" t="s">
        <v>35</v>
      </c>
      <c r="C52" s="5"/>
      <c r="D52" s="5"/>
    </row>
    <row r="53" spans="2:4" ht="15.95" customHeight="1" x14ac:dyDescent="0.2">
      <c r="B53" s="42" t="s">
        <v>36</v>
      </c>
    </row>
    <row r="54" spans="2:4" ht="15.95" customHeight="1" x14ac:dyDescent="0.2">
      <c r="B54" s="42" t="s">
        <v>1533</v>
      </c>
    </row>
    <row r="55" spans="2:4" ht="8.1" customHeight="1" x14ac:dyDescent="0.2"/>
    <row r="56" spans="2:4" ht="21" customHeight="1" x14ac:dyDescent="0.2">
      <c r="B56" s="5" t="s">
        <v>37</v>
      </c>
      <c r="C56" s="5"/>
      <c r="D56" s="5"/>
    </row>
    <row r="57" spans="2:4" ht="15.95" customHeight="1" x14ac:dyDescent="0.2">
      <c r="B57" s="42" t="s">
        <v>38</v>
      </c>
    </row>
    <row r="58" spans="2:4" ht="15.95" customHeight="1" x14ac:dyDescent="0.2">
      <c r="B58" s="42" t="s">
        <v>1561</v>
      </c>
    </row>
    <row r="59" spans="2:4" ht="20.100000000000001" customHeight="1" x14ac:dyDescent="0.2">
      <c r="B59" t="s">
        <v>39</v>
      </c>
    </row>
    <row r="60" spans="2:4" ht="21" customHeight="1" x14ac:dyDescent="0.2">
      <c r="B60" s="7" t="s">
        <v>40</v>
      </c>
      <c r="C60" s="7"/>
      <c r="D60" s="7"/>
    </row>
    <row r="61" spans="2:4" ht="15.95" customHeight="1" x14ac:dyDescent="0.2">
      <c r="B61" s="44" t="s">
        <v>41</v>
      </c>
    </row>
    <row r="62" spans="2:4" ht="15.95" customHeight="1" x14ac:dyDescent="0.2">
      <c r="B62" s="44" t="s">
        <v>42</v>
      </c>
    </row>
    <row r="63" spans="2:4" ht="15.95" customHeight="1" x14ac:dyDescent="0.2">
      <c r="B63" s="44" t="s">
        <v>43</v>
      </c>
    </row>
    <row r="64" spans="2:4" ht="15.95" customHeight="1" x14ac:dyDescent="0.2">
      <c r="B64" s="44" t="s">
        <v>44</v>
      </c>
    </row>
    <row r="65" spans="2:4" ht="15.95" hidden="1" customHeight="1" x14ac:dyDescent="0.2">
      <c r="B65" s="44"/>
    </row>
    <row r="66" spans="2:4" ht="15.95" hidden="1" customHeight="1" x14ac:dyDescent="0.2">
      <c r="B66" s="44"/>
    </row>
    <row r="67" spans="2:4" ht="8.1" hidden="1" customHeight="1" x14ac:dyDescent="0.2"/>
    <row r="68" spans="2:4" ht="21" hidden="1" customHeight="1" x14ac:dyDescent="0.2">
      <c r="B68" s="5"/>
      <c r="C68" s="5"/>
      <c r="D68" s="5"/>
    </row>
    <row r="69" spans="2:4" ht="15.95" hidden="1" customHeight="1" x14ac:dyDescent="0.2">
      <c r="B69" s="42"/>
    </row>
    <row r="70" spans="2:4" ht="15.95" hidden="1" customHeight="1" x14ac:dyDescent="0.2">
      <c r="B70" s="42"/>
    </row>
    <row r="71" spans="2:4" ht="15.95" hidden="1" customHeight="1" x14ac:dyDescent="0.2">
      <c r="B71" s="42"/>
    </row>
    <row r="72" spans="2:4" ht="15.95" hidden="1" customHeight="1" x14ac:dyDescent="0.2">
      <c r="B72" s="42"/>
    </row>
    <row r="73" spans="2:4" ht="8.1" hidden="1" customHeight="1" x14ac:dyDescent="0.2"/>
    <row r="74" spans="2:4" ht="21" hidden="1" customHeight="1" x14ac:dyDescent="0.2">
      <c r="B74" s="5"/>
      <c r="C74" s="5"/>
      <c r="D74" s="5"/>
    </row>
    <row r="75" spans="2:4" ht="15.95" hidden="1" customHeight="1" x14ac:dyDescent="0.2">
      <c r="B75" s="42"/>
    </row>
    <row r="76" spans="2:4" ht="15.95" hidden="1" customHeight="1" x14ac:dyDescent="0.2">
      <c r="B76" s="42"/>
    </row>
    <row r="77" spans="2:4" ht="8.1" hidden="1" customHeight="1" x14ac:dyDescent="0.2"/>
    <row r="78" spans="2:4" ht="8.1" hidden="1" customHeight="1" x14ac:dyDescent="0.2"/>
    <row r="79" spans="2:4" ht="8.1" hidden="1" customHeight="1" x14ac:dyDescent="0.2"/>
    <row r="80" spans="2:4" ht="21" hidden="1" customHeight="1" x14ac:dyDescent="0.2">
      <c r="B80" s="5"/>
      <c r="C80" s="5"/>
      <c r="D80" s="5"/>
    </row>
    <row r="81" spans="2:2" ht="15.95" hidden="1" customHeight="1" x14ac:dyDescent="0.2">
      <c r="B81" s="42"/>
    </row>
  </sheetData>
  <hyperlinks>
    <hyperlink ref="C8" location="'README'!A1" display="README" xr:uid="{00000000-0004-0000-0000-000000000000}"/>
    <hyperlink ref="C9" location="'Dashboard'!A1" display="Dashboard" xr:uid="{00000000-0004-0000-0000-000001000000}"/>
    <hyperlink ref="C12" location="'Launch Readiness'!A1" display="Launch Readiness" xr:uid="{00000000-0004-0000-0000-000002000000}"/>
    <hyperlink ref="C15" location="'Tier Economics'!A1" display="Tier Economics" xr:uid="{00000000-0004-0000-0000-000003000000}"/>
    <hyperlink ref="C16" location="'Revenue Risk Add-Ons'!A1" display="Revenue Risk Add-Ons" xr:uid="{00000000-0004-0000-0000-000004000000}"/>
    <hyperlink ref="C19" location="'P&amp;L 5yr'!A1" display="P&amp;L 5yr" xr:uid="{00000000-0004-0000-0000-000005000000}"/>
    <hyperlink ref="C20" location="'Cash Flow Statement'!A1" display="Cash Flow Statement" xr:uid="{00000000-0004-0000-0000-000006000000}"/>
    <hyperlink ref="C21" location="'Scenario Engine'!A1" display="Scenario Engine" xr:uid="{00000000-0004-0000-0000-000007000000}"/>
    <hyperlink ref="C24" location="'Assumptions'!A1" display="Assumptions" xr:uid="{00000000-0004-0000-0000-000008000000}"/>
    <hyperlink ref="C25" location="'Startup 6mo'!A1" display="Startup 6mo" xr:uid="{00000000-0004-0000-0000-000009000000}"/>
    <hyperlink ref="C26" location="Sensitivity!A1" display="Sensitivity" xr:uid="{00000000-0004-0000-0000-00000A000000}"/>
    <hyperlink ref="C27" location="'Risk Register'!A1" display="Risk Register" xr:uid="{00000000-0004-0000-0000-00000B000000}"/>
    <hyperlink ref="C28" location="'Driver Tables'!A1" display="Driver Tables" xr:uid="{00000000-0004-0000-0000-00000C000000}"/>
    <hyperlink ref="C31" location="'Model Checks'!A1" display="Model Checks" xr:uid="{00000000-0004-0000-0000-00000D000000}"/>
    <hyperlink ref="C32" location="'Client Funds Memo'!A1" display="Client Funds Memo" xr:uid="{00000000-0004-0000-0000-00000E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B2A41"/>
  </sheetPr>
  <dimension ref="A1:AA125"/>
  <sheetViews>
    <sheetView showGridLines="0" tabSelected="1" topLeftCell="K3" workbookViewId="0">
      <selection activeCell="X14" sqref="X14"/>
    </sheetView>
  </sheetViews>
  <sheetFormatPr defaultColWidth="8.5703125" defaultRowHeight="12.75" x14ac:dyDescent="0.2"/>
  <cols>
    <col min="1" max="1" width="2.42578125" customWidth="1"/>
    <col min="2" max="4" width="13" customWidth="1"/>
    <col min="5" max="5" width="10" customWidth="1"/>
    <col min="6" max="8" width="13" customWidth="1"/>
    <col min="9" max="9" width="10" customWidth="1"/>
    <col min="10" max="10" width="13" customWidth="1"/>
    <col min="11" max="11" width="15" customWidth="1"/>
    <col min="12" max="12" width="11" customWidth="1"/>
    <col min="13" max="13" width="10" customWidth="1"/>
    <col min="14" max="16" width="13" customWidth="1"/>
    <col min="17" max="17" width="3.42578125" customWidth="1"/>
    <col min="18" max="18" width="9" customWidth="1"/>
    <col min="19" max="19" width="26" customWidth="1"/>
    <col min="20" max="20" width="20" customWidth="1"/>
    <col min="21" max="21" width="54" customWidth="1"/>
    <col min="22" max="22" width="24" customWidth="1"/>
    <col min="23" max="23" width="18" customWidth="1"/>
    <col min="24" max="24" width="20" customWidth="1"/>
    <col min="25" max="25" width="13" customWidth="1"/>
    <col min="26" max="26" width="18" customWidth="1"/>
    <col min="27" max="27" width="13" customWidth="1"/>
  </cols>
  <sheetData>
    <row r="1" spans="1:27" ht="18" customHeight="1" x14ac:dyDescent="0.2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</row>
    <row r="2" spans="1:27" ht="18" customHeight="1" x14ac:dyDescent="0.2">
      <c r="A2" s="42"/>
      <c r="B2" s="148" t="s">
        <v>45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42"/>
      <c r="R2" s="42"/>
      <c r="S2" s="42"/>
      <c r="T2" s="42"/>
      <c r="U2" s="42"/>
      <c r="V2" s="42"/>
      <c r="W2" s="42"/>
      <c r="X2" s="42"/>
      <c r="Y2" s="42"/>
      <c r="Z2" s="42"/>
      <c r="AA2" s="42"/>
    </row>
    <row r="3" spans="1:27" ht="8.1" customHeight="1" x14ac:dyDescent="0.2">
      <c r="A3" s="42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  <c r="AA3" s="42"/>
    </row>
    <row r="4" spans="1:27" ht="28.5" customHeight="1" x14ac:dyDescent="0.2">
      <c r="A4" s="42"/>
      <c r="B4" s="149" t="s">
        <v>46</v>
      </c>
      <c r="C4" s="149"/>
      <c r="D4" s="149"/>
      <c r="E4" s="149"/>
      <c r="F4" s="149"/>
      <c r="G4" s="149"/>
      <c r="H4" s="149"/>
      <c r="I4" s="149"/>
      <c r="J4" s="149"/>
      <c r="K4" s="149"/>
      <c r="L4" s="149"/>
      <c r="M4" s="149"/>
      <c r="N4" s="149"/>
      <c r="O4" s="149"/>
      <c r="P4" s="149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</row>
    <row r="5" spans="1:27" ht="28.5" customHeight="1" x14ac:dyDescent="0.2">
      <c r="A5" s="42"/>
      <c r="B5" s="149"/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  <c r="N5" s="149"/>
      <c r="O5" s="149"/>
      <c r="P5" s="149"/>
      <c r="Q5" s="42"/>
      <c r="R5" s="42"/>
      <c r="S5" s="42"/>
      <c r="T5" s="42"/>
      <c r="U5" s="42"/>
      <c r="V5" s="42"/>
      <c r="W5" s="42"/>
      <c r="X5" s="42"/>
      <c r="Y5" s="42"/>
      <c r="Z5" s="42"/>
      <c r="AA5" s="42"/>
    </row>
    <row r="6" spans="1:27" ht="14.25" customHeight="1" x14ac:dyDescent="0.2">
      <c r="A6" s="42"/>
      <c r="B6" s="150" t="s">
        <v>1534</v>
      </c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0"/>
      <c r="O6" s="150"/>
      <c r="P6" s="150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</row>
    <row r="7" spans="1:27" ht="18" customHeight="1" x14ac:dyDescent="0.2">
      <c r="A7" s="42"/>
      <c r="B7" s="150"/>
      <c r="C7" s="150"/>
      <c r="D7" s="150"/>
      <c r="E7" s="150"/>
      <c r="F7" s="150"/>
      <c r="G7" s="150"/>
      <c r="H7" s="150"/>
      <c r="I7" s="150"/>
      <c r="J7" s="150"/>
      <c r="K7" s="150"/>
      <c r="L7" s="150"/>
      <c r="M7" s="150"/>
      <c r="N7" s="150"/>
      <c r="O7" s="150"/>
      <c r="P7" s="150"/>
      <c r="Q7" s="42"/>
      <c r="R7" s="42"/>
      <c r="S7" s="42"/>
      <c r="T7" s="42"/>
      <c r="U7" s="42"/>
      <c r="V7" s="42"/>
      <c r="W7" s="42"/>
      <c r="X7" s="42"/>
      <c r="Y7" s="42"/>
      <c r="Z7" s="42"/>
      <c r="AA7" s="42"/>
    </row>
    <row r="8" spans="1:27" ht="9.9499999999999993" customHeight="1" x14ac:dyDescent="0.2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  <c r="AA8" s="42"/>
    </row>
    <row r="9" spans="1:27" ht="21.95" customHeight="1" x14ac:dyDescent="0.2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151" t="s">
        <v>47</v>
      </c>
      <c r="S9" s="151"/>
      <c r="T9" s="151"/>
      <c r="U9" s="151"/>
      <c r="V9" s="151"/>
      <c r="W9" s="151"/>
      <c r="X9" s="5"/>
      <c r="Y9" s="5"/>
      <c r="Z9" s="5"/>
      <c r="AA9" s="5"/>
    </row>
    <row r="10" spans="1:27" ht="36" customHeight="1" x14ac:dyDescent="0.2">
      <c r="A10" s="42"/>
      <c r="B10" s="52"/>
      <c r="C10" s="152" t="str">
        <f>"£"&amp;ROUND('Launch Readiness'!$E$12/1000000,1)&amp;"m"</f>
        <v>£2.8m</v>
      </c>
      <c r="D10" s="153"/>
      <c r="E10" s="42"/>
      <c r="F10" s="52"/>
      <c r="G10" s="152" t="str">
        <f>"Month "&amp;'Launch Readiness'!$E$6</f>
        <v>Month 12</v>
      </c>
      <c r="H10" s="153"/>
      <c r="I10" s="42"/>
      <c r="J10" s="52"/>
      <c r="K10" s="152" t="str">
        <f>"£"&amp;ROUND(AVERAGE(S38,S37,S36),0)</f>
        <v>£688</v>
      </c>
      <c r="L10" s="153"/>
      <c r="M10" s="42"/>
      <c r="N10" s="52"/>
      <c r="O10" s="152" t="str">
        <f>"£"&amp;ROUND('P&amp;L 5yr'!$G$18/1000000,1)&amp;"m"</f>
        <v>£17.8m</v>
      </c>
      <c r="P10" s="153"/>
      <c r="Q10" s="42"/>
      <c r="R10" s="9" t="s">
        <v>48</v>
      </c>
      <c r="S10" s="10" t="s">
        <v>49</v>
      </c>
      <c r="T10" s="10" t="s">
        <v>50</v>
      </c>
      <c r="U10" s="10" t="s">
        <v>51</v>
      </c>
      <c r="V10" s="10" t="s">
        <v>52</v>
      </c>
      <c r="W10" s="10" t="s">
        <v>53</v>
      </c>
      <c r="X10" s="42"/>
      <c r="Y10" s="42"/>
      <c r="Z10" s="42"/>
      <c r="AA10" s="42"/>
    </row>
    <row r="11" spans="1:27" ht="33.75" customHeight="1" x14ac:dyDescent="0.2">
      <c r="A11" s="42"/>
      <c r="B11" s="53"/>
      <c r="C11" s="154" t="s">
        <v>54</v>
      </c>
      <c r="D11" s="155"/>
      <c r="E11" s="42"/>
      <c r="F11" s="53"/>
      <c r="G11" s="154" t="s">
        <v>55</v>
      </c>
      <c r="H11" s="155"/>
      <c r="I11" s="42"/>
      <c r="J11" s="53"/>
      <c r="K11" s="154" t="s">
        <v>1563</v>
      </c>
      <c r="L11" s="155"/>
      <c r="M11" s="42"/>
      <c r="N11" s="53"/>
      <c r="O11" s="154" t="s">
        <v>57</v>
      </c>
      <c r="P11" s="155"/>
      <c r="Q11" s="42"/>
      <c r="R11" s="55" t="s">
        <v>58</v>
      </c>
      <c r="S11" s="13" t="s">
        <v>59</v>
      </c>
      <c r="T11" s="28" t="str">
        <f>ROUND(MIN(Assumptions!$F$70:$F$72)*100,1)&amp;"%-"&amp;ROUND(MAX(Assumptions!$F$70:$F$72)*100,1)&amp;"%"</f>
        <v>0.8%-3%</v>
      </c>
      <c r="U11" s="13" t="str">
        <f>T11&amp;" per trade, tier-dependent"</f>
        <v>0.8%-3% per trade, tier-dependent</v>
      </c>
      <c r="V11" s="32" t="s">
        <v>60</v>
      </c>
      <c r="W11" s="32" t="s">
        <v>61</v>
      </c>
      <c r="X11" s="42"/>
      <c r="Y11" s="42"/>
      <c r="Z11" s="42"/>
      <c r="AA11" s="42"/>
    </row>
    <row r="12" spans="1:27" ht="33.75" customHeight="1" x14ac:dyDescent="0.2">
      <c r="A12" s="42"/>
      <c r="B12" s="54"/>
      <c r="C12" s="156" t="s">
        <v>62</v>
      </c>
      <c r="D12" s="157"/>
      <c r="E12" s="42"/>
      <c r="F12" s="54"/>
      <c r="G12" s="156" t="s">
        <v>63</v>
      </c>
      <c r="H12" s="157"/>
      <c r="I12" s="42"/>
      <c r="J12" s="54"/>
      <c r="K12" s="156" t="s">
        <v>1564</v>
      </c>
      <c r="L12" s="157"/>
      <c r="M12" s="42"/>
      <c r="N12" s="54"/>
      <c r="O12" s="156" t="s">
        <v>64</v>
      </c>
      <c r="P12" s="157"/>
      <c r="Q12" s="42"/>
      <c r="R12" s="55" t="s">
        <v>58</v>
      </c>
      <c r="S12" s="13" t="s">
        <v>65</v>
      </c>
      <c r="T12" s="28" t="str">
        <f>ROUND('Scenario Engine'!$H$49*100,0)&amp;"%-"&amp;ROUND('Scenario Engine'!$L$49*100,0)&amp;"%"</f>
        <v>71%-79%</v>
      </c>
      <c r="U12" s="13" t="str">
        <f>T12&amp;" blended gross margin, base Y1-Y5"</f>
        <v>71%-79% blended gross margin, base Y1-Y5</v>
      </c>
      <c r="V12" s="32" t="s">
        <v>1535</v>
      </c>
      <c r="W12" s="32" t="s">
        <v>66</v>
      </c>
      <c r="X12" s="42"/>
      <c r="Y12" s="42"/>
      <c r="Z12" s="42"/>
      <c r="AA12" s="42"/>
    </row>
    <row r="13" spans="1:27" ht="33.75" customHeight="1" x14ac:dyDescent="0.2">
      <c r="A13" s="42"/>
      <c r="B13" s="42"/>
      <c r="C13" s="158" t="s">
        <v>67</v>
      </c>
      <c r="D13" s="159"/>
      <c r="E13" s="159"/>
      <c r="F13" s="159"/>
      <c r="G13" s="159"/>
      <c r="H13" s="42"/>
      <c r="I13" s="42"/>
      <c r="J13" s="42"/>
      <c r="K13" s="158" t="s">
        <v>68</v>
      </c>
      <c r="L13" s="159"/>
      <c r="M13" s="159"/>
      <c r="N13" s="159"/>
      <c r="O13" s="159"/>
      <c r="P13" s="42"/>
      <c r="Q13" s="42"/>
      <c r="R13" s="55" t="s">
        <v>58</v>
      </c>
      <c r="S13" s="13" t="s">
        <v>69</v>
      </c>
      <c r="T13" s="28" t="str">
        <f>"GBP "&amp;ROUND('Scenario Engine'!$H$9/1000,0)&amp;"K -&gt; GBP "&amp;ROUND('Scenario Engine'!$J$9/1000,0)&amp;"K"</f>
        <v>GBP 31K -&gt; GBP 38K</v>
      </c>
      <c r="U13" s="13" t="str">
        <f>T13&amp;" average ticket, Y1 to Y3; GBP "&amp;ROUND('Scenario Engine'!$L$9/1000,0)&amp;"K by Y5"</f>
        <v>GBP 31K -&gt; GBP 38K average ticket, Y1 to Y3; GBP 48K by Y5</v>
      </c>
      <c r="V13" s="32" t="s">
        <v>1536</v>
      </c>
      <c r="W13" s="32" t="s">
        <v>66</v>
      </c>
      <c r="X13" s="42"/>
      <c r="Y13" s="42"/>
      <c r="Z13" s="42"/>
      <c r="AA13" s="42"/>
    </row>
    <row r="14" spans="1:27" ht="33.75" customHeight="1" x14ac:dyDescent="0.2">
      <c r="A14" s="42"/>
      <c r="B14" s="50" t="s">
        <v>70</v>
      </c>
      <c r="C14" s="160" t="s">
        <v>71</v>
      </c>
      <c r="D14" s="159"/>
      <c r="E14" s="159"/>
      <c r="F14" s="159"/>
      <c r="G14" s="159"/>
      <c r="H14" s="42"/>
      <c r="I14" s="50" t="s">
        <v>72</v>
      </c>
      <c r="K14" s="160" t="s">
        <v>73</v>
      </c>
      <c r="L14" s="159"/>
      <c r="M14" s="159"/>
      <c r="N14" s="159"/>
      <c r="O14" s="159"/>
      <c r="P14" s="42"/>
      <c r="Q14" s="42"/>
      <c r="R14" s="55" t="s">
        <v>58</v>
      </c>
      <c r="S14" s="13" t="s">
        <v>74</v>
      </c>
      <c r="T14" s="28" t="str">
        <f>ROUND('Scenario Engine'!$H$8,0)&amp;" -&gt; "&amp;ROUND('Scenario Engine'!$J$8,0)</f>
        <v>3 -&gt; 2000</v>
      </c>
      <c r="U14" s="13" t="str">
        <f>T14&amp;" processed deals, Y1 to Y3 base case"</f>
        <v>3 -&gt; 2000 processed deals, Y1 to Y3 base case</v>
      </c>
      <c r="V14" s="32" t="s">
        <v>1537</v>
      </c>
      <c r="W14" s="32" t="s">
        <v>66</v>
      </c>
      <c r="X14" s="42"/>
      <c r="Y14" s="42"/>
      <c r="Z14" s="42"/>
      <c r="AA14" s="42"/>
    </row>
    <row r="15" spans="1:27" ht="33.75" customHeight="1" x14ac:dyDescent="0.2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55" t="s">
        <v>75</v>
      </c>
      <c r="S15" s="13" t="s">
        <v>76</v>
      </c>
      <c r="T15" s="28" t="str">
        <f>"GBP "&amp;ROUND('Scenario Engine'!$D$30/1000000,1)&amp;"M-"&amp;ROUND('Scenario Engine'!$P$30/1000000,1)&amp;"M"</f>
        <v>GBP 1.1M-1.9M</v>
      </c>
      <c r="U15" s="13" t="str">
        <f>T15&amp;" Y3 annual revenue; base GBP "&amp;ROUND('Scenario Engine'!$J$30/1000000,1)&amp;"M"</f>
        <v>GBP 1.1M-1.9M Y3 annual revenue; base GBP 1.4M</v>
      </c>
      <c r="V15" s="32" t="s">
        <v>1538</v>
      </c>
      <c r="W15" s="32" t="s">
        <v>77</v>
      </c>
      <c r="X15" s="42"/>
      <c r="Y15" s="42"/>
      <c r="Z15" s="42"/>
      <c r="AA15" s="42"/>
    </row>
    <row r="16" spans="1:27" ht="33.75" customHeight="1" x14ac:dyDescent="0.2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55" t="s">
        <v>75</v>
      </c>
      <c r="S16" s="13" t="s">
        <v>78</v>
      </c>
      <c r="T16" s="28" t="str">
        <f>ROUND('Scenario Engine'!$D$62,0)&amp;"-"&amp;ROUND('Scenario Engine'!$P$62,0)</f>
        <v>480-320</v>
      </c>
      <c r="U16" s="13" t="str">
        <f>T16&amp;" Y3 active customers; base "&amp;ROUND('Scenario Engine'!$J$62,0)</f>
        <v>480-320 Y3 active customers; base 333</v>
      </c>
      <c r="V16" s="32" t="s">
        <v>1539</v>
      </c>
      <c r="W16" s="32" t="s">
        <v>77</v>
      </c>
      <c r="X16" s="42"/>
      <c r="Y16" s="42"/>
      <c r="Z16" s="42"/>
      <c r="AA16" s="42"/>
    </row>
    <row r="17" spans="1:27" ht="33.75" customHeight="1" x14ac:dyDescent="0.2">
      <c r="A17" s="42"/>
      <c r="H17" s="42"/>
      <c r="I17" s="42"/>
      <c r="P17" s="42"/>
      <c r="Q17" s="42"/>
      <c r="R17" s="55" t="s">
        <v>75</v>
      </c>
      <c r="S17" s="13" t="s">
        <v>79</v>
      </c>
      <c r="T17" s="28" t="str">
        <f>'Cash Flow Statement'!$B$46</f>
        <v>Y4 M8</v>
      </c>
      <c r="U17" s="13" t="str">
        <f>"Base monthly cash-flow break-even: "&amp;T17&amp;"; scenario range "&amp;'Cash Flow Statement'!$B$47&amp;" to "&amp;'Cash Flow Statement'!$B$45</f>
        <v>Base monthly cash-flow break-even: Y4 M8; scenario range Y4 M4 to Beyond Month 60</v>
      </c>
      <c r="V17" s="32" t="s">
        <v>1540</v>
      </c>
      <c r="W17" s="32" t="s">
        <v>77</v>
      </c>
      <c r="X17" s="42"/>
      <c r="Y17" s="42"/>
      <c r="Z17" s="42"/>
      <c r="AA17" s="42"/>
    </row>
    <row r="18" spans="1:27" ht="33.75" customHeight="1" x14ac:dyDescent="0.2">
      <c r="A18" s="42"/>
      <c r="H18" s="42"/>
      <c r="I18" s="42"/>
      <c r="P18" s="42"/>
      <c r="Q18" s="42"/>
      <c r="R18" s="55" t="s">
        <v>75</v>
      </c>
      <c r="S18" s="13" t="s">
        <v>80</v>
      </c>
      <c r="T18" s="28" t="str">
        <f>"GBP "&amp;ROUND('Launch Readiness'!$E$12/1000000,2)&amp;"M"</f>
        <v>GBP 2.84M</v>
      </c>
      <c r="U18" s="13" t="str">
        <f>T18&amp;" initial operating funding; future VARA capital shown separately"</f>
        <v>GBP 2.84M initial operating funding; future VARA capital shown separately</v>
      </c>
      <c r="V18" s="32" t="s">
        <v>1541</v>
      </c>
      <c r="W18" s="32" t="s">
        <v>77</v>
      </c>
      <c r="X18" s="42"/>
      <c r="Y18" s="42"/>
      <c r="Z18" s="42"/>
      <c r="AA18" s="42"/>
    </row>
    <row r="19" spans="1:27" ht="33.75" customHeight="1" x14ac:dyDescent="0.2">
      <c r="A19" s="42"/>
      <c r="B19" s="42"/>
      <c r="C19" s="42"/>
      <c r="D19" s="42"/>
      <c r="E19" s="42"/>
      <c r="F19" s="61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55" t="s">
        <v>75</v>
      </c>
      <c r="S19" s="13" t="s">
        <v>81</v>
      </c>
      <c r="T19" s="28" t="str">
        <f>IFERROR(ROUND('Tier Economics'!$E$12/'Tier Economics'!$E$9*100,1)&amp;"% / "&amp;ROUND('Tier Economics'!$M$12/'Tier Economics'!$M$9*100,1)&amp;"% / "&amp;ROUND('Tier Economics'!$U$12/'Tier Economics'!$U$9*100,1)&amp;"%","n/a - no Year 1 volume on this launch path")</f>
        <v>2% / 1.3% / 1%</v>
      </c>
      <c r="U19" s="13" t="str">
        <f>IFERROR(IF(LEFT(T19,3)="n/a",T19,T19&amp;" blended escrow take rate, base Y1 / Y3 / Y5"),"n/a - no Year 1 volume on this launch path")</f>
        <v>2% / 1.3% / 1% blended escrow take rate, base Y1 / Y3 / Y5</v>
      </c>
      <c r="V19" s="32" t="s">
        <v>1542</v>
      </c>
      <c r="W19" s="32" t="s">
        <v>82</v>
      </c>
      <c r="X19" s="42"/>
      <c r="Y19" s="42"/>
      <c r="Z19" s="42"/>
      <c r="AA19" s="42"/>
    </row>
    <row r="20" spans="1:27" ht="33.75" customHeight="1" x14ac:dyDescent="0.2">
      <c r="A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55" t="s">
        <v>75</v>
      </c>
      <c r="S20" s="13" t="s">
        <v>83</v>
      </c>
      <c r="T20" s="28" t="str">
        <f>ROUND(Assumptions!$D$61*100,0)&amp;"% -&gt; "&amp;ROUND(Assumptions!$D$152*100,0)&amp;"%"</f>
        <v>15% -&gt; 70%</v>
      </c>
      <c r="U20" s="13" t="str">
        <f>T20&amp;" Tier A eBL mix, base Y1 to Y5"</f>
        <v>15% -&gt; 70% Tier A eBL mix, base Y1 to Y5</v>
      </c>
      <c r="V20" s="32" t="s">
        <v>84</v>
      </c>
      <c r="W20" s="32" t="s">
        <v>82</v>
      </c>
      <c r="X20" s="42"/>
      <c r="Y20" s="42"/>
      <c r="Z20" s="42"/>
      <c r="AA20" s="42"/>
    </row>
    <row r="21" spans="1:27" ht="33.75" customHeight="1" x14ac:dyDescent="0.2">
      <c r="A21" s="42"/>
      <c r="H21" s="42"/>
      <c r="I21" s="42"/>
      <c r="P21" s="42"/>
      <c r="Q21" s="42"/>
      <c r="R21" s="55" t="s">
        <v>85</v>
      </c>
      <c r="S21" s="13" t="s">
        <v>86</v>
      </c>
      <c r="T21" s="28" t="str">
        <f>"GBP "&amp;ROUND('Launch Readiness'!$E$12/1000000,2)&amp;"M"</f>
        <v>GBP 2.84M</v>
      </c>
      <c r="U21" s="13" t="str">
        <f>T21&amp;" initial operating funding need"</f>
        <v>GBP 2.84M initial operating funding need</v>
      </c>
      <c r="V21" s="32" t="s">
        <v>1541</v>
      </c>
      <c r="W21" s="32" t="s">
        <v>87</v>
      </c>
      <c r="X21" s="42"/>
      <c r="Y21" s="42"/>
      <c r="Z21" s="42"/>
      <c r="AA21" s="42"/>
    </row>
    <row r="22" spans="1:27" ht="33.75" customHeight="1" x14ac:dyDescent="0.2">
      <c r="A22" s="42"/>
      <c r="B22" s="42"/>
      <c r="C22" s="158" t="s">
        <v>88</v>
      </c>
      <c r="D22" s="159"/>
      <c r="E22" s="159"/>
      <c r="F22" s="159"/>
      <c r="G22" s="159"/>
      <c r="H22" s="42"/>
      <c r="I22" s="42"/>
      <c r="P22" s="42"/>
      <c r="Q22" s="42"/>
      <c r="R22" s="55" t="s">
        <v>85</v>
      </c>
      <c r="S22" s="13" t="s">
        <v>89</v>
      </c>
      <c r="T22" s="28" t="str">
        <f>ROUND($M$58*100,0)&amp;"%  GBP "&amp;ROUND($L$58/1000,0)&amp;"K"</f>
        <v>19%  GBP 532K</v>
      </c>
      <c r="U22" s="13" t="str">
        <f>T22</f>
        <v>19%  GBP 532K</v>
      </c>
      <c r="V22" s="32" t="s">
        <v>90</v>
      </c>
      <c r="W22" s="32" t="s">
        <v>91</v>
      </c>
      <c r="X22" s="42"/>
      <c r="Y22" s="42"/>
      <c r="Z22" s="42"/>
      <c r="AA22" s="42"/>
    </row>
    <row r="23" spans="1:27" ht="33.75" customHeight="1" x14ac:dyDescent="0.2">
      <c r="A23" s="42"/>
      <c r="B23" s="50" t="s">
        <v>92</v>
      </c>
      <c r="C23" s="160" t="s">
        <v>93</v>
      </c>
      <c r="D23" s="159"/>
      <c r="E23" s="159"/>
      <c r="F23" s="159"/>
      <c r="G23" s="159"/>
      <c r="H23" s="42"/>
      <c r="I23" s="42"/>
      <c r="J23" s="42"/>
      <c r="K23" s="158" t="s">
        <v>94</v>
      </c>
      <c r="L23" s="159"/>
      <c r="M23" s="159"/>
      <c r="N23" s="159"/>
      <c r="O23" s="159"/>
      <c r="P23" s="42"/>
      <c r="Q23" s="42"/>
      <c r="R23" s="55" t="s">
        <v>85</v>
      </c>
      <c r="S23" s="13" t="s">
        <v>95</v>
      </c>
      <c r="T23" s="28" t="str">
        <f>ROUND($M$59*100,0)&amp;"%  GBP "&amp;ROUND($L$59/1000,0)&amp;"K"</f>
        <v>35%  GBP 991K</v>
      </c>
      <c r="U23" s="13" t="str">
        <f>T23</f>
        <v>35%  GBP 991K</v>
      </c>
      <c r="V23" s="32" t="s">
        <v>96</v>
      </c>
      <c r="W23" s="32" t="s">
        <v>91</v>
      </c>
      <c r="X23" s="42"/>
      <c r="Y23" s="42"/>
      <c r="Z23" s="42"/>
      <c r="AA23" s="42"/>
    </row>
    <row r="24" spans="1:27" ht="33.75" customHeight="1" x14ac:dyDescent="0.2">
      <c r="A24" s="42"/>
      <c r="B24" s="42"/>
      <c r="C24" s="42"/>
      <c r="D24" s="42"/>
      <c r="E24" s="42"/>
      <c r="F24" s="42"/>
      <c r="G24" s="42"/>
      <c r="H24" s="42"/>
      <c r="I24" s="42"/>
      <c r="J24" s="50" t="s">
        <v>97</v>
      </c>
      <c r="K24" s="160" t="s">
        <v>98</v>
      </c>
      <c r="L24" s="159"/>
      <c r="M24" s="159"/>
      <c r="N24" s="159"/>
      <c r="O24" s="159"/>
      <c r="P24" s="42"/>
      <c r="Q24" s="42"/>
      <c r="R24" s="55" t="s">
        <v>85</v>
      </c>
      <c r="S24" s="13" t="s">
        <v>99</v>
      </c>
      <c r="T24" s="28" t="str">
        <f>ROUND($M$60*100,0)&amp;"%  GBP "&amp;ROUND($L$60/1000,0)&amp;"K"</f>
        <v>34%  GBP 967K</v>
      </c>
      <c r="U24" s="13" t="str">
        <f>T24</f>
        <v>34%  GBP 967K</v>
      </c>
      <c r="V24" s="32" t="s">
        <v>100</v>
      </c>
      <c r="W24" s="32" t="s">
        <v>91</v>
      </c>
      <c r="X24" s="42"/>
      <c r="Y24" s="42"/>
      <c r="Z24" s="42"/>
      <c r="AA24" s="42"/>
    </row>
    <row r="25" spans="1:27" ht="33.75" customHeight="1" x14ac:dyDescent="0.2">
      <c r="A25" s="42"/>
      <c r="B25" s="42"/>
      <c r="C25" s="42"/>
      <c r="D25" s="42"/>
      <c r="E25" s="42"/>
      <c r="F25" s="42"/>
      <c r="G25" s="42"/>
      <c r="H25" s="42"/>
      <c r="I25" s="42"/>
      <c r="J25" s="9" t="s">
        <v>101</v>
      </c>
      <c r="K25" s="9" t="s">
        <v>102</v>
      </c>
      <c r="L25" s="9" t="s">
        <v>103</v>
      </c>
      <c r="M25" s="9" t="s">
        <v>104</v>
      </c>
      <c r="N25" s="9" t="s">
        <v>105</v>
      </c>
      <c r="O25" s="42"/>
      <c r="P25" s="42"/>
      <c r="Q25" s="42"/>
      <c r="R25" s="55" t="s">
        <v>85</v>
      </c>
      <c r="S25" s="13" t="s">
        <v>106</v>
      </c>
      <c r="T25" s="28" t="str">
        <f>ROUND($M$61*100,0)&amp;"%  GBP "&amp;ROUND($L$61/1000,0)&amp;"K"</f>
        <v>6%  GBP 159K</v>
      </c>
      <c r="U25" s="13" t="str">
        <f>T25</f>
        <v>6%  GBP 159K</v>
      </c>
      <c r="V25" s="32" t="s">
        <v>107</v>
      </c>
      <c r="W25" s="32" t="s">
        <v>91</v>
      </c>
      <c r="X25" s="42"/>
      <c r="Y25" s="42"/>
      <c r="Z25" s="42"/>
      <c r="AA25" s="42"/>
    </row>
    <row r="26" spans="1:27" ht="33.75" customHeight="1" x14ac:dyDescent="0.2">
      <c r="A26" s="42"/>
      <c r="B26" s="42"/>
      <c r="C26" s="42"/>
      <c r="D26" s="42"/>
      <c r="E26" s="42"/>
      <c r="F26" s="63"/>
      <c r="G26" s="42"/>
      <c r="H26" s="42"/>
      <c r="I26" s="42"/>
      <c r="J26" s="14" t="s">
        <v>108</v>
      </c>
      <c r="K26" s="18" t="str">
        <f>'Cash Flow Statement'!B45</f>
        <v>Beyond Month 60</v>
      </c>
      <c r="L26" s="66">
        <f>'Cash Flow Statement'!C45/1000000</f>
        <v>3.9158620000000002</v>
      </c>
      <c r="M26" s="66">
        <f>'Cash Flow Statement'!D45/1000000</f>
        <v>-2.9242780000000002</v>
      </c>
      <c r="N26" s="66">
        <f>'Cash Flow Statement'!F45/1000000</f>
        <v>4.1068889999999998</v>
      </c>
      <c r="O26" s="42"/>
      <c r="P26" s="42"/>
      <c r="Q26" s="42"/>
      <c r="R26" s="55" t="s">
        <v>85</v>
      </c>
      <c r="S26" s="13" t="s">
        <v>109</v>
      </c>
      <c r="T26" s="28" t="str">
        <f>ROUND($M$62*100,0)&amp;"%  GBP "&amp;ROUND($L$62/1000,0)&amp;"K"</f>
        <v>7%  GBP 191K</v>
      </c>
      <c r="U26" s="13" t="str">
        <f>T26</f>
        <v>7%  GBP 191K</v>
      </c>
      <c r="V26" s="32" t="s">
        <v>110</v>
      </c>
      <c r="W26" s="32" t="s">
        <v>91</v>
      </c>
      <c r="X26" s="42"/>
      <c r="Y26" s="42"/>
      <c r="Z26" s="42"/>
      <c r="AA26" s="42"/>
    </row>
    <row r="27" spans="1:27" ht="18" customHeight="1" x14ac:dyDescent="0.2">
      <c r="A27" s="42"/>
      <c r="B27" s="42"/>
      <c r="C27" s="42"/>
      <c r="D27" s="42"/>
      <c r="E27" s="42"/>
      <c r="F27" s="63"/>
      <c r="G27" s="42"/>
      <c r="H27" s="42"/>
      <c r="I27" s="42"/>
      <c r="J27" s="14" t="s">
        <v>111</v>
      </c>
      <c r="K27" s="18" t="str">
        <f>'Cash Flow Statement'!B46</f>
        <v>Y4 M8</v>
      </c>
      <c r="L27" s="66">
        <f>'Cash Flow Statement'!C46/1000000</f>
        <v>2.6494179999999998</v>
      </c>
      <c r="M27" s="66">
        <f>'Cash Flow Statement'!D46/1000000</f>
        <v>12.947967</v>
      </c>
      <c r="N27" s="66">
        <f>'Cash Flow Statement'!F46/1000000</f>
        <v>2.840446</v>
      </c>
      <c r="O27" s="42"/>
      <c r="P27" s="42"/>
      <c r="Q27" s="42"/>
      <c r="R27" s="55">
        <v>13</v>
      </c>
      <c r="S27" s="13" t="s">
        <v>56</v>
      </c>
      <c r="T27" s="28" t="str">
        <f>"GBP "&amp;ROUND('Launch Readiness'!$E$17/1000,0)&amp;"K"</f>
        <v>GBP 319K</v>
      </c>
      <c r="U27" s="13" t="str">
        <f>T27&amp;" future scale-stage restricted capital; excluded from initial operating ask"</f>
        <v>GBP 319K future scale-stage restricted capital; excluded from initial operating ask</v>
      </c>
      <c r="V27" s="32" t="s">
        <v>1543</v>
      </c>
      <c r="W27" s="32" t="s">
        <v>112</v>
      </c>
      <c r="X27" s="42"/>
      <c r="Y27" s="42"/>
      <c r="Z27" s="42"/>
      <c r="AA27" s="42"/>
    </row>
    <row r="28" spans="1:27" ht="18" customHeight="1" x14ac:dyDescent="0.2">
      <c r="A28" s="42"/>
      <c r="B28" s="42"/>
      <c r="C28" s="42"/>
      <c r="D28" s="42"/>
      <c r="E28" s="42"/>
      <c r="F28" s="63"/>
      <c r="G28" s="42"/>
      <c r="H28" s="42"/>
      <c r="I28" s="42"/>
      <c r="J28" s="14" t="s">
        <v>113</v>
      </c>
      <c r="K28" s="18" t="str">
        <f>'Cash Flow Statement'!B47</f>
        <v>Y4 M4</v>
      </c>
      <c r="L28" s="66">
        <f>'Cash Flow Statement'!C47/1000000</f>
        <v>1.946199</v>
      </c>
      <c r="M28" s="66">
        <f>'Cash Flow Statement'!D47/1000000</f>
        <v>33.921709999999997</v>
      </c>
      <c r="N28" s="66">
        <f>'Cash Flow Statement'!F47/1000000</f>
        <v>2.1372260000000001</v>
      </c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</row>
    <row r="29" spans="1:27" ht="18" customHeight="1" x14ac:dyDescent="0.2">
      <c r="A29" s="42"/>
      <c r="B29" s="42"/>
      <c r="C29" s="42"/>
      <c r="D29" s="42"/>
      <c r="E29" s="42"/>
      <c r="F29" s="63"/>
      <c r="G29" s="42"/>
      <c r="H29" s="42"/>
      <c r="I29" s="42"/>
      <c r="J29" s="161" t="str">
        <f>"- Base reaches monthly cash-flow break-even in "&amp;'Cash Flow Statement'!$B$46&amp;"; High reaches "&amp;'Cash Flow Statement'!$B$47&amp;"."</f>
        <v>- Base reaches monthly cash-flow break-even in Y4 M8; High reaches Y4 M4.</v>
      </c>
      <c r="K29" s="161"/>
      <c r="L29" s="161"/>
      <c r="M29" s="161"/>
      <c r="N29" s="161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</row>
    <row r="30" spans="1:27" ht="21.95" customHeight="1" x14ac:dyDescent="0.2">
      <c r="A30" s="42"/>
      <c r="B30" s="42"/>
      <c r="C30" s="42"/>
      <c r="D30" s="42"/>
      <c r="E30" s="42"/>
      <c r="F30" s="63"/>
      <c r="G30" s="42"/>
      <c r="H30" s="42"/>
      <c r="I30" s="42"/>
      <c r="J30" s="161" t="str">
        <f>"- Low reaches monthly cash-flow break-even in "&amp;'Cash Flow Statement'!$B$45&amp;"; base Month 60 operating cash is GBP "&amp;ROUND('Cash Flow Statement'!$D$46/1000000,1)&amp;"M."</f>
        <v>- Low reaches monthly cash-flow break-even in Beyond Month 60; base Month 60 operating cash is GBP 12.9M.</v>
      </c>
      <c r="K30" s="161"/>
      <c r="L30" s="161"/>
      <c r="M30" s="161"/>
      <c r="N30" s="161"/>
      <c r="O30" s="42"/>
      <c r="P30" s="42"/>
      <c r="Q30" s="42"/>
      <c r="R30" s="151" t="s">
        <v>114</v>
      </c>
      <c r="S30" s="151"/>
      <c r="T30" s="151"/>
      <c r="U30" s="151"/>
      <c r="V30" s="151"/>
      <c r="W30" s="151"/>
      <c r="X30" s="151"/>
      <c r="Y30" s="151"/>
      <c r="Z30" s="151"/>
      <c r="AA30" s="151"/>
    </row>
    <row r="31" spans="1:27" ht="26.1" customHeight="1" x14ac:dyDescent="0.2">
      <c r="A31" s="42"/>
      <c r="B31" s="42"/>
      <c r="C31" s="42"/>
      <c r="D31" s="42"/>
      <c r="E31" s="42"/>
      <c r="F31" s="63"/>
      <c r="G31" s="42"/>
      <c r="H31" s="42"/>
      <c r="I31" s="42"/>
      <c r="J31" s="161" t="s">
        <v>128</v>
      </c>
      <c r="K31" s="161"/>
      <c r="L31" s="161"/>
      <c r="M31" s="161"/>
      <c r="N31" s="161"/>
      <c r="O31" s="42"/>
      <c r="P31" s="42"/>
      <c r="Q31" s="42"/>
      <c r="R31" s="150" t="s">
        <v>115</v>
      </c>
      <c r="S31" s="150"/>
      <c r="T31" s="150"/>
      <c r="U31" s="150"/>
      <c r="V31" s="150"/>
      <c r="W31" s="150"/>
      <c r="X31" s="150"/>
      <c r="Y31" s="150"/>
      <c r="Z31" s="150"/>
      <c r="AA31" s="150"/>
    </row>
    <row r="32" spans="1:27" ht="18" customHeight="1" x14ac:dyDescent="0.2">
      <c r="A32" s="42"/>
      <c r="B32" s="42"/>
      <c r="C32" s="42"/>
      <c r="D32" s="42"/>
      <c r="E32" s="42"/>
      <c r="F32" s="42"/>
      <c r="G32" s="42"/>
      <c r="H32" s="42"/>
      <c r="I32" s="42"/>
      <c r="J32" s="161" t="s">
        <v>129</v>
      </c>
      <c r="K32" s="161"/>
      <c r="L32" s="161"/>
      <c r="M32" s="161"/>
      <c r="N32" s="161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</row>
    <row r="33" spans="1:27" ht="30" customHeight="1" x14ac:dyDescent="0.2">
      <c r="A33" s="42"/>
      <c r="B33" s="42"/>
      <c r="C33" s="42"/>
      <c r="D33" s="42"/>
      <c r="E33" s="42"/>
      <c r="F33" s="42"/>
      <c r="G33" s="42"/>
      <c r="H33" s="42"/>
      <c r="I33" s="42"/>
      <c r="J33" s="43" t="s">
        <v>1544</v>
      </c>
      <c r="K33" s="43"/>
      <c r="L33" s="43"/>
      <c r="M33" s="43"/>
      <c r="N33" s="43"/>
      <c r="O33" s="42"/>
      <c r="P33" s="42"/>
      <c r="Q33" s="42"/>
      <c r="R33" s="9" t="s">
        <v>116</v>
      </c>
      <c r="S33" s="162" t="s">
        <v>117</v>
      </c>
      <c r="T33" s="162"/>
      <c r="U33" s="162"/>
      <c r="V33" s="162" t="s">
        <v>118</v>
      </c>
      <c r="W33" s="162"/>
      <c r="X33" s="162" t="s">
        <v>119</v>
      </c>
      <c r="Y33" s="162"/>
      <c r="Z33" s="162" t="s">
        <v>120</v>
      </c>
      <c r="AA33" s="162"/>
    </row>
    <row r="34" spans="1:27" ht="24.95" customHeight="1" x14ac:dyDescent="0.2">
      <c r="A34" s="42"/>
      <c r="B34" s="42"/>
      <c r="C34" s="42"/>
      <c r="D34" s="42"/>
      <c r="E34" s="42"/>
      <c r="F34" s="6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14" t="s">
        <v>121</v>
      </c>
      <c r="S34" s="163">
        <f>IFERROR((('P&amp;L 5yr'!C$36*Assumptions!$F$51*('P&amp;L 5yr'!C$42/'P&amp;L 5yr'!C$38))+'P&amp;L 5yr'!C$49+'P&amp;L 5yr'!C$53)/'P&amp;L 5yr'!C$83,0)</f>
        <v>50632.76422764227</v>
      </c>
      <c r="T34" s="164"/>
      <c r="U34" s="164"/>
      <c r="V34" s="165">
        <f>'P&amp;L 5yr'!C$83</f>
        <v>1</v>
      </c>
      <c r="W34" s="166"/>
      <c r="X34" s="165">
        <f>IFERROR('P&amp;L 5yr'!C$83/'P&amp;L 5yr'!C$36,0)</f>
        <v>3</v>
      </c>
      <c r="Y34" s="166"/>
      <c r="Z34" s="167" t="str">
        <f>IF(X34&gt;Assumptions!$F$182,"Above capacity","Within capacity")</f>
        <v>Within capacity</v>
      </c>
      <c r="AA34" s="167"/>
    </row>
    <row r="35" spans="1:27" ht="24.95" customHeight="1" x14ac:dyDescent="0.2">
      <c r="A35" s="42"/>
      <c r="H35" s="42"/>
      <c r="I35" s="42"/>
      <c r="P35" s="42"/>
      <c r="Q35" s="42"/>
      <c r="R35" s="14" t="s">
        <v>122</v>
      </c>
      <c r="S35" s="163">
        <f>IFERROR((('P&amp;L 5yr'!D$36*Assumptions!$F$51*('P&amp;L 5yr'!D$42/'P&amp;L 5yr'!D$38))+'P&amp;L 5yr'!D$49+'P&amp;L 5yr'!D$53)/'P&amp;L 5yr'!D$83,0)</f>
        <v>1458.5781808122965</v>
      </c>
      <c r="T35" s="164"/>
      <c r="U35" s="164"/>
      <c r="V35" s="165">
        <f>'P&amp;L 5yr'!D$83</f>
        <v>124.1</v>
      </c>
      <c r="W35" s="166"/>
      <c r="X35" s="165">
        <f>IFERROR('P&amp;L 5yr'!D$83/'P&amp;L 5yr'!D$36,0)</f>
        <v>62.05</v>
      </c>
      <c r="Y35" s="166"/>
      <c r="Z35" s="167" t="str">
        <f>IF(X35&gt;Assumptions!$F$182,"Above capacity","Within capacity")</f>
        <v>Within capacity</v>
      </c>
      <c r="AA35" s="167"/>
    </row>
    <row r="36" spans="1:27" ht="24.95" customHeight="1" x14ac:dyDescent="0.2">
      <c r="A36" s="42"/>
      <c r="H36" s="42"/>
      <c r="I36" s="42"/>
      <c r="P36" s="42"/>
      <c r="Q36" s="42"/>
      <c r="R36" s="14" t="s">
        <v>123</v>
      </c>
      <c r="S36" s="163">
        <f>IFERROR((('P&amp;L 5yr'!E$36*Assumptions!$F$51*('P&amp;L 5yr'!E$42/'P&amp;L 5yr'!E$38))+'P&amp;L 5yr'!E$49+'P&amp;L 5yr'!E$53)/'P&amp;L 5yr'!E$83,0)</f>
        <v>1231.8872364039958</v>
      </c>
      <c r="T36" s="164"/>
      <c r="U36" s="164"/>
      <c r="V36" s="165">
        <f>'P&amp;L 5yr'!E$83</f>
        <v>220.83333333333331</v>
      </c>
      <c r="W36" s="166"/>
      <c r="X36" s="165">
        <f>IFERROR('P&amp;L 5yr'!E$83/'P&amp;L 5yr'!E$36,0)</f>
        <v>73.6111111111111</v>
      </c>
      <c r="Y36" s="166"/>
      <c r="Z36" s="167" t="str">
        <f>IF(X36&gt;Assumptions!$F$182,"Above capacity","Within capacity")</f>
        <v>Within capacity</v>
      </c>
      <c r="AA36" s="167"/>
    </row>
    <row r="37" spans="1:27" ht="24.95" customHeight="1" x14ac:dyDescent="0.2">
      <c r="A37" s="42"/>
      <c r="B37" s="42"/>
      <c r="C37" s="42"/>
      <c r="D37" s="42"/>
      <c r="E37" s="42"/>
      <c r="F37" s="62"/>
      <c r="G37" s="42"/>
      <c r="H37" s="42"/>
      <c r="I37" s="42"/>
      <c r="P37" s="42"/>
      <c r="Q37" s="42"/>
      <c r="R37" s="14" t="s">
        <v>124</v>
      </c>
      <c r="S37" s="163">
        <f>IFERROR((('P&amp;L 5yr'!F$36*Assumptions!$F$51*('P&amp;L 5yr'!F$42/'P&amp;L 5yr'!F$38))+'P&amp;L 5yr'!F$49+'P&amp;L 5yr'!F$53)/'P&amp;L 5yr'!F$83,0)</f>
        <v>346.6247511433952</v>
      </c>
      <c r="T37" s="164"/>
      <c r="U37" s="164"/>
      <c r="V37" s="165">
        <f>'P&amp;L 5yr'!F$83</f>
        <v>1575</v>
      </c>
      <c r="W37" s="166"/>
      <c r="X37" s="165">
        <f>IFERROR('P&amp;L 5yr'!F$83/'P&amp;L 5yr'!F$36,0)</f>
        <v>225</v>
      </c>
      <c r="Y37" s="166"/>
      <c r="Z37" s="167" t="str">
        <f>IF(X37&gt;Assumptions!$F$182,"Above capacity","Within capacity")</f>
        <v>Within capacity</v>
      </c>
      <c r="AA37" s="167"/>
    </row>
    <row r="38" spans="1:27" ht="24.95" customHeight="1" x14ac:dyDescent="0.2">
      <c r="A38" s="42"/>
      <c r="B38" s="42"/>
      <c r="C38" s="42"/>
      <c r="D38" s="42"/>
      <c r="E38" s="42"/>
      <c r="F38" s="62"/>
      <c r="G38" s="42"/>
      <c r="H38" s="42"/>
      <c r="I38" s="42"/>
      <c r="P38" s="42"/>
      <c r="Q38" s="42"/>
      <c r="R38" s="14" t="s">
        <v>125</v>
      </c>
      <c r="S38" s="163">
        <f>IFERROR((('P&amp;L 5yr'!G$36*Assumptions!$F$51*('P&amp;L 5yr'!G$42/'P&amp;L 5yr'!G$38))+'P&amp;L 5yr'!G$49+'P&amp;L 5yr'!G$53)/'P&amp;L 5yr'!G$83,0)</f>
        <v>485.56011204481791</v>
      </c>
      <c r="T38" s="164"/>
      <c r="U38" s="164"/>
      <c r="V38" s="165">
        <f>'P&amp;L 5yr'!G$83</f>
        <v>1312.5</v>
      </c>
      <c r="W38" s="166"/>
      <c r="X38" s="165">
        <f>IFERROR('P&amp;L 5yr'!G$83/'P&amp;L 5yr'!G$36,0)</f>
        <v>164.0625</v>
      </c>
      <c r="Y38" s="166"/>
      <c r="Z38" s="167" t="str">
        <f>IF(X38&gt;Assumptions!$F$182,"Above capacity","Within capacity")</f>
        <v>Within capacity</v>
      </c>
      <c r="AA38" s="167"/>
    </row>
    <row r="39" spans="1:27" ht="21.95" customHeight="1" x14ac:dyDescent="0.2">
      <c r="A39" s="42"/>
      <c r="B39" s="42"/>
      <c r="C39" s="42"/>
      <c r="D39" s="42"/>
      <c r="E39" s="42"/>
      <c r="F39" s="62"/>
      <c r="G39" s="42"/>
      <c r="H39" s="42"/>
      <c r="I39" s="42"/>
      <c r="P39" s="42"/>
      <c r="Q39" s="42"/>
      <c r="R39" s="168" t="s">
        <v>126</v>
      </c>
      <c r="S39" s="168"/>
      <c r="T39" s="168"/>
      <c r="U39" s="168"/>
      <c r="V39" s="168"/>
      <c r="W39" s="168"/>
      <c r="X39" s="168"/>
      <c r="Y39" s="168"/>
      <c r="Z39" s="168"/>
      <c r="AA39" s="168"/>
    </row>
    <row r="40" spans="1:27" ht="24" customHeight="1" x14ac:dyDescent="0.2">
      <c r="A40" s="42"/>
      <c r="B40" s="42"/>
      <c r="C40" s="42"/>
      <c r="D40" s="42"/>
      <c r="E40" s="42"/>
      <c r="F40" s="62"/>
      <c r="G40" s="42"/>
      <c r="H40" s="42"/>
      <c r="I40" s="42"/>
      <c r="P40" s="42"/>
      <c r="Q40" s="42"/>
      <c r="R40" s="168" t="s">
        <v>127</v>
      </c>
      <c r="S40" s="168"/>
      <c r="T40" s="168"/>
      <c r="U40" s="168"/>
      <c r="V40" s="168"/>
      <c r="W40" s="168"/>
      <c r="X40" s="168"/>
      <c r="Y40" s="168"/>
      <c r="Z40" s="168"/>
      <c r="AA40" s="168"/>
    </row>
    <row r="41" spans="1:27" ht="18" customHeight="1" x14ac:dyDescent="0.2">
      <c r="A41" s="42"/>
      <c r="B41" s="42"/>
      <c r="C41" s="42"/>
      <c r="D41" s="42"/>
      <c r="E41" s="42"/>
      <c r="F41" s="6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</row>
    <row r="42" spans="1:27" ht="18" customHeight="1" x14ac:dyDescent="0.2">
      <c r="A42" s="42"/>
      <c r="B42" s="42"/>
      <c r="C42" s="42"/>
      <c r="D42" s="42"/>
      <c r="E42" s="42"/>
      <c r="F42" s="6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</row>
    <row r="43" spans="1:27" ht="24.75" customHeight="1" x14ac:dyDescent="0.2">
      <c r="A43" s="42"/>
      <c r="B43" s="42"/>
      <c r="C43" s="42"/>
      <c r="D43" s="42"/>
      <c r="E43" s="42"/>
      <c r="F43" s="62"/>
      <c r="G43" s="42"/>
      <c r="H43" s="42"/>
      <c r="I43" s="42"/>
      <c r="J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</row>
    <row r="44" spans="1:27" ht="24.75" customHeight="1" x14ac:dyDescent="0.2">
      <c r="A44" s="42"/>
      <c r="B44" s="42"/>
      <c r="C44" s="42"/>
      <c r="D44" s="42"/>
      <c r="E44" s="42"/>
      <c r="F44" s="62"/>
      <c r="G44" s="42"/>
      <c r="H44" s="42"/>
      <c r="I44" s="42"/>
      <c r="J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</row>
    <row r="45" spans="1:27" ht="24.75" customHeight="1" x14ac:dyDescent="0.2">
      <c r="A45" s="42"/>
      <c r="B45" s="42"/>
      <c r="C45" s="42"/>
      <c r="D45" s="42"/>
      <c r="E45" s="42"/>
      <c r="F45" s="62"/>
      <c r="G45" s="42"/>
      <c r="H45" s="42"/>
      <c r="I45" s="42"/>
      <c r="J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</row>
    <row r="46" spans="1:27" ht="24.75" customHeight="1" x14ac:dyDescent="0.2">
      <c r="A46" s="42"/>
      <c r="B46" s="42"/>
      <c r="C46" s="42"/>
      <c r="D46" s="42"/>
      <c r="E46" s="42"/>
      <c r="F46" s="62"/>
      <c r="G46" s="42"/>
      <c r="H46" s="42"/>
      <c r="I46" s="42"/>
      <c r="J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</row>
    <row r="47" spans="1:27" ht="18" customHeight="1" x14ac:dyDescent="0.2">
      <c r="A47" s="42"/>
      <c r="B47" s="42"/>
      <c r="C47" s="42"/>
      <c r="D47" s="42"/>
      <c r="E47" s="42"/>
      <c r="F47" s="62"/>
      <c r="G47" s="42"/>
      <c r="H47" s="42"/>
      <c r="I47" s="42"/>
      <c r="J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</row>
    <row r="48" spans="1:27" ht="18" customHeight="1" x14ac:dyDescent="0.2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</row>
    <row r="49" spans="1:27" ht="18" customHeight="1" x14ac:dyDescent="0.2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</row>
    <row r="50" spans="1:27" ht="18" customHeight="1" x14ac:dyDescent="0.2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</row>
    <row r="51" spans="1:27" ht="18" customHeight="1" x14ac:dyDescent="0.2">
      <c r="A51" s="42"/>
      <c r="B51" s="159"/>
      <c r="C51" s="159"/>
      <c r="D51" s="159"/>
      <c r="E51" s="159"/>
      <c r="F51" s="159"/>
      <c r="G51" s="159"/>
      <c r="H51" s="159"/>
      <c r="I51" s="159"/>
      <c r="J51" s="159"/>
      <c r="K51" s="159"/>
      <c r="L51" s="159"/>
      <c r="M51" s="159"/>
      <c r="N51" s="159"/>
      <c r="O51" s="159"/>
      <c r="P51" s="159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</row>
    <row r="52" spans="1:27" ht="18" customHeight="1" x14ac:dyDescent="0.2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</row>
    <row r="53" spans="1:27" ht="18" customHeight="1" x14ac:dyDescent="0.2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</row>
    <row r="54" spans="1:27" ht="18" customHeight="1" x14ac:dyDescent="0.2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</row>
    <row r="55" spans="1:27" ht="18" customHeight="1" x14ac:dyDescent="0.2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</row>
    <row r="56" spans="1:27" ht="12" customHeight="1" x14ac:dyDescent="0.2">
      <c r="A56" s="42"/>
      <c r="B56" s="48" t="s">
        <v>130</v>
      </c>
      <c r="C56" s="64"/>
      <c r="D56" s="64"/>
      <c r="E56" s="64"/>
      <c r="F56" s="48" t="s">
        <v>131</v>
      </c>
      <c r="G56" s="64"/>
      <c r="H56" s="64"/>
      <c r="I56" s="64"/>
      <c r="J56" s="48" t="s">
        <v>132</v>
      </c>
      <c r="K56" s="64"/>
      <c r="L56" s="64"/>
      <c r="M56" s="64"/>
      <c r="N56" s="64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</row>
    <row r="57" spans="1:27" ht="12" customHeight="1" x14ac:dyDescent="0.2">
      <c r="A57" s="42"/>
      <c r="B57" s="48" t="s">
        <v>116</v>
      </c>
      <c r="C57" s="48" t="s">
        <v>133</v>
      </c>
      <c r="D57" s="48" t="s">
        <v>134</v>
      </c>
      <c r="E57" s="64"/>
      <c r="F57" s="48" t="s">
        <v>135</v>
      </c>
      <c r="G57" s="48" t="s">
        <v>136</v>
      </c>
      <c r="H57" s="64"/>
      <c r="I57" s="64"/>
      <c r="J57" s="48" t="s">
        <v>135</v>
      </c>
      <c r="K57" s="48" t="s">
        <v>137</v>
      </c>
      <c r="L57" s="48" t="s">
        <v>136</v>
      </c>
      <c r="M57" s="48" t="s">
        <v>138</v>
      </c>
      <c r="N57" s="64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</row>
    <row r="58" spans="1:27" ht="12" customHeight="1" x14ac:dyDescent="0.2">
      <c r="A58" s="42"/>
      <c r="B58" s="49" t="s">
        <v>121</v>
      </c>
      <c r="C58" s="58">
        <f>'Scenario Engine'!$H$30/1000000</f>
        <v>2.4490500000000004E-3</v>
      </c>
      <c r="D58" s="58">
        <f>'Scenario Engine'!$H$57/1000000</f>
        <v>-0.76236643911458335</v>
      </c>
      <c r="E58" s="64"/>
      <c r="F58" s="49" t="s">
        <v>139</v>
      </c>
      <c r="G58" s="58">
        <f>'Cash Flow Statement'!$H$4/1000000</f>
        <v>2.649419</v>
      </c>
      <c r="H58" s="64"/>
      <c r="I58" s="64"/>
      <c r="J58" s="49" t="s">
        <v>89</v>
      </c>
      <c r="K58" s="49">
        <f>SUM('P&amp;L 5yr'!$C$34:$E$34)*Assumptions!$F$50+SUM('P&amp;L 5yr'!$C$44:$E$47)+SUM('Startup 6mo'!$F$23:$F$28)</f>
        <v>689360</v>
      </c>
      <c r="L58" s="59">
        <f>MAX(0,'Launch Readiness'!$E$12-$L$62)*K58/SUM($K$58:$K$61)</f>
        <v>532484.89840546297</v>
      </c>
      <c r="M58" s="60">
        <f>L58/'Launch Readiness'!$E$12</f>
        <v>0.1874652425729843</v>
      </c>
      <c r="N58" s="64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</row>
    <row r="59" spans="1:27" ht="12" customHeight="1" x14ac:dyDescent="0.2">
      <c r="A59" s="42"/>
      <c r="B59" s="49" t="s">
        <v>122</v>
      </c>
      <c r="C59" s="58">
        <f>'Scenario Engine'!$I$30/1000000</f>
        <v>0.40454899999999999</v>
      </c>
      <c r="D59" s="58">
        <f>'Scenario Engine'!$I$57/1000000</f>
        <v>-0.83424882812500001</v>
      </c>
      <c r="E59" s="64"/>
      <c r="F59" s="49" t="s">
        <v>140</v>
      </c>
      <c r="G59" s="58">
        <f>'P&amp;L 5yr'!$G$65/1000000</f>
        <v>0.191027</v>
      </c>
      <c r="H59" s="64"/>
      <c r="I59" s="64"/>
      <c r="J59" s="49" t="s">
        <v>95</v>
      </c>
      <c r="K59" s="49">
        <f>SUM('P&amp;L 5yr'!$C$33:$E$33)*Assumptions!$F$49+SUM('P&amp;L 5yr'!$C$39:$E$41)+SUM('P&amp;L 5yr'!$C$48:$E$48,'P&amp;L 5yr'!$C$50:$E$50,'P&amp;L 5yr'!$C$54:$E$55)+SUM('Startup 6mo'!$F$7:$F$10,'Startup 6mo'!$F$37:$F$39)</f>
        <v>1282926.3333333333</v>
      </c>
      <c r="L59" s="59">
        <f>MAX(0,'Launch Readiness'!$E$12-$L$62)*K59/SUM($K$58:$K$61)</f>
        <v>990975.54001783254</v>
      </c>
      <c r="M59" s="60">
        <f>L59/'Launch Readiness'!$E$12</f>
        <v>0.34888026035975778</v>
      </c>
      <c r="N59" s="64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</row>
    <row r="60" spans="1:27" ht="12" customHeight="1" x14ac:dyDescent="0.2">
      <c r="A60" s="42"/>
      <c r="B60" s="49" t="s">
        <v>123</v>
      </c>
      <c r="C60" s="58">
        <f>'Scenario Engine'!$J$30/1000000</f>
        <v>1.387904</v>
      </c>
      <c r="D60" s="58">
        <f>'Scenario Engine'!$J$57/1000000</f>
        <v>-0.37845458333333332</v>
      </c>
      <c r="E60" s="64"/>
      <c r="F60" s="49" t="s">
        <v>141</v>
      </c>
      <c r="G60" s="58">
        <f>'Launch Readiness'!$E$10/1000000</f>
        <v>0</v>
      </c>
      <c r="H60" s="64"/>
      <c r="I60" s="64"/>
      <c r="J60" s="49" t="s">
        <v>99</v>
      </c>
      <c r="K60" s="49">
        <f>SUM('P&amp;L 5yr'!$C$35:$E$35)*Assumptions!$F$51+SUM('P&amp;L 5yr'!$C$51:$E$52)+SUM('Startup 6mo'!$F$12:$F$21)</f>
        <v>1251615.8333333333</v>
      </c>
      <c r="L60" s="59">
        <f>MAX(0,'Launch Readiness'!$E$12-$L$62)*K60/SUM($K$58:$K$61)</f>
        <v>966790.25451892882</v>
      </c>
      <c r="M60" s="60">
        <f>L60/'Launch Readiness'!$E$12</f>
        <v>0.3403656519148503</v>
      </c>
      <c r="N60" s="64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</row>
    <row r="61" spans="1:27" ht="12" customHeight="1" x14ac:dyDescent="0.2">
      <c r="A61" s="42"/>
      <c r="B61" s="49" t="s">
        <v>124</v>
      </c>
      <c r="C61" s="58">
        <f>'Scenario Engine'!$K$30/1000000</f>
        <v>8.9426919200000015</v>
      </c>
      <c r="D61" s="58">
        <f>'Scenario Engine'!$K$57/1000000</f>
        <v>5.0020291075000021</v>
      </c>
      <c r="E61" s="64"/>
      <c r="F61" s="49" t="s">
        <v>142</v>
      </c>
      <c r="G61" s="58">
        <f>'Launch Readiness'!$E$12/1000000</f>
        <v>2.840446</v>
      </c>
      <c r="H61" s="64"/>
      <c r="I61" s="64"/>
      <c r="J61" s="49" t="s">
        <v>106</v>
      </c>
      <c r="K61" s="49">
        <f>SUM('P&amp;L 5yr'!$C$36:$E$36)*Assumptions!$F$52+SUM('P&amp;L 5yr'!$C$49:$E$49,'P&amp;L 5yr'!$C$53:$E$53)+SUM('Startup 6mo'!$F$30:$F$35)</f>
        <v>206060.79999999999</v>
      </c>
      <c r="L61" s="59">
        <f>'Launch Readiness'!$E$12-SUM($L$58:$L$60)-$L$62</f>
        <v>159168.30705777556</v>
      </c>
      <c r="M61" s="60">
        <f>L61/'Launch Readiness'!$E$12</f>
        <v>5.6036378462317384E-2</v>
      </c>
      <c r="N61" s="64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</row>
    <row r="62" spans="1:27" ht="12" customHeight="1" x14ac:dyDescent="0.2">
      <c r="A62" s="42"/>
      <c r="B62" s="49" t="s">
        <v>125</v>
      </c>
      <c r="C62" s="58">
        <f>'Scenario Engine'!$L$30/1000000</f>
        <v>17.832613677500003</v>
      </c>
      <c r="D62" s="58">
        <f>'Scenario Engine'!$L$57/1000000</f>
        <v>11.753016240000003</v>
      </c>
      <c r="E62" s="64"/>
      <c r="F62" s="64"/>
      <c r="G62" s="64"/>
      <c r="H62" s="64"/>
      <c r="I62" s="64"/>
      <c r="J62" s="49" t="s">
        <v>109</v>
      </c>
      <c r="K62" s="49">
        <f>'P&amp;L 5yr'!$G$65</f>
        <v>191027</v>
      </c>
      <c r="L62" s="59">
        <f>MIN('Launch Readiness'!$E$12,'P&amp;L 5yr'!$G$65)</f>
        <v>191027</v>
      </c>
      <c r="M62" s="60">
        <f>L62/'Launch Readiness'!$E$12</f>
        <v>6.7252466690090218E-2</v>
      </c>
      <c r="N62" s="64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</row>
    <row r="63" spans="1:27" ht="12" customHeight="1" x14ac:dyDescent="0.2">
      <c r="A63" s="42"/>
      <c r="B63" s="42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</row>
    <row r="64" spans="1:27" ht="12" customHeight="1" x14ac:dyDescent="0.2">
      <c r="A64" s="42"/>
      <c r="B64" s="42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</row>
    <row r="65" spans="1:27" ht="12" customHeight="1" x14ac:dyDescent="0.2">
      <c r="A65" s="42"/>
      <c r="B65" s="42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</row>
    <row r="66" spans="1:27" ht="12" customHeight="1" x14ac:dyDescent="0.2">
      <c r="A66" s="42"/>
      <c r="B66" s="48" t="s">
        <v>143</v>
      </c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</row>
    <row r="67" spans="1:27" ht="12" customHeight="1" x14ac:dyDescent="0.2">
      <c r="A67" s="42"/>
      <c r="B67" s="48" t="s">
        <v>144</v>
      </c>
      <c r="C67" s="48" t="s">
        <v>108</v>
      </c>
      <c r="D67" s="48" t="s">
        <v>111</v>
      </c>
      <c r="E67" s="48" t="s">
        <v>113</v>
      </c>
      <c r="F67" s="64"/>
      <c r="G67" s="64"/>
      <c r="H67" s="64"/>
      <c r="I67" s="64"/>
      <c r="J67" s="64"/>
      <c r="K67" s="64"/>
      <c r="L67" s="64"/>
      <c r="M67" s="64"/>
      <c r="N67" s="64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</row>
    <row r="68" spans="1:27" ht="12" customHeight="1" x14ac:dyDescent="0.2">
      <c r="A68" s="42"/>
      <c r="B68" s="49" t="str">
        <f>'Cash Flow Statement'!G9</f>
        <v>Y1 M6</v>
      </c>
      <c r="C68" s="58">
        <f>'Cash Flow Statement'!G52/1000000</f>
        <v>-0.65539999999999998</v>
      </c>
      <c r="D68" s="58">
        <f>'Cash Flow Statement'!G53/1000000</f>
        <v>-0.65539999999999998</v>
      </c>
      <c r="E68" s="58">
        <f>'Cash Flow Statement'!G54/1000000</f>
        <v>-0.65539999999999998</v>
      </c>
      <c r="F68" s="64"/>
      <c r="G68" s="64"/>
      <c r="H68" s="64"/>
      <c r="I68" s="64"/>
      <c r="J68" s="64"/>
      <c r="K68" s="64"/>
      <c r="L68" s="64"/>
      <c r="M68" s="64"/>
      <c r="N68" s="64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</row>
    <row r="69" spans="1:27" ht="12" customHeight="1" x14ac:dyDescent="0.2">
      <c r="A69" s="42"/>
      <c r="B69" s="49" t="str">
        <f>'Cash Flow Statement'!M9</f>
        <v>Y1 M12</v>
      </c>
      <c r="C69" s="58">
        <f>'Cash Flow Statement'!M52/1000000</f>
        <v>-1.0678730000000001</v>
      </c>
      <c r="D69" s="58">
        <f>'Cash Flow Statement'!M53/1000000</f>
        <v>-1.068227</v>
      </c>
      <c r="E69" s="58">
        <f>'Cash Flow Statement'!M54/1000000</f>
        <v>-1.068902</v>
      </c>
      <c r="F69" s="64"/>
      <c r="G69" s="64"/>
      <c r="H69" s="64"/>
      <c r="I69" s="64"/>
      <c r="J69" s="64"/>
      <c r="K69" s="64"/>
      <c r="L69" s="64"/>
      <c r="M69" s="64"/>
      <c r="N69" s="64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</row>
    <row r="70" spans="1:27" ht="12" customHeight="1" x14ac:dyDescent="0.2">
      <c r="A70" s="42"/>
      <c r="B70" s="49" t="str">
        <f>'Cash Flow Statement'!S9</f>
        <v>Y2 M6</v>
      </c>
      <c r="C70" s="58">
        <f>'Cash Flow Statement'!S52/1000000</f>
        <v>-1.623505</v>
      </c>
      <c r="D70" s="58">
        <f>'Cash Flow Statement'!S53/1000000</f>
        <v>-1.5591619999999999</v>
      </c>
      <c r="E70" s="58">
        <f>'Cash Flow Statement'!S54/1000000</f>
        <v>-1.437783</v>
      </c>
      <c r="F70" s="64"/>
      <c r="G70" s="64"/>
      <c r="H70" s="64"/>
      <c r="I70" s="64"/>
      <c r="J70" s="64"/>
      <c r="K70" s="64"/>
      <c r="L70" s="64"/>
      <c r="M70" s="64"/>
      <c r="N70" s="64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</row>
    <row r="71" spans="1:27" ht="12" customHeight="1" x14ac:dyDescent="0.2">
      <c r="A71" s="42"/>
      <c r="B71" s="49" t="str">
        <f>'Cash Flow Statement'!Y9</f>
        <v>Y2 M12</v>
      </c>
      <c r="C71" s="58">
        <f>'Cash Flow Statement'!Y52/1000000</f>
        <v>-2.1182650000000001</v>
      </c>
      <c r="D71" s="58">
        <f>'Cash Flow Statement'!Y53/1000000</f>
        <v>-1.976288</v>
      </c>
      <c r="E71" s="58">
        <f>'Cash Flow Statement'!Y54/1000000</f>
        <v>-1.7092590000000001</v>
      </c>
      <c r="F71" s="64"/>
      <c r="G71" s="64"/>
      <c r="H71" s="64"/>
      <c r="I71" s="64"/>
      <c r="J71" s="64"/>
      <c r="K71" s="64"/>
      <c r="L71" s="64"/>
      <c r="M71" s="64"/>
      <c r="N71" s="64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</row>
    <row r="72" spans="1:27" ht="12" customHeight="1" x14ac:dyDescent="0.2">
      <c r="A72" s="42"/>
      <c r="B72" s="49" t="str">
        <f>'Cash Flow Statement'!AE9</f>
        <v>Y3 M6</v>
      </c>
      <c r="C72" s="58">
        <f>'Cash Flow Statement'!AE52/1000000</f>
        <v>-2.53607</v>
      </c>
      <c r="D72" s="58">
        <f>'Cash Flow Statement'!AE53/1000000</f>
        <v>-2.2401460000000002</v>
      </c>
      <c r="E72" s="58">
        <f>'Cash Flow Statement'!AE54/1000000</f>
        <v>-1.735746</v>
      </c>
      <c r="F72" s="64"/>
      <c r="G72" s="64"/>
      <c r="H72" s="64"/>
      <c r="I72" s="64"/>
      <c r="J72" s="64"/>
      <c r="K72" s="64"/>
      <c r="L72" s="64"/>
      <c r="M72" s="64"/>
      <c r="N72" s="64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</row>
    <row r="73" spans="1:27" ht="12" customHeight="1" x14ac:dyDescent="0.2">
      <c r="A73" s="42"/>
      <c r="B73" s="49" t="str">
        <f>'Cash Flow Statement'!AK9</f>
        <v>Y3 M12</v>
      </c>
      <c r="C73" s="58">
        <f>'Cash Flow Statement'!AK52/1000000</f>
        <v>-2.899562</v>
      </c>
      <c r="D73" s="58">
        <f>'Cash Flow Statement'!AK53/1000000</f>
        <v>-2.4366880000000002</v>
      </c>
      <c r="E73" s="58">
        <f>'Cash Flow Statement'!AK54/1000000</f>
        <v>-1.6766760000000001</v>
      </c>
      <c r="F73" s="64"/>
      <c r="G73" s="64"/>
      <c r="H73" s="64"/>
      <c r="I73" s="64"/>
      <c r="J73" s="64"/>
      <c r="K73" s="64"/>
      <c r="L73" s="64"/>
      <c r="M73" s="64"/>
      <c r="N73" s="64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</row>
    <row r="74" spans="1:27" ht="12" customHeight="1" x14ac:dyDescent="0.2">
      <c r="A74" s="42"/>
      <c r="B74" s="49" t="str">
        <f>'Cash Flow Statement'!AQ9</f>
        <v>Y4 M6</v>
      </c>
      <c r="C74" s="58">
        <f>'Cash Flow Statement'!AQ52/1000000</f>
        <v>-3.350263</v>
      </c>
      <c r="D74" s="58">
        <f>'Cash Flow Statement'!AQ53/1000000</f>
        <v>-0.56523800000000002</v>
      </c>
      <c r="E74" s="58">
        <f>'Cash Flow Statement'!AQ54/1000000</f>
        <v>2.721956</v>
      </c>
      <c r="F74" s="64"/>
      <c r="G74" s="64"/>
      <c r="H74" s="64"/>
      <c r="I74" s="64"/>
      <c r="J74" s="64"/>
      <c r="K74" s="64"/>
      <c r="L74" s="64"/>
      <c r="M74" s="64"/>
      <c r="N74" s="64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</row>
    <row r="75" spans="1:27" ht="12" customHeight="1" x14ac:dyDescent="0.2">
      <c r="A75" s="42"/>
      <c r="B75" s="49" t="str">
        <f>'Cash Flow Statement'!AW9</f>
        <v>Y4 M12</v>
      </c>
      <c r="C75" s="58">
        <f>'Cash Flow Statement'!AW52/1000000</f>
        <v>-3.7622589999999998</v>
      </c>
      <c r="D75" s="58">
        <f>'Cash Flow Statement'!AW53/1000000</f>
        <v>1.935778</v>
      </c>
      <c r="E75" s="58">
        <f>'Cash Flow Statement'!AW54/1000000</f>
        <v>8.3237419999999993</v>
      </c>
      <c r="F75" s="65"/>
      <c r="G75" s="64"/>
      <c r="H75" s="64"/>
      <c r="I75" s="64"/>
      <c r="J75" s="64"/>
      <c r="K75" s="64"/>
      <c r="L75" s="64"/>
      <c r="M75" s="64"/>
      <c r="N75" s="64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</row>
    <row r="76" spans="1:27" ht="12" customHeight="1" x14ac:dyDescent="0.2">
      <c r="A76" s="42"/>
      <c r="B76" s="49" t="str">
        <f>'Cash Flow Statement'!BC9</f>
        <v>Y5 M6</v>
      </c>
      <c r="C76" s="58">
        <f>'Cash Flow Statement'!BC52/1000000</f>
        <v>-3.4651420000000002</v>
      </c>
      <c r="D76" s="58">
        <f>'Cash Flow Statement'!BC53/1000000</f>
        <v>7.0714589999999999</v>
      </c>
      <c r="E76" s="58">
        <f>'Cash Flow Statement'!BC54/1000000</f>
        <v>20.267924000000001</v>
      </c>
      <c r="F76" s="65"/>
      <c r="G76" s="64"/>
      <c r="H76" s="64"/>
      <c r="I76" s="64"/>
      <c r="J76" s="64"/>
      <c r="K76" s="64"/>
      <c r="L76" s="64"/>
      <c r="M76" s="64"/>
      <c r="N76" s="64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</row>
    <row r="77" spans="1:27" ht="12" customHeight="1" x14ac:dyDescent="0.2">
      <c r="A77" s="42"/>
      <c r="B77" s="49" t="str">
        <f>'Cash Flow Statement'!BI9</f>
        <v>Y5 M12</v>
      </c>
      <c r="C77" s="58">
        <f>'Cash Flow Statement'!BI52/1000000</f>
        <v>-2.9242780000000002</v>
      </c>
      <c r="D77" s="58">
        <f>'Cash Flow Statement'!BI53/1000000</f>
        <v>12.947967</v>
      </c>
      <c r="E77" s="58">
        <f>'Cash Flow Statement'!BI54/1000000</f>
        <v>33.921709999999997</v>
      </c>
      <c r="F77" s="65"/>
      <c r="G77" s="64"/>
      <c r="H77" s="64"/>
      <c r="I77" s="64"/>
      <c r="J77" s="64"/>
      <c r="K77" s="64"/>
      <c r="L77" s="64"/>
      <c r="M77" s="64"/>
      <c r="N77" s="64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</row>
    <row r="78" spans="1:27" ht="12" customHeight="1" x14ac:dyDescent="0.2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</row>
    <row r="79" spans="1:27" ht="12" customHeight="1" x14ac:dyDescent="0.2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</row>
    <row r="80" spans="1:27" ht="12" customHeight="1" x14ac:dyDescent="0.2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</row>
    <row r="81" spans="1:27" ht="12" customHeight="1" x14ac:dyDescent="0.2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</row>
    <row r="82" spans="1:27" ht="18" customHeight="1" x14ac:dyDescent="0.2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</row>
    <row r="83" spans="1:27" ht="18" customHeight="1" x14ac:dyDescent="0.2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</row>
    <row r="84" spans="1:27" ht="14.25" customHeight="1" x14ac:dyDescent="0.2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</row>
    <row r="85" spans="1:27" ht="14.25" customHeight="1" x14ac:dyDescent="0.2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</row>
    <row r="86" spans="1:27" ht="14.25" customHeight="1" x14ac:dyDescent="0.2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</row>
    <row r="87" spans="1:27" ht="14.25" customHeight="1" x14ac:dyDescent="0.2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</row>
    <row r="88" spans="1:27" ht="14.25" customHeight="1" x14ac:dyDescent="0.2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</row>
    <row r="89" spans="1:27" ht="14.25" customHeight="1" x14ac:dyDescent="0.2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</row>
    <row r="90" spans="1:27" ht="14.25" customHeight="1" x14ac:dyDescent="0.2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</row>
    <row r="91" spans="1:27" ht="14.25" customHeight="1" x14ac:dyDescent="0.2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</row>
    <row r="92" spans="1:27" ht="14.25" customHeight="1" x14ac:dyDescent="0.2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</row>
    <row r="93" spans="1:27" ht="14.25" customHeight="1" x14ac:dyDescent="0.2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</row>
    <row r="94" spans="1:27" ht="14.25" customHeight="1" x14ac:dyDescent="0.2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</row>
    <row r="95" spans="1:27" ht="14.25" customHeight="1" x14ac:dyDescent="0.2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</row>
    <row r="96" spans="1:27" ht="14.25" customHeight="1" x14ac:dyDescent="0.2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</row>
    <row r="97" spans="1:27" ht="14.25" customHeight="1" x14ac:dyDescent="0.2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</row>
    <row r="98" spans="1:27" ht="14.25" customHeight="1" x14ac:dyDescent="0.2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</row>
    <row r="99" spans="1:27" ht="14.25" customHeight="1" x14ac:dyDescent="0.2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</row>
    <row r="100" spans="1:27" ht="14.25" customHeight="1" x14ac:dyDescent="0.2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</row>
    <row r="101" spans="1:27" ht="14.25" customHeight="1" x14ac:dyDescent="0.2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</row>
    <row r="102" spans="1:27" ht="14.25" customHeight="1" x14ac:dyDescent="0.2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</row>
    <row r="103" spans="1:27" ht="14.25" customHeight="1" x14ac:dyDescent="0.2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</row>
    <row r="104" spans="1:27" ht="14.25" customHeight="1" x14ac:dyDescent="0.2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</row>
    <row r="105" spans="1:27" ht="14.25" customHeight="1" x14ac:dyDescent="0.2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</row>
    <row r="106" spans="1:27" ht="14.25" customHeight="1" x14ac:dyDescent="0.2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</row>
    <row r="107" spans="1:27" ht="14.25" customHeight="1" x14ac:dyDescent="0.2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</row>
    <row r="108" spans="1:27" ht="14.25" customHeight="1" x14ac:dyDescent="0.2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</row>
    <row r="109" spans="1:27" ht="14.25" customHeight="1" x14ac:dyDescent="0.2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</row>
    <row r="110" spans="1:27" ht="14.25" customHeight="1" x14ac:dyDescent="0.2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</row>
    <row r="111" spans="1:27" ht="14.25" customHeight="1" x14ac:dyDescent="0.2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</row>
    <row r="112" spans="1:27" ht="14.25" customHeight="1" x14ac:dyDescent="0.2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</row>
    <row r="113" spans="1:27" ht="14.25" customHeight="1" x14ac:dyDescent="0.2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</row>
    <row r="114" spans="1:27" ht="14.25" customHeight="1" x14ac:dyDescent="0.2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</row>
    <row r="115" spans="1:27" ht="14.25" customHeight="1" x14ac:dyDescent="0.2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</row>
    <row r="116" spans="1:27" ht="14.25" customHeight="1" x14ac:dyDescent="0.2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</row>
    <row r="117" spans="1:27" ht="14.25" customHeight="1" x14ac:dyDescent="0.2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</row>
    <row r="118" spans="1:27" ht="14.25" customHeight="1" x14ac:dyDescent="0.2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</row>
    <row r="119" spans="1:27" ht="14.25" customHeight="1" x14ac:dyDescent="0.2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</row>
    <row r="120" spans="1:27" ht="18" customHeight="1" x14ac:dyDescent="0.2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</row>
    <row r="121" spans="1:27" ht="18" customHeight="1" x14ac:dyDescent="0.2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</row>
    <row r="122" spans="1:27" ht="18" customHeight="1" x14ac:dyDescent="0.2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</row>
    <row r="123" spans="1:27" ht="18" customHeight="1" x14ac:dyDescent="0.2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</row>
    <row r="124" spans="1:27" ht="18" customHeight="1" x14ac:dyDescent="0.2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</row>
    <row r="125" spans="1:27" ht="18" customHeight="1" x14ac:dyDescent="0.2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</row>
  </sheetData>
  <mergeCells count="57">
    <mergeCell ref="R40:AA40"/>
    <mergeCell ref="S38:U38"/>
    <mergeCell ref="V38:W38"/>
    <mergeCell ref="X38:Y38"/>
    <mergeCell ref="Z38:AA38"/>
    <mergeCell ref="R39:AA39"/>
    <mergeCell ref="S36:U36"/>
    <mergeCell ref="V36:W36"/>
    <mergeCell ref="X36:Y36"/>
    <mergeCell ref="Z36:AA36"/>
    <mergeCell ref="S37:U37"/>
    <mergeCell ref="V37:W37"/>
    <mergeCell ref="X37:Y37"/>
    <mergeCell ref="Z37:AA37"/>
    <mergeCell ref="S34:U34"/>
    <mergeCell ref="V34:W34"/>
    <mergeCell ref="X34:Y34"/>
    <mergeCell ref="Z34:AA34"/>
    <mergeCell ref="S35:U35"/>
    <mergeCell ref="V35:W35"/>
    <mergeCell ref="X35:Y35"/>
    <mergeCell ref="Z35:AA35"/>
    <mergeCell ref="R30:AA30"/>
    <mergeCell ref="R31:AA31"/>
    <mergeCell ref="S33:U33"/>
    <mergeCell ref="V33:W33"/>
    <mergeCell ref="X33:Y33"/>
    <mergeCell ref="Z33:AA33"/>
    <mergeCell ref="J32:N32"/>
    <mergeCell ref="B51:P51"/>
    <mergeCell ref="C23:G23"/>
    <mergeCell ref="K24:O24"/>
    <mergeCell ref="J29:N29"/>
    <mergeCell ref="J30:N30"/>
    <mergeCell ref="J31:N31"/>
    <mergeCell ref="K23:O23"/>
    <mergeCell ref="C13:G13"/>
    <mergeCell ref="K13:O13"/>
    <mergeCell ref="C14:G14"/>
    <mergeCell ref="K14:O14"/>
    <mergeCell ref="C22:G22"/>
    <mergeCell ref="C11:D11"/>
    <mergeCell ref="G11:H11"/>
    <mergeCell ref="K11:L11"/>
    <mergeCell ref="O11:P11"/>
    <mergeCell ref="C12:D12"/>
    <mergeCell ref="G12:H12"/>
    <mergeCell ref="K12:L12"/>
    <mergeCell ref="O12:P12"/>
    <mergeCell ref="B2:P2"/>
    <mergeCell ref="B4:P5"/>
    <mergeCell ref="B6:P7"/>
    <mergeCell ref="R9:W9"/>
    <mergeCell ref="C10:D10"/>
    <mergeCell ref="G10:H10"/>
    <mergeCell ref="K10:L10"/>
    <mergeCell ref="O10:P10"/>
  </mergeCells>
  <conditionalFormatting sqref="Z34:AA38">
    <cfRule type="containsText" dxfId="5" priority="1" operator="containsText" text="Within capacity"/>
    <cfRule type="containsText" dxfId="4" priority="2" operator="containsText" text="Above capacity"/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8A1E"/>
  </sheetPr>
  <dimension ref="A1:H72"/>
  <sheetViews>
    <sheetView showGridLines="0" workbookViewId="0">
      <selection sqref="A1:H1"/>
    </sheetView>
  </sheetViews>
  <sheetFormatPr defaultColWidth="8.5703125" defaultRowHeight="12.75" x14ac:dyDescent="0.2"/>
  <cols>
    <col min="1" max="1" width="40" customWidth="1"/>
    <col min="2" max="2" width="16" customWidth="1"/>
    <col min="3" max="3" width="30" customWidth="1"/>
    <col min="4" max="4" width="34" customWidth="1"/>
    <col min="5" max="5" width="26" customWidth="1"/>
    <col min="6" max="6" width="18" customWidth="1"/>
    <col min="7" max="7" width="22" customWidth="1"/>
    <col min="8" max="8" width="62" customWidth="1"/>
  </cols>
  <sheetData>
    <row r="1" spans="1:8" ht="27.95" customHeight="1" x14ac:dyDescent="0.2">
      <c r="A1" s="169" t="s">
        <v>145</v>
      </c>
      <c r="B1" s="169"/>
      <c r="C1" s="169"/>
      <c r="D1" s="169"/>
      <c r="E1" s="169"/>
      <c r="F1" s="169"/>
      <c r="G1" s="169"/>
      <c r="H1" s="169"/>
    </row>
    <row r="2" spans="1:8" ht="18" customHeight="1" x14ac:dyDescent="0.2">
      <c r="A2" s="4" t="s">
        <v>146</v>
      </c>
      <c r="B2" s="4"/>
      <c r="C2" s="4"/>
      <c r="D2" s="4"/>
      <c r="E2" s="4"/>
      <c r="F2" s="4"/>
      <c r="G2" s="4"/>
      <c r="H2" s="4"/>
    </row>
    <row r="3" spans="1:8" ht="9.9499999999999993" customHeight="1" x14ac:dyDescent="0.2">
      <c r="A3" s="42"/>
      <c r="B3" s="42"/>
      <c r="C3" s="42"/>
      <c r="D3" s="42"/>
      <c r="E3" s="42"/>
      <c r="F3" s="42"/>
      <c r="G3" s="42"/>
      <c r="H3" s="42"/>
    </row>
    <row r="4" spans="1:8" ht="21" customHeight="1" x14ac:dyDescent="0.2">
      <c r="A4" s="5" t="s">
        <v>147</v>
      </c>
      <c r="B4" s="5"/>
      <c r="D4" s="5" t="s">
        <v>148</v>
      </c>
      <c r="E4" s="5"/>
      <c r="F4" s="5"/>
      <c r="G4" s="5"/>
      <c r="H4" s="42"/>
    </row>
    <row r="5" spans="1:8" ht="15.95" customHeight="1" x14ac:dyDescent="0.2">
      <c r="A5" s="12" t="s">
        <v>149</v>
      </c>
      <c r="B5" s="73">
        <v>2</v>
      </c>
      <c r="C5" s="42"/>
      <c r="D5" s="12" t="s">
        <v>150</v>
      </c>
      <c r="E5" s="28" t="s">
        <v>151</v>
      </c>
      <c r="F5" s="42"/>
      <c r="G5" s="42"/>
      <c r="H5" s="42"/>
    </row>
    <row r="6" spans="1:8" ht="15.95" customHeight="1" x14ac:dyDescent="0.2">
      <c r="A6" s="12" t="s">
        <v>152</v>
      </c>
      <c r="B6" s="16">
        <v>3</v>
      </c>
      <c r="C6" s="42"/>
      <c r="D6" s="12" t="s">
        <v>153</v>
      </c>
      <c r="E6" s="74">
        <f>MAX($C$50:$C$55)+1</f>
        <v>12</v>
      </c>
      <c r="F6" s="42"/>
      <c r="G6" s="42"/>
      <c r="H6" s="42"/>
    </row>
    <row r="7" spans="1:8" ht="15.95" customHeight="1" x14ac:dyDescent="0.2">
      <c r="A7" s="12" t="s">
        <v>154</v>
      </c>
      <c r="B7" s="16">
        <v>1</v>
      </c>
      <c r="C7" s="42"/>
      <c r="D7" s="12" t="s">
        <v>155</v>
      </c>
      <c r="E7" s="74">
        <f>MAX(0,$E$6-1)</f>
        <v>11</v>
      </c>
      <c r="F7" s="42"/>
      <c r="G7" s="42"/>
      <c r="H7" s="42"/>
    </row>
    <row r="8" spans="1:8" ht="15.95" customHeight="1" x14ac:dyDescent="0.2">
      <c r="A8" s="12" t="s">
        <v>156</v>
      </c>
      <c r="B8" s="69">
        <v>60000</v>
      </c>
      <c r="C8" s="42"/>
      <c r="D8" s="12" t="s">
        <v>157</v>
      </c>
      <c r="E8" s="75">
        <f>$B$8</f>
        <v>60000</v>
      </c>
      <c r="F8" s="42"/>
      <c r="G8" s="42"/>
      <c r="H8" s="42"/>
    </row>
    <row r="9" spans="1:8" ht="15.95" customHeight="1" x14ac:dyDescent="0.2">
      <c r="A9" s="12" t="s">
        <v>158</v>
      </c>
      <c r="B9" s="69">
        <v>67000</v>
      </c>
      <c r="C9" s="42"/>
      <c r="D9" s="12" t="s">
        <v>159</v>
      </c>
      <c r="E9" s="75">
        <f>$B$9</f>
        <v>67000</v>
      </c>
      <c r="F9" s="42"/>
      <c r="G9" s="42"/>
      <c r="H9" s="42"/>
    </row>
    <row r="10" spans="1:8" ht="15.95" customHeight="1" x14ac:dyDescent="0.2">
      <c r="A10" s="12" t="s">
        <v>160</v>
      </c>
      <c r="B10" s="70">
        <v>0.35</v>
      </c>
      <c r="C10" s="42"/>
      <c r="D10" s="12" t="s">
        <v>141</v>
      </c>
      <c r="E10" s="75">
        <f>0</f>
        <v>0</v>
      </c>
      <c r="F10" s="42"/>
      <c r="G10" s="42"/>
      <c r="H10" s="42"/>
    </row>
    <row r="11" spans="1:8" ht="15.95" customHeight="1" x14ac:dyDescent="0.2">
      <c r="A11" s="12" t="s">
        <v>161</v>
      </c>
      <c r="B11" s="16">
        <v>2</v>
      </c>
      <c r="C11" s="42"/>
      <c r="D11" s="12" t="s">
        <v>162</v>
      </c>
      <c r="E11" s="74">
        <f>$E$6+$B$7</f>
        <v>13</v>
      </c>
      <c r="F11" s="42"/>
      <c r="G11" s="42"/>
      <c r="H11" s="42"/>
    </row>
    <row r="12" spans="1:8" ht="15.95" customHeight="1" x14ac:dyDescent="0.2">
      <c r="A12" s="12" t="s">
        <v>163</v>
      </c>
      <c r="B12" s="71">
        <v>200000</v>
      </c>
      <c r="C12" s="42"/>
      <c r="D12" s="12" t="s">
        <v>142</v>
      </c>
      <c r="E12" s="75">
        <f>ROUND(MAX('P&amp;L 5yr'!$C$66:$G$66)+$E$10,0)</f>
        <v>2840446</v>
      </c>
      <c r="F12" s="42"/>
      <c r="G12" s="42"/>
      <c r="H12" s="42"/>
    </row>
    <row r="13" spans="1:8" ht="15.95" customHeight="1" x14ac:dyDescent="0.2">
      <c r="A13" s="12" t="s">
        <v>164</v>
      </c>
      <c r="B13" s="71">
        <v>480000</v>
      </c>
      <c r="C13" s="42"/>
      <c r="D13" s="12" t="s">
        <v>165</v>
      </c>
      <c r="E13" s="75">
        <f>ROUND(-SUM('Cash Flow Statement'!$B$19:INDEX('Cash Flow Statement'!$B$19:$BI$19,1,MAX(1,$E$7)))/MAX(1,$E$7),0)</f>
        <v>90941</v>
      </c>
      <c r="F13" s="42"/>
      <c r="G13" s="42"/>
      <c r="H13" s="42"/>
    </row>
    <row r="14" spans="1:8" ht="15.95" customHeight="1" x14ac:dyDescent="0.2">
      <c r="A14" s="12" t="s">
        <v>166</v>
      </c>
      <c r="B14" s="71">
        <v>1500000</v>
      </c>
      <c r="C14" s="42"/>
      <c r="D14" s="12" t="s">
        <v>167</v>
      </c>
      <c r="E14" s="74">
        <f>INDEX($F$21:$F$23,$B$5)</f>
        <v>30</v>
      </c>
      <c r="F14" s="12" t="s">
        <v>168</v>
      </c>
      <c r="G14" s="74">
        <f>INDEX($G$21:$G$23,$B$5)</f>
        <v>18</v>
      </c>
      <c r="H14" s="42"/>
    </row>
    <row r="15" spans="1:8" ht="15.95" customHeight="1" x14ac:dyDescent="0.2">
      <c r="A15" s="12" t="s">
        <v>169</v>
      </c>
      <c r="B15" s="72">
        <v>3.6724999999999999</v>
      </c>
      <c r="C15" s="42"/>
      <c r="D15" s="12" t="s">
        <v>170</v>
      </c>
      <c r="E15" s="75">
        <f>ROUND($B$12/(Assumptions!$F$8*$B$15),0)</f>
        <v>42546</v>
      </c>
      <c r="F15" s="42"/>
      <c r="G15" s="42"/>
      <c r="H15" s="42"/>
    </row>
    <row r="16" spans="1:8" ht="15.95" customHeight="1" x14ac:dyDescent="0.2">
      <c r="A16" s="42"/>
      <c r="B16" s="42"/>
      <c r="C16" s="42"/>
      <c r="D16" s="12" t="s">
        <v>171</v>
      </c>
      <c r="E16" s="75">
        <f>ROUND($B$13/(Assumptions!$F$8*$B$15),0)</f>
        <v>102110</v>
      </c>
      <c r="F16" s="42"/>
      <c r="G16" s="42"/>
      <c r="H16" s="42"/>
    </row>
    <row r="17" spans="1:8" ht="15.95" customHeight="1" x14ac:dyDescent="0.2">
      <c r="A17" s="42"/>
      <c r="B17" s="42"/>
      <c r="C17" s="42"/>
      <c r="D17" s="12" t="s">
        <v>56</v>
      </c>
      <c r="E17" s="75">
        <f>ROUND($B$14/(Assumptions!$F$8*$B$15),0)</f>
        <v>319095</v>
      </c>
      <c r="F17" s="42"/>
      <c r="G17" s="42"/>
      <c r="H17" s="42"/>
    </row>
    <row r="18" spans="1:8" ht="9.9499999999999993" customHeight="1" x14ac:dyDescent="0.2">
      <c r="A18" s="42"/>
      <c r="B18" s="42"/>
      <c r="C18" s="42"/>
      <c r="D18" s="42"/>
      <c r="E18" s="42"/>
      <c r="F18" s="42"/>
      <c r="G18" s="42"/>
      <c r="H18" s="42"/>
    </row>
    <row r="19" spans="1:8" ht="21" customHeight="1" x14ac:dyDescent="0.2">
      <c r="A19" s="151" t="s">
        <v>172</v>
      </c>
      <c r="B19" s="151"/>
      <c r="C19" s="151"/>
      <c r="D19" s="151"/>
      <c r="E19" s="151"/>
      <c r="F19" s="151"/>
      <c r="G19" s="151"/>
      <c r="H19" s="151"/>
    </row>
    <row r="20" spans="1:8" ht="24" customHeight="1" x14ac:dyDescent="0.2">
      <c r="A20" s="10" t="s">
        <v>101</v>
      </c>
      <c r="B20" s="10" t="s">
        <v>173</v>
      </c>
      <c r="C20" s="9" t="s">
        <v>174</v>
      </c>
      <c r="D20" s="9" t="s">
        <v>175</v>
      </c>
      <c r="E20" s="9" t="s">
        <v>176</v>
      </c>
      <c r="F20" s="9" t="s">
        <v>177</v>
      </c>
      <c r="G20" s="9" t="s">
        <v>168</v>
      </c>
      <c r="H20" s="10" t="s">
        <v>178</v>
      </c>
    </row>
    <row r="21" spans="1:8" ht="17.100000000000001" customHeight="1" x14ac:dyDescent="0.2">
      <c r="A21" s="55">
        <v>1</v>
      </c>
      <c r="B21" s="12" t="s">
        <v>179</v>
      </c>
      <c r="C21" s="76">
        <v>8</v>
      </c>
      <c r="D21" s="76">
        <f>C21+1</f>
        <v>9</v>
      </c>
      <c r="E21" s="76">
        <f>D21+$B$7</f>
        <v>10</v>
      </c>
      <c r="F21" s="76">
        <v>24</v>
      </c>
      <c r="G21" s="76">
        <v>12</v>
      </c>
      <c r="H21" s="32" t="s">
        <v>180</v>
      </c>
    </row>
    <row r="22" spans="1:8" ht="17.100000000000001" customHeight="1" x14ac:dyDescent="0.2">
      <c r="A22" s="77">
        <v>2</v>
      </c>
      <c r="B22" s="28" t="s">
        <v>111</v>
      </c>
      <c r="C22" s="27">
        <v>11</v>
      </c>
      <c r="D22" s="27">
        <f>C22+1</f>
        <v>12</v>
      </c>
      <c r="E22" s="27">
        <f>D22+$B$7</f>
        <v>13</v>
      </c>
      <c r="F22" s="27">
        <v>30</v>
      </c>
      <c r="G22" s="27">
        <v>18</v>
      </c>
      <c r="H22" s="78" t="s">
        <v>181</v>
      </c>
    </row>
    <row r="23" spans="1:8" ht="17.100000000000001" customHeight="1" x14ac:dyDescent="0.2">
      <c r="A23" s="55">
        <v>3</v>
      </c>
      <c r="B23" s="12" t="s">
        <v>182</v>
      </c>
      <c r="C23" s="76">
        <v>17</v>
      </c>
      <c r="D23" s="76">
        <f>C23+1</f>
        <v>18</v>
      </c>
      <c r="E23" s="76">
        <f>D23+$B$7</f>
        <v>19</v>
      </c>
      <c r="F23" s="76">
        <v>36</v>
      </c>
      <c r="G23" s="76">
        <v>24</v>
      </c>
      <c r="H23" s="32" t="s">
        <v>183</v>
      </c>
    </row>
    <row r="24" spans="1:8" ht="21" hidden="1" customHeight="1" x14ac:dyDescent="0.2">
      <c r="A24" s="151" t="s">
        <v>184</v>
      </c>
      <c r="B24" s="151"/>
      <c r="C24" s="151"/>
      <c r="D24" s="151"/>
      <c r="E24" s="151"/>
      <c r="F24" s="151"/>
      <c r="G24" s="151"/>
      <c r="H24" s="151"/>
    </row>
    <row r="25" spans="1:8" ht="20.100000000000001" hidden="1" customHeight="1" x14ac:dyDescent="0.2">
      <c r="A25" s="10" t="s">
        <v>49</v>
      </c>
      <c r="B25" s="9" t="s">
        <v>185</v>
      </c>
      <c r="C25" s="9" t="s">
        <v>186</v>
      </c>
      <c r="D25" s="9" t="s">
        <v>187</v>
      </c>
      <c r="E25" s="9" t="s">
        <v>188</v>
      </c>
      <c r="F25" s="9" t="s">
        <v>189</v>
      </c>
      <c r="G25" s="9"/>
      <c r="H25" s="9"/>
    </row>
    <row r="26" spans="1:8" ht="15.95" hidden="1" customHeight="1" x14ac:dyDescent="0.2">
      <c r="A26" s="12" t="s">
        <v>190</v>
      </c>
      <c r="B26" s="79">
        <f>MAX(0,MIN(12,12*(COLUMN()-1)-$E$6+1))</f>
        <v>1</v>
      </c>
      <c r="C26" s="79">
        <f>MAX(0,MIN(12,12*(COLUMN()-1)-$E$6+1))</f>
        <v>12</v>
      </c>
      <c r="D26" s="79">
        <f>MAX(0,MIN(12,12*(COLUMN()-1)-$E$6+1))</f>
        <v>12</v>
      </c>
      <c r="E26" s="79">
        <f>MAX(0,MIN(12,12*(COLUMN()-1)-$E$6+1))</f>
        <v>12</v>
      </c>
      <c r="F26" s="79">
        <f>MAX(0,MIN(12,12*(COLUMN()-1)-$E$6+1))</f>
        <v>12</v>
      </c>
      <c r="G26" s="15"/>
      <c r="H26" s="42"/>
    </row>
    <row r="27" spans="1:8" ht="15.95" hidden="1" customHeight="1" x14ac:dyDescent="0.2">
      <c r="A27" s="12" t="s">
        <v>191</v>
      </c>
      <c r="B27" s="79">
        <f>MAX(0,MIN(12,$E$7-12*(COLUMN()-2)))</f>
        <v>11</v>
      </c>
      <c r="C27" s="79">
        <f>MAX(0,MIN(12,$E$7-12*(COLUMN()-2)))</f>
        <v>0</v>
      </c>
      <c r="D27" s="79">
        <f>MAX(0,MIN(12,$E$7-12*(COLUMN()-2)))</f>
        <v>0</v>
      </c>
      <c r="E27" s="79">
        <f>MAX(0,MIN(12,$E$7-12*(COLUMN()-2)))</f>
        <v>0</v>
      </c>
      <c r="F27" s="79">
        <f>MAX(0,MIN(12,$E$7-12*(COLUMN()-2)))</f>
        <v>0</v>
      </c>
      <c r="G27" s="15"/>
      <c r="H27" s="42"/>
    </row>
    <row r="28" spans="1:8" ht="15.95" hidden="1" customHeight="1" x14ac:dyDescent="0.2">
      <c r="A28" s="12" t="s">
        <v>192</v>
      </c>
      <c r="B28" s="80">
        <f>B26/12</f>
        <v>8.3333333333333329E-2</v>
      </c>
      <c r="C28" s="80">
        <f>C26/12</f>
        <v>1</v>
      </c>
      <c r="D28" s="80">
        <f>D26/12</f>
        <v>1</v>
      </c>
      <c r="E28" s="80">
        <f>E26/12</f>
        <v>1</v>
      </c>
      <c r="F28" s="80">
        <f>F26/12</f>
        <v>1</v>
      </c>
      <c r="G28" s="15">
        <v>0</v>
      </c>
      <c r="H28" s="42"/>
    </row>
    <row r="29" spans="1:8" ht="15.95" hidden="1" customHeight="1" x14ac:dyDescent="0.2">
      <c r="A29" s="12" t="s">
        <v>193</v>
      </c>
      <c r="B29" s="79">
        <f>MAX(0,MIN(12*(COLUMN()-1),$E$6-1)-MAX(12*(COLUMN()-2)+1,$B$11)+1)</f>
        <v>10</v>
      </c>
      <c r="C29" s="79">
        <f>MAX(0,MIN(12*(COLUMN()-1),$E$6-1)-MAX(12*(COLUMN()-2)+1,$B$11)+1)</f>
        <v>0</v>
      </c>
      <c r="D29" s="79">
        <f>MAX(0,MIN(12*(COLUMN()-1),$E$6-1)-MAX(12*(COLUMN()-2)+1,$B$11)+1)</f>
        <v>0</v>
      </c>
      <c r="E29" s="79">
        <f>MAX(0,MIN(12*(COLUMN()-1),$E$6-1)-MAX(12*(COLUMN()-2)+1,$B$11)+1)</f>
        <v>0</v>
      </c>
      <c r="F29" s="79">
        <f>MAX(0,MIN(12*(COLUMN()-1),$E$6-1)-MAX(12*(COLUMN()-2)+1,$B$11)+1)</f>
        <v>0</v>
      </c>
      <c r="G29" s="15">
        <v>0</v>
      </c>
      <c r="H29" s="42"/>
    </row>
    <row r="30" spans="1:8" ht="15.95" hidden="1" customHeight="1" x14ac:dyDescent="0.2">
      <c r="A30" s="12" t="s">
        <v>194</v>
      </c>
      <c r="B30" s="80">
        <f>B29/12</f>
        <v>0.83333333333333337</v>
      </c>
      <c r="C30" s="80">
        <f>C29/12</f>
        <v>0</v>
      </c>
      <c r="D30" s="80">
        <f>D29/12</f>
        <v>0</v>
      </c>
      <c r="E30" s="80">
        <f>E29/12</f>
        <v>0</v>
      </c>
      <c r="F30" s="80">
        <f>F29/12</f>
        <v>0</v>
      </c>
      <c r="G30" s="15">
        <v>0</v>
      </c>
      <c r="H30" s="42"/>
    </row>
    <row r="31" spans="1:8" ht="15.95" hidden="1" customHeight="1" x14ac:dyDescent="0.2">
      <c r="A31" s="12" t="s">
        <v>195</v>
      </c>
      <c r="B31" s="79">
        <f>MAX(0,MIN(12,12*(COLUMN()-1)-$E$14+1))</f>
        <v>0</v>
      </c>
      <c r="C31" s="79">
        <f>MAX(0,MIN(12,12*(COLUMN()-1)-$E$14+1))</f>
        <v>0</v>
      </c>
      <c r="D31" s="79">
        <f>MAX(0,MIN(12,12*(COLUMN()-1)-$E$14+1))</f>
        <v>7</v>
      </c>
      <c r="E31" s="79">
        <f>MAX(0,MIN(12,12*(COLUMN()-1)-$E$14+1))</f>
        <v>12</v>
      </c>
      <c r="F31" s="79">
        <f>MAX(0,MIN(12,12*(COLUMN()-1)-$E$14+1))</f>
        <v>12</v>
      </c>
      <c r="G31" s="15">
        <v>0</v>
      </c>
      <c r="H31" s="42"/>
    </row>
    <row r="32" spans="1:8" ht="15.95" hidden="1" customHeight="1" x14ac:dyDescent="0.2">
      <c r="A32" s="12" t="s">
        <v>196</v>
      </c>
      <c r="B32" s="80">
        <f>B31/12</f>
        <v>0</v>
      </c>
      <c r="C32" s="80">
        <f>C31/12</f>
        <v>0</v>
      </c>
      <c r="D32" s="80">
        <f>D31/12</f>
        <v>0.58333333333333337</v>
      </c>
      <c r="E32" s="80">
        <f>E31/12</f>
        <v>1</v>
      </c>
      <c r="F32" s="80">
        <f>F31/12</f>
        <v>1</v>
      </c>
      <c r="G32" s="15"/>
      <c r="H32" s="42"/>
    </row>
    <row r="33" spans="1:8" ht="15.95" hidden="1" customHeight="1" x14ac:dyDescent="0.2">
      <c r="A33" s="12" t="s">
        <v>197</v>
      </c>
      <c r="B33" s="80">
        <f>IF(AND($G$14&gt;=12*(COLUMN()-2)+1,$G$14&lt;=12*(COLUMN()-1)),1,0)</f>
        <v>0</v>
      </c>
      <c r="C33" s="80">
        <f>IF(AND($G$14&gt;=12*(COLUMN()-2)+1,$G$14&lt;=12*(COLUMN()-1)),1,0)</f>
        <v>1</v>
      </c>
      <c r="D33" s="80">
        <f>IF(AND($G$14&gt;=12*(COLUMN()-2)+1,$G$14&lt;=12*(COLUMN()-1)),1,0)</f>
        <v>0</v>
      </c>
      <c r="E33" s="80">
        <f>IF(AND($G$14&gt;=12*(COLUMN()-2)+1,$G$14&lt;=12*(COLUMN()-1)),1,0)</f>
        <v>0</v>
      </c>
      <c r="F33" s="80">
        <f>IF(AND($G$14&gt;=12*(COLUMN()-2)+1,$G$14&lt;=12*(COLUMN()-1)),1,0)</f>
        <v>0</v>
      </c>
      <c r="G33" s="15"/>
      <c r="H33" s="42"/>
    </row>
    <row r="34" spans="1:8" ht="15.95" hidden="1" customHeight="1" x14ac:dyDescent="0.2">
      <c r="A34" s="12" t="s">
        <v>198</v>
      </c>
      <c r="B34" s="80">
        <f>MAX(0,B26-B31)/12</f>
        <v>8.3333333333333329E-2</v>
      </c>
      <c r="C34" s="80">
        <f>MAX(0,C26-C31)/12</f>
        <v>1</v>
      </c>
      <c r="D34" s="80">
        <f>MAX(0,D26-D31)/12</f>
        <v>0.41666666666666669</v>
      </c>
      <c r="E34" s="80">
        <f>MAX(0,E26-E31)/12</f>
        <v>0</v>
      </c>
      <c r="F34" s="80">
        <f>MAX(0,F26-F31)/12</f>
        <v>0</v>
      </c>
      <c r="G34" s="15"/>
      <c r="H34" s="42"/>
    </row>
    <row r="35" spans="1:8" ht="9.9499999999999993" hidden="1" customHeight="1" x14ac:dyDescent="0.2">
      <c r="A35" s="42"/>
      <c r="B35" s="81"/>
      <c r="C35" s="81"/>
      <c r="D35" s="81"/>
      <c r="E35" s="81"/>
      <c r="F35" s="81"/>
      <c r="G35" s="42"/>
      <c r="H35" s="42"/>
    </row>
    <row r="36" spans="1:8" ht="21" hidden="1" customHeight="1" x14ac:dyDescent="0.2">
      <c r="A36" s="151" t="s">
        <v>199</v>
      </c>
      <c r="B36" s="151"/>
      <c r="C36" s="151"/>
      <c r="D36" s="151"/>
      <c r="E36" s="151"/>
      <c r="F36" s="151"/>
      <c r="G36" s="151"/>
      <c r="H36" s="151"/>
    </row>
    <row r="37" spans="1:8" ht="20.100000000000001" hidden="1" customHeight="1" x14ac:dyDescent="0.2">
      <c r="A37" s="10" t="s">
        <v>200</v>
      </c>
      <c r="B37" s="9" t="s">
        <v>201</v>
      </c>
      <c r="C37" s="10" t="s">
        <v>202</v>
      </c>
      <c r="D37" s="9" t="s">
        <v>185</v>
      </c>
      <c r="E37" s="9" t="s">
        <v>186</v>
      </c>
      <c r="F37" s="9" t="s">
        <v>187</v>
      </c>
      <c r="G37" s="9" t="s">
        <v>188</v>
      </c>
      <c r="H37" s="9" t="s">
        <v>189</v>
      </c>
    </row>
    <row r="38" spans="1:8" ht="26.1" hidden="1" customHeight="1" x14ac:dyDescent="0.2">
      <c r="A38" s="12" t="s">
        <v>203</v>
      </c>
      <c r="B38" s="71">
        <v>1</v>
      </c>
      <c r="C38" s="32" t="s">
        <v>204</v>
      </c>
      <c r="D38" s="80">
        <f t="shared" ref="D38:H41" si="0">MAX(0,MIN(12,12*(COLUMN()-3)-$B38+1))/12</f>
        <v>1</v>
      </c>
      <c r="E38" s="80">
        <f t="shared" si="0"/>
        <v>1</v>
      </c>
      <c r="F38" s="80">
        <f t="shared" si="0"/>
        <v>1</v>
      </c>
      <c r="G38" s="80">
        <f t="shared" si="0"/>
        <v>1</v>
      </c>
      <c r="H38" s="80">
        <f t="shared" si="0"/>
        <v>1</v>
      </c>
    </row>
    <row r="39" spans="1:8" ht="26.1" hidden="1" customHeight="1" x14ac:dyDescent="0.2">
      <c r="A39" s="12" t="s">
        <v>205</v>
      </c>
      <c r="B39" s="71">
        <v>5</v>
      </c>
      <c r="C39" s="32" t="s">
        <v>206</v>
      </c>
      <c r="D39" s="80">
        <f t="shared" si="0"/>
        <v>0.66666666666666663</v>
      </c>
      <c r="E39" s="80">
        <f t="shared" si="0"/>
        <v>1</v>
      </c>
      <c r="F39" s="80">
        <f t="shared" si="0"/>
        <v>1</v>
      </c>
      <c r="G39" s="80">
        <f t="shared" si="0"/>
        <v>1</v>
      </c>
      <c r="H39" s="80">
        <f t="shared" si="0"/>
        <v>1</v>
      </c>
    </row>
    <row r="40" spans="1:8" ht="26.1" hidden="1" customHeight="1" x14ac:dyDescent="0.2">
      <c r="A40" s="12" t="s">
        <v>207</v>
      </c>
      <c r="B40" s="71">
        <v>1</v>
      </c>
      <c r="C40" s="32" t="s">
        <v>208</v>
      </c>
      <c r="D40" s="80">
        <f t="shared" si="0"/>
        <v>1</v>
      </c>
      <c r="E40" s="80">
        <f t="shared" si="0"/>
        <v>1</v>
      </c>
      <c r="F40" s="80">
        <f t="shared" si="0"/>
        <v>1</v>
      </c>
      <c r="G40" s="80">
        <f t="shared" si="0"/>
        <v>1</v>
      </c>
      <c r="H40" s="80">
        <f t="shared" si="0"/>
        <v>1</v>
      </c>
    </row>
    <row r="41" spans="1:8" ht="26.1" hidden="1" customHeight="1" x14ac:dyDescent="0.2">
      <c r="A41" s="12" t="s">
        <v>209</v>
      </c>
      <c r="B41" s="71">
        <v>9</v>
      </c>
      <c r="C41" s="32" t="s">
        <v>210</v>
      </c>
      <c r="D41" s="80">
        <f t="shared" si="0"/>
        <v>0.33333333333333331</v>
      </c>
      <c r="E41" s="80">
        <f t="shared" si="0"/>
        <v>1</v>
      </c>
      <c r="F41" s="80">
        <f t="shared" si="0"/>
        <v>1</v>
      </c>
      <c r="G41" s="80">
        <f t="shared" si="0"/>
        <v>1</v>
      </c>
      <c r="H41" s="80">
        <f t="shared" si="0"/>
        <v>1</v>
      </c>
    </row>
    <row r="42" spans="1:8" ht="9.9499999999999993" hidden="1" customHeight="1" x14ac:dyDescent="0.2">
      <c r="A42" s="42"/>
      <c r="B42" s="42"/>
      <c r="C42" s="42"/>
      <c r="D42" s="42"/>
      <c r="E42" s="42"/>
      <c r="F42" s="42"/>
      <c r="G42" s="42"/>
      <c r="H42" s="42"/>
    </row>
    <row r="43" spans="1:8" ht="21" hidden="1" customHeight="1" x14ac:dyDescent="0.2">
      <c r="A43" s="170"/>
      <c r="B43" s="170"/>
      <c r="C43" s="170"/>
      <c r="D43" s="170"/>
      <c r="E43" s="170"/>
      <c r="F43" s="170"/>
      <c r="G43" s="170"/>
      <c r="H43" s="170"/>
    </row>
    <row r="44" spans="1:8" ht="20.100000000000001" hidden="1" customHeight="1" x14ac:dyDescent="0.2"/>
    <row r="45" spans="1:8" ht="20.100000000000001" hidden="1" customHeight="1" x14ac:dyDescent="0.2"/>
    <row r="46" spans="1:8" ht="20.100000000000001" hidden="1" customHeight="1" x14ac:dyDescent="0.2"/>
    <row r="47" spans="1:8" ht="9.9499999999999993" hidden="1" customHeight="1" x14ac:dyDescent="0.2">
      <c r="A47" s="42"/>
      <c r="B47" s="42"/>
      <c r="C47" s="42"/>
      <c r="D47" s="42"/>
      <c r="E47" s="42"/>
      <c r="F47" s="42"/>
      <c r="G47" s="42"/>
      <c r="H47" s="42"/>
    </row>
    <row r="48" spans="1:8" ht="21" customHeight="1" x14ac:dyDescent="0.2">
      <c r="A48" s="151" t="s">
        <v>211</v>
      </c>
      <c r="B48" s="151"/>
      <c r="C48" s="151"/>
      <c r="D48" s="151"/>
      <c r="E48" s="151"/>
      <c r="F48" s="151"/>
      <c r="G48" s="151"/>
      <c r="H48" s="151"/>
    </row>
    <row r="49" spans="1:8" ht="20.100000000000001" customHeight="1" x14ac:dyDescent="0.2">
      <c r="A49" s="10" t="s">
        <v>212</v>
      </c>
      <c r="B49" s="9" t="s">
        <v>201</v>
      </c>
      <c r="C49" s="9" t="s">
        <v>213</v>
      </c>
      <c r="D49" s="10" t="s">
        <v>214</v>
      </c>
      <c r="E49" s="10" t="s">
        <v>215</v>
      </c>
      <c r="F49" s="9"/>
      <c r="G49" s="9"/>
      <c r="H49" s="9"/>
    </row>
    <row r="50" spans="1:8" ht="21.95" customHeight="1" x14ac:dyDescent="0.2">
      <c r="A50" s="13" t="s">
        <v>216</v>
      </c>
      <c r="B50" s="76">
        <v>1</v>
      </c>
      <c r="C50" s="76">
        <v>3</v>
      </c>
      <c r="D50" s="18" t="s">
        <v>217</v>
      </c>
      <c r="E50" s="34" t="s">
        <v>218</v>
      </c>
      <c r="F50" s="42"/>
      <c r="G50" s="42"/>
      <c r="H50" s="42"/>
    </row>
    <row r="51" spans="1:8" ht="21.95" customHeight="1" x14ac:dyDescent="0.2">
      <c r="A51" s="13" t="s">
        <v>219</v>
      </c>
      <c r="B51" s="76">
        <v>1</v>
      </c>
      <c r="C51" s="76">
        <v>4</v>
      </c>
      <c r="D51" s="18" t="s">
        <v>217</v>
      </c>
      <c r="E51" s="34" t="s">
        <v>220</v>
      </c>
      <c r="F51" s="42"/>
      <c r="G51" s="42"/>
      <c r="H51" s="42"/>
    </row>
    <row r="52" spans="1:8" ht="21.95" customHeight="1" x14ac:dyDescent="0.2">
      <c r="A52" s="13" t="s">
        <v>221</v>
      </c>
      <c r="B52" s="76">
        <v>2</v>
      </c>
      <c r="C52" s="76">
        <v>11</v>
      </c>
      <c r="D52" s="18" t="s">
        <v>217</v>
      </c>
      <c r="E52" s="34" t="s">
        <v>222</v>
      </c>
      <c r="F52" s="42"/>
      <c r="G52" s="42"/>
      <c r="H52" s="42"/>
    </row>
    <row r="53" spans="1:8" ht="21.95" customHeight="1" x14ac:dyDescent="0.2">
      <c r="A53" s="13" t="s">
        <v>223</v>
      </c>
      <c r="B53" s="76">
        <v>1</v>
      </c>
      <c r="C53" s="76">
        <v>10</v>
      </c>
      <c r="D53" s="18" t="s">
        <v>217</v>
      </c>
      <c r="E53" s="34" t="s">
        <v>224</v>
      </c>
      <c r="F53" s="42"/>
      <c r="G53" s="42"/>
      <c r="H53" s="42"/>
    </row>
    <row r="54" spans="1:8" ht="21.95" customHeight="1" x14ac:dyDescent="0.2">
      <c r="A54" s="13" t="s">
        <v>225</v>
      </c>
      <c r="B54" s="76">
        <v>2</v>
      </c>
      <c r="C54" s="76">
        <v>10</v>
      </c>
      <c r="D54" s="18" t="s">
        <v>217</v>
      </c>
      <c r="E54" s="34" t="s">
        <v>226</v>
      </c>
      <c r="F54" s="42"/>
      <c r="G54" s="42"/>
      <c r="H54" s="42"/>
    </row>
    <row r="55" spans="1:8" ht="21.95" customHeight="1" x14ac:dyDescent="0.2">
      <c r="A55" s="13" t="s">
        <v>227</v>
      </c>
      <c r="B55" s="76">
        <v>5</v>
      </c>
      <c r="C55" s="76">
        <v>11</v>
      </c>
      <c r="D55" s="18" t="s">
        <v>217</v>
      </c>
      <c r="E55" s="34" t="s">
        <v>228</v>
      </c>
      <c r="F55" s="42"/>
      <c r="G55" s="42"/>
      <c r="H55" s="42"/>
    </row>
    <row r="56" spans="1:8" ht="21.95" customHeight="1" x14ac:dyDescent="0.2">
      <c r="A56" s="13" t="s">
        <v>153</v>
      </c>
      <c r="B56" s="76">
        <f>$E$6</f>
        <v>12</v>
      </c>
      <c r="C56" s="76">
        <f>$E$6</f>
        <v>12</v>
      </c>
      <c r="D56" s="18" t="s">
        <v>229</v>
      </c>
      <c r="E56" s="34" t="s">
        <v>230</v>
      </c>
      <c r="F56" s="42"/>
      <c r="G56" s="42"/>
      <c r="H56" s="42"/>
    </row>
    <row r="57" spans="1:8" ht="21.95" customHeight="1" x14ac:dyDescent="0.2">
      <c r="A57" s="13" t="s">
        <v>231</v>
      </c>
      <c r="B57" s="76">
        <f>$G$14</f>
        <v>18</v>
      </c>
      <c r="C57" s="76">
        <f>$E$14</f>
        <v>30</v>
      </c>
      <c r="D57" s="18" t="s">
        <v>232</v>
      </c>
      <c r="E57" s="34" t="s">
        <v>233</v>
      </c>
      <c r="F57" s="42"/>
      <c r="G57" s="42"/>
      <c r="H57" s="42"/>
    </row>
    <row r="58" spans="1:8" ht="21.95" hidden="1" customHeight="1" x14ac:dyDescent="0.2"/>
    <row r="59" spans="1:8" ht="9.9499999999999993" hidden="1" customHeight="1" x14ac:dyDescent="0.2"/>
    <row r="60" spans="1:8" ht="21" customHeight="1" x14ac:dyDescent="0.2">
      <c r="A60" s="151" t="s">
        <v>234</v>
      </c>
      <c r="B60" s="151"/>
      <c r="C60" s="151"/>
      <c r="D60" s="151"/>
      <c r="E60" s="151"/>
      <c r="F60" s="151"/>
      <c r="G60" s="151"/>
      <c r="H60" s="151"/>
    </row>
    <row r="61" spans="1:8" ht="20.100000000000001" customHeight="1" x14ac:dyDescent="0.2">
      <c r="A61" s="10" t="s">
        <v>235</v>
      </c>
      <c r="B61" s="10" t="s">
        <v>236</v>
      </c>
      <c r="C61" s="171" t="s">
        <v>237</v>
      </c>
      <c r="D61" s="162"/>
      <c r="E61" s="162"/>
      <c r="F61" s="171" t="s">
        <v>238</v>
      </c>
      <c r="G61" s="162"/>
      <c r="H61" s="162"/>
    </row>
    <row r="62" spans="1:8" ht="30" customHeight="1" x14ac:dyDescent="0.2">
      <c r="A62" s="19" t="s">
        <v>239</v>
      </c>
      <c r="B62" s="19" t="s">
        <v>240</v>
      </c>
      <c r="C62" s="172" t="s">
        <v>241</v>
      </c>
      <c r="D62" s="172"/>
      <c r="E62" s="172"/>
      <c r="F62" s="173" t="s">
        <v>242</v>
      </c>
      <c r="G62" s="173"/>
      <c r="H62" s="173"/>
    </row>
    <row r="63" spans="1:8" ht="30" customHeight="1" x14ac:dyDescent="0.2">
      <c r="A63" s="19" t="s">
        <v>243</v>
      </c>
      <c r="B63" s="19" t="s">
        <v>244</v>
      </c>
      <c r="C63" s="172" t="s">
        <v>245</v>
      </c>
      <c r="D63" s="172"/>
      <c r="E63" s="172"/>
      <c r="F63" s="173" t="s">
        <v>246</v>
      </c>
      <c r="G63" s="173"/>
      <c r="H63" s="173"/>
    </row>
    <row r="64" spans="1:8" ht="30" customHeight="1" x14ac:dyDescent="0.2">
      <c r="A64" s="19" t="s">
        <v>247</v>
      </c>
      <c r="B64" s="19" t="s">
        <v>244</v>
      </c>
      <c r="C64" s="172" t="s">
        <v>245</v>
      </c>
      <c r="D64" s="172"/>
      <c r="E64" s="172"/>
      <c r="F64" s="173" t="s">
        <v>248</v>
      </c>
      <c r="G64" s="173"/>
      <c r="H64" s="173"/>
    </row>
    <row r="65" spans="1:8" ht="30" customHeight="1" x14ac:dyDescent="0.2">
      <c r="A65" s="19" t="s">
        <v>249</v>
      </c>
      <c r="B65" s="19" t="s">
        <v>244</v>
      </c>
      <c r="C65" s="172" t="s">
        <v>250</v>
      </c>
      <c r="D65" s="172"/>
      <c r="E65" s="172"/>
      <c r="F65" s="173" t="s">
        <v>251</v>
      </c>
      <c r="G65" s="173"/>
      <c r="H65" s="173"/>
    </row>
    <row r="66" spans="1:8" ht="30" customHeight="1" x14ac:dyDescent="0.2">
      <c r="A66" s="19" t="s">
        <v>252</v>
      </c>
      <c r="B66" s="19" t="s">
        <v>253</v>
      </c>
      <c r="C66" s="172" t="s">
        <v>1545</v>
      </c>
      <c r="D66" s="172"/>
      <c r="E66" s="172"/>
      <c r="F66" s="173" t="s">
        <v>254</v>
      </c>
      <c r="G66" s="173"/>
      <c r="H66" s="173"/>
    </row>
    <row r="67" spans="1:8" ht="30" customHeight="1" x14ac:dyDescent="0.2">
      <c r="A67" s="19" t="s">
        <v>255</v>
      </c>
      <c r="B67" s="19" t="s">
        <v>256</v>
      </c>
      <c r="C67" s="172" t="s">
        <v>257</v>
      </c>
      <c r="D67" s="172"/>
      <c r="E67" s="172"/>
      <c r="F67" s="173" t="s">
        <v>258</v>
      </c>
      <c r="G67" s="173"/>
      <c r="H67" s="173"/>
    </row>
    <row r="68" spans="1:8" ht="30" customHeight="1" x14ac:dyDescent="0.2">
      <c r="A68" s="19" t="s">
        <v>259</v>
      </c>
      <c r="B68" s="19" t="s">
        <v>260</v>
      </c>
      <c r="C68" s="172" t="s">
        <v>261</v>
      </c>
      <c r="D68" s="172"/>
      <c r="E68" s="172"/>
      <c r="F68" s="173" t="s">
        <v>262</v>
      </c>
      <c r="G68" s="173"/>
      <c r="H68" s="173"/>
    </row>
    <row r="69" spans="1:8" ht="30" customHeight="1" x14ac:dyDescent="0.2">
      <c r="A69" s="19" t="s">
        <v>263</v>
      </c>
      <c r="B69" s="19" t="s">
        <v>264</v>
      </c>
      <c r="C69" s="172" t="s">
        <v>265</v>
      </c>
      <c r="D69" s="172"/>
      <c r="E69" s="172"/>
      <c r="F69" s="173" t="s">
        <v>266</v>
      </c>
      <c r="G69" s="173"/>
      <c r="H69" s="173"/>
    </row>
    <row r="70" spans="1:8" ht="15" hidden="1" customHeight="1" x14ac:dyDescent="0.2">
      <c r="A70" s="42"/>
      <c r="B70" s="30"/>
    </row>
    <row r="71" spans="1:8" ht="15" hidden="1" customHeight="1" x14ac:dyDescent="0.2">
      <c r="A71" s="42"/>
      <c r="B71" s="42"/>
    </row>
    <row r="72" spans="1:8" ht="15" hidden="1" customHeight="1" x14ac:dyDescent="0.2">
      <c r="A72" s="42"/>
      <c r="B72" s="42"/>
    </row>
  </sheetData>
  <mergeCells count="25">
    <mergeCell ref="C67:E67"/>
    <mergeCell ref="F67:H67"/>
    <mergeCell ref="C68:E68"/>
    <mergeCell ref="F68:H68"/>
    <mergeCell ref="C69:E69"/>
    <mergeCell ref="F69:H69"/>
    <mergeCell ref="C64:E64"/>
    <mergeCell ref="F64:H64"/>
    <mergeCell ref="C65:E65"/>
    <mergeCell ref="F65:H65"/>
    <mergeCell ref="C66:E66"/>
    <mergeCell ref="F66:H66"/>
    <mergeCell ref="C61:E61"/>
    <mergeCell ref="F61:H61"/>
    <mergeCell ref="C62:E62"/>
    <mergeCell ref="F62:H62"/>
    <mergeCell ref="C63:E63"/>
    <mergeCell ref="F63:H63"/>
    <mergeCell ref="A48:H48"/>
    <mergeCell ref="A60:H60"/>
    <mergeCell ref="A1:H1"/>
    <mergeCell ref="A19:H19"/>
    <mergeCell ref="A24:H24"/>
    <mergeCell ref="A36:H36"/>
    <mergeCell ref="A43:H43"/>
  </mergeCells>
  <hyperlinks>
    <hyperlink ref="B69" r:id="rId1" xr:uid="{00000000-0004-0000-0200-000000000000}"/>
    <hyperlink ref="B70" r:id="rId2" display="https://rulebooks.vara.ae/rulebook/b-paid-capital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6F4E"/>
  </sheetPr>
  <dimension ref="A1:U35"/>
  <sheetViews>
    <sheetView showGridLines="0" workbookViewId="0">
      <selection sqref="A1:M1"/>
    </sheetView>
  </sheetViews>
  <sheetFormatPr defaultColWidth="8.5703125" defaultRowHeight="12.75" x14ac:dyDescent="0.2"/>
  <cols>
    <col min="1" max="1" width="34" customWidth="1"/>
    <col min="2" max="21" width="14" customWidth="1"/>
  </cols>
  <sheetData>
    <row r="1" spans="1:21" ht="27.95" customHeight="1" x14ac:dyDescent="0.2">
      <c r="A1" s="169" t="s">
        <v>267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2"/>
      <c r="O1" s="2"/>
      <c r="P1" s="2"/>
      <c r="Q1" s="2"/>
      <c r="R1" s="2"/>
      <c r="S1" s="2"/>
      <c r="T1" s="2"/>
      <c r="U1" s="2"/>
    </row>
    <row r="2" spans="1:21" ht="9.9499999999999993" customHeight="1" x14ac:dyDescent="0.2"/>
    <row r="3" spans="1:21" ht="26.1" customHeight="1" x14ac:dyDescent="0.2">
      <c r="A3" s="10" t="s">
        <v>49</v>
      </c>
      <c r="B3" s="9" t="s">
        <v>268</v>
      </c>
      <c r="C3" s="9" t="s">
        <v>269</v>
      </c>
      <c r="D3" s="9" t="s">
        <v>270</v>
      </c>
      <c r="E3" s="83" t="s">
        <v>271</v>
      </c>
      <c r="F3" s="9" t="s">
        <v>272</v>
      </c>
      <c r="G3" s="9" t="s">
        <v>273</v>
      </c>
      <c r="H3" s="9" t="s">
        <v>274</v>
      </c>
      <c r="I3" s="83" t="s">
        <v>275</v>
      </c>
      <c r="J3" s="9" t="s">
        <v>276</v>
      </c>
      <c r="K3" s="9" t="s">
        <v>277</v>
      </c>
      <c r="L3" s="9" t="s">
        <v>278</v>
      </c>
      <c r="M3" s="83" t="s">
        <v>279</v>
      </c>
      <c r="N3" s="9" t="s">
        <v>280</v>
      </c>
      <c r="O3" s="9" t="s">
        <v>281</v>
      </c>
      <c r="P3" s="9" t="s">
        <v>282</v>
      </c>
      <c r="Q3" s="83" t="s">
        <v>283</v>
      </c>
      <c r="R3" s="9" t="s">
        <v>284</v>
      </c>
      <c r="S3" s="9" t="s">
        <v>285</v>
      </c>
      <c r="T3" s="9" t="s">
        <v>286</v>
      </c>
      <c r="U3" s="83" t="s">
        <v>287</v>
      </c>
    </row>
    <row r="4" spans="1:21" ht="15.95" customHeight="1" x14ac:dyDescent="0.2">
      <c r="A4" s="12" t="s">
        <v>288</v>
      </c>
      <c r="B4" s="90">
        <f>Assumptions!$F$61</f>
        <v>0.15</v>
      </c>
      <c r="C4" s="90">
        <f>Assumptions!$F$62</f>
        <v>0.45</v>
      </c>
      <c r="D4" s="90">
        <f>Assumptions!$F$63</f>
        <v>0.4</v>
      </c>
      <c r="E4" s="84">
        <f>SUM(B4:D4)</f>
        <v>1</v>
      </c>
      <c r="F4" s="90">
        <f>Assumptions!$F$64</f>
        <v>0.3</v>
      </c>
      <c r="G4" s="90">
        <f>Assumptions!$F$65</f>
        <v>0.45</v>
      </c>
      <c r="H4" s="90">
        <f>Assumptions!$F$66</f>
        <v>0.25</v>
      </c>
      <c r="I4" s="84">
        <f>SUM(F4:H4)</f>
        <v>1</v>
      </c>
      <c r="J4" s="90">
        <f>Assumptions!$F$67</f>
        <v>0.45</v>
      </c>
      <c r="K4" s="90">
        <f>Assumptions!$F$68</f>
        <v>0.4</v>
      </c>
      <c r="L4" s="90">
        <f>Assumptions!$F$69</f>
        <v>0.15</v>
      </c>
      <c r="M4" s="84">
        <f>SUM(J4:L4)</f>
        <v>1</v>
      </c>
      <c r="N4" s="90">
        <f>Assumptions!$F$149</f>
        <v>0.6</v>
      </c>
      <c r="O4" s="90">
        <f>Assumptions!$F$150</f>
        <v>0.32</v>
      </c>
      <c r="P4" s="90">
        <f>Assumptions!$F$151</f>
        <v>0.08</v>
      </c>
      <c r="Q4" s="84">
        <f>SUM(N4:P4)</f>
        <v>0.99999999999999989</v>
      </c>
      <c r="R4" s="90">
        <f>Assumptions!$F$152</f>
        <v>0.7</v>
      </c>
      <c r="S4" s="90">
        <f>Assumptions!$F$153</f>
        <v>0.25</v>
      </c>
      <c r="T4" s="90">
        <f>Assumptions!$F$154</f>
        <v>0.05</v>
      </c>
      <c r="U4" s="84">
        <f>SUM(R4:T4)</f>
        <v>1</v>
      </c>
    </row>
    <row r="5" spans="1:21" ht="15.95" customHeight="1" x14ac:dyDescent="0.2">
      <c r="A5" s="12" t="s">
        <v>289</v>
      </c>
      <c r="B5" s="91">
        <f>'P&amp;L 5yr'!$C$7*B4</f>
        <v>0.44999999999999996</v>
      </c>
      <c r="C5" s="91">
        <f>'P&amp;L 5yr'!$C$7*C4</f>
        <v>1.35</v>
      </c>
      <c r="D5" s="91">
        <f>'P&amp;L 5yr'!$C$7*D4</f>
        <v>1.2000000000000002</v>
      </c>
      <c r="E5" s="85">
        <f>SUM(B5:D5)</f>
        <v>3</v>
      </c>
      <c r="F5" s="91">
        <f>'P&amp;L 5yr'!$D$7*F4</f>
        <v>150</v>
      </c>
      <c r="G5" s="91">
        <f>'P&amp;L 5yr'!$D$7*G4</f>
        <v>225</v>
      </c>
      <c r="H5" s="91">
        <f>'P&amp;L 5yr'!$D$7*H4</f>
        <v>125</v>
      </c>
      <c r="I5" s="85">
        <f>SUM(F5:H5)</f>
        <v>500</v>
      </c>
      <c r="J5" s="91">
        <f>'P&amp;L 5yr'!$E$7*J4</f>
        <v>900</v>
      </c>
      <c r="K5" s="91">
        <f>'P&amp;L 5yr'!$E$7*K4</f>
        <v>800</v>
      </c>
      <c r="L5" s="91">
        <f>'P&amp;L 5yr'!$E$7*L4</f>
        <v>300</v>
      </c>
      <c r="M5" s="85">
        <f>SUM(J5:L5)</f>
        <v>2000</v>
      </c>
      <c r="N5" s="91">
        <f>'P&amp;L 5yr'!$F$7*N4</f>
        <v>9000</v>
      </c>
      <c r="O5" s="91">
        <f>'P&amp;L 5yr'!$F$7*O4</f>
        <v>4800</v>
      </c>
      <c r="P5" s="91">
        <f>'P&amp;L 5yr'!$F$7*P4</f>
        <v>1200</v>
      </c>
      <c r="Q5" s="85">
        <f>SUM(N5:P5)</f>
        <v>15000</v>
      </c>
      <c r="R5" s="91">
        <f>'P&amp;L 5yr'!$G$7*R4</f>
        <v>21000</v>
      </c>
      <c r="S5" s="91">
        <f>'P&amp;L 5yr'!$G$7*S4</f>
        <v>7500</v>
      </c>
      <c r="T5" s="91">
        <f>'P&amp;L 5yr'!$G$7*T4</f>
        <v>1500</v>
      </c>
      <c r="U5" s="85">
        <f>SUM(R5:T5)</f>
        <v>30000</v>
      </c>
    </row>
    <row r="6" spans="1:21" ht="15.95" customHeight="1" x14ac:dyDescent="0.2">
      <c r="A6" s="12" t="s">
        <v>290</v>
      </c>
      <c r="B6" s="68">
        <f>Assumptions!$F$103</f>
        <v>3</v>
      </c>
      <c r="C6" s="68">
        <f>Assumptions!$F$104</f>
        <v>6</v>
      </c>
      <c r="D6" s="68">
        <f>Assumptions!$F$105</f>
        <v>9</v>
      </c>
      <c r="E6" s="86">
        <f>IF(E5=0,0,E7/E5)</f>
        <v>6.75</v>
      </c>
      <c r="F6" s="68">
        <f>Assumptions!$F$103</f>
        <v>3</v>
      </c>
      <c r="G6" s="68">
        <f>Assumptions!$F$104</f>
        <v>6</v>
      </c>
      <c r="H6" s="68">
        <f>Assumptions!$F$105</f>
        <v>9</v>
      </c>
      <c r="I6" s="86">
        <f>IF(I5=0,0,I7/I5)</f>
        <v>5.85</v>
      </c>
      <c r="J6" s="68">
        <f>Assumptions!$F$103</f>
        <v>3</v>
      </c>
      <c r="K6" s="68">
        <f>Assumptions!$F$104</f>
        <v>6</v>
      </c>
      <c r="L6" s="68">
        <f>Assumptions!$F$105</f>
        <v>9</v>
      </c>
      <c r="M6" s="86">
        <f>IF(M5=0,0,M7/M5)</f>
        <v>5.0999999999999996</v>
      </c>
      <c r="N6" s="68">
        <f>Assumptions!$F$103</f>
        <v>3</v>
      </c>
      <c r="O6" s="68">
        <f>Assumptions!$F$104</f>
        <v>6</v>
      </c>
      <c r="P6" s="68">
        <f>Assumptions!$F$105</f>
        <v>9</v>
      </c>
      <c r="Q6" s="86">
        <f>IF(Q5=0,0,Q7/Q5)</f>
        <v>4.4400000000000004</v>
      </c>
      <c r="R6" s="68">
        <f>Assumptions!$F$103</f>
        <v>3</v>
      </c>
      <c r="S6" s="68">
        <f>Assumptions!$F$104</f>
        <v>6</v>
      </c>
      <c r="T6" s="68">
        <f>Assumptions!$F$105</f>
        <v>9</v>
      </c>
      <c r="U6" s="86">
        <f>IF(U5=0,0,U7/U5)</f>
        <v>4.05</v>
      </c>
    </row>
    <row r="7" spans="1:21" ht="15.95" customHeight="1" x14ac:dyDescent="0.2">
      <c r="A7" s="12" t="s">
        <v>291</v>
      </c>
      <c r="B7" s="76">
        <f>B5*B6</f>
        <v>1.3499999999999999</v>
      </c>
      <c r="C7" s="76">
        <f>C5*C6</f>
        <v>8.1000000000000014</v>
      </c>
      <c r="D7" s="76">
        <f>D5*D6</f>
        <v>10.8</v>
      </c>
      <c r="E7" s="85">
        <f>SUM(B7:D7)</f>
        <v>20.25</v>
      </c>
      <c r="F7" s="76">
        <f>F5*F6</f>
        <v>450</v>
      </c>
      <c r="G7" s="76">
        <f>G5*G6</f>
        <v>1350</v>
      </c>
      <c r="H7" s="76">
        <f>H5*H6</f>
        <v>1125</v>
      </c>
      <c r="I7" s="85">
        <f>SUM(F7:H7)</f>
        <v>2925</v>
      </c>
      <c r="J7" s="76">
        <f>J5*J6</f>
        <v>2700</v>
      </c>
      <c r="K7" s="76">
        <f>K5*K6</f>
        <v>4800</v>
      </c>
      <c r="L7" s="76">
        <f>L5*L6</f>
        <v>2700</v>
      </c>
      <c r="M7" s="85">
        <f>SUM(J7:L7)</f>
        <v>10200</v>
      </c>
      <c r="N7" s="76">
        <f>N5*N6</f>
        <v>27000</v>
      </c>
      <c r="O7" s="76">
        <f>O5*O6</f>
        <v>28800</v>
      </c>
      <c r="P7" s="76">
        <f>P5*P6</f>
        <v>10800</v>
      </c>
      <c r="Q7" s="85">
        <f>SUM(N7:P7)</f>
        <v>66600</v>
      </c>
      <c r="R7" s="76">
        <f>R5*R6</f>
        <v>63000</v>
      </c>
      <c r="S7" s="76">
        <f>S5*S6</f>
        <v>45000</v>
      </c>
      <c r="T7" s="76">
        <f>T5*T6</f>
        <v>13500</v>
      </c>
      <c r="U7" s="85">
        <f>SUM(R7:T7)</f>
        <v>121500</v>
      </c>
    </row>
    <row r="8" spans="1:21" ht="15.95" customHeight="1" x14ac:dyDescent="0.2">
      <c r="A8" s="12" t="s">
        <v>292</v>
      </c>
      <c r="B8" s="67">
        <f>Assumptions!$F$162</f>
        <v>35000</v>
      </c>
      <c r="C8" s="67">
        <f>Assumptions!$F$164</f>
        <v>30000</v>
      </c>
      <c r="D8" s="67">
        <f>Assumptions!$F$166</f>
        <v>30000</v>
      </c>
      <c r="E8" s="87">
        <f>IF(E5=0,0,E9/E5)</f>
        <v>30750</v>
      </c>
      <c r="F8" s="67">
        <f>Assumptions!$F$162*(1+Assumptions!$F$163)^1</f>
        <v>38500</v>
      </c>
      <c r="G8" s="67">
        <f>Assumptions!$F$164*(1+Assumptions!$F$165)^1</f>
        <v>32400.000000000004</v>
      </c>
      <c r="H8" s="67">
        <f>Assumptions!$F$166*(1+Assumptions!$F$167)^1</f>
        <v>31500</v>
      </c>
      <c r="I8" s="87">
        <f>IF(I5=0,0,I9/I5)</f>
        <v>34005</v>
      </c>
      <c r="J8" s="67">
        <f>Assumptions!$F$162*(1+Assumptions!$F$163)^2</f>
        <v>42350.000000000007</v>
      </c>
      <c r="K8" s="67">
        <f>Assumptions!$F$164*(1+Assumptions!$F$165)^2</f>
        <v>34992</v>
      </c>
      <c r="L8" s="67">
        <f>Assumptions!$F$166*(1+Assumptions!$F$167)^2</f>
        <v>33075</v>
      </c>
      <c r="M8" s="87">
        <f>IF(M5=0,0,M9/M5)</f>
        <v>38015.550000000003</v>
      </c>
      <c r="N8" s="67">
        <f>Assumptions!$F$162*(1+Assumptions!$F$163)^3</f>
        <v>46585.000000000015</v>
      </c>
      <c r="O8" s="67">
        <f>Assumptions!$F$164*(1+Assumptions!$F$165)^3</f>
        <v>37791.360000000008</v>
      </c>
      <c r="P8" s="67">
        <f>Assumptions!$F$166*(1+Assumptions!$F$167)^3</f>
        <v>34728.750000000007</v>
      </c>
      <c r="Q8" s="87">
        <f>IF(Q5=0,0,Q9/Q5)</f>
        <v>42822.535200000006</v>
      </c>
      <c r="R8" s="67">
        <f>Assumptions!$F$162*(1+Assumptions!$F$163)^4</f>
        <v>51243.500000000015</v>
      </c>
      <c r="S8" s="67">
        <f>Assumptions!$F$164*(1+Assumptions!$F$165)^4</f>
        <v>40814.668800000007</v>
      </c>
      <c r="T8" s="67">
        <f>Assumptions!$F$166*(1+Assumptions!$F$167)^4</f>
        <v>36465.1875</v>
      </c>
      <c r="U8" s="87">
        <f>IF(U5=0,0,U9/U5)</f>
        <v>47897.376575000009</v>
      </c>
    </row>
    <row r="9" spans="1:21" ht="15.95" customHeight="1" x14ac:dyDescent="0.2">
      <c r="A9" s="12" t="s">
        <v>293</v>
      </c>
      <c r="B9" s="56">
        <f>B5*B8</f>
        <v>15749.999999999998</v>
      </c>
      <c r="C9" s="56">
        <f>C5*C8</f>
        <v>40500</v>
      </c>
      <c r="D9" s="56">
        <f>D5*D8</f>
        <v>36000.000000000007</v>
      </c>
      <c r="E9" s="87">
        <f>SUM(B9:D9)</f>
        <v>92250</v>
      </c>
      <c r="F9" s="56">
        <f>F5*F8</f>
        <v>5775000</v>
      </c>
      <c r="G9" s="56">
        <f>G5*G8</f>
        <v>7290000.0000000009</v>
      </c>
      <c r="H9" s="56">
        <f>H5*H8</f>
        <v>3937500</v>
      </c>
      <c r="I9" s="87">
        <f>SUM(F9:H9)</f>
        <v>17002500</v>
      </c>
      <c r="J9" s="56">
        <f>J5*J8</f>
        <v>38115000.000000007</v>
      </c>
      <c r="K9" s="56">
        <f>K5*K8</f>
        <v>27993600</v>
      </c>
      <c r="L9" s="56">
        <f>L5*L8</f>
        <v>9922500</v>
      </c>
      <c r="M9" s="87">
        <f>SUM(J9:L9)</f>
        <v>76031100</v>
      </c>
      <c r="N9" s="56">
        <f>N5*N8</f>
        <v>419265000.00000012</v>
      </c>
      <c r="O9" s="56">
        <f>O5*O8</f>
        <v>181398528.00000003</v>
      </c>
      <c r="P9" s="56">
        <f>P5*P8</f>
        <v>41674500.000000007</v>
      </c>
      <c r="Q9" s="87">
        <f>SUM(N9:P9)</f>
        <v>642338028.00000012</v>
      </c>
      <c r="R9" s="56">
        <f>R5*R8</f>
        <v>1076113500.0000002</v>
      </c>
      <c r="S9" s="56">
        <f>S5*S8</f>
        <v>306110016.00000006</v>
      </c>
      <c r="T9" s="56">
        <f>T5*T8</f>
        <v>54697781.25</v>
      </c>
      <c r="U9" s="87">
        <f>SUM(R9:T9)</f>
        <v>1436921297.2500002</v>
      </c>
    </row>
    <row r="10" spans="1:21" ht="15.95" customHeight="1" x14ac:dyDescent="0.2">
      <c r="A10" s="12" t="s">
        <v>294</v>
      </c>
      <c r="B10" s="90">
        <f>Assumptions!$F$70</f>
        <v>8.0000000000000002E-3</v>
      </c>
      <c r="C10" s="90">
        <f>Assumptions!$F$71</f>
        <v>1.4999999999999999E-2</v>
      </c>
      <c r="D10" s="90">
        <f>Assumptions!$F$72</f>
        <v>0.03</v>
      </c>
      <c r="E10" s="84">
        <f>IF(E9=0,0,SUM(B9*B10,C9*C10,D9*D10)/E9)</f>
        <v>1.9658536585365857E-2</v>
      </c>
      <c r="F10" s="90">
        <f>Assumptions!$F$70</f>
        <v>8.0000000000000002E-3</v>
      </c>
      <c r="G10" s="90">
        <f>Assumptions!$F$71</f>
        <v>1.4999999999999999E-2</v>
      </c>
      <c r="H10" s="90">
        <f>Assumptions!$F$72</f>
        <v>0.03</v>
      </c>
      <c r="I10" s="84">
        <f>IF(I9=0,0,SUM(F9*F10,G9*G10,H9*H10)/I9)</f>
        <v>1.6096162329069255E-2</v>
      </c>
      <c r="J10" s="90">
        <f>Assumptions!$F$70</f>
        <v>8.0000000000000002E-3</v>
      </c>
      <c r="K10" s="90">
        <f>Assumptions!$F$71</f>
        <v>1.4999999999999999E-2</v>
      </c>
      <c r="L10" s="90">
        <f>Assumptions!$F$72</f>
        <v>0.03</v>
      </c>
      <c r="M10" s="84">
        <f>IF(M9=0,0,SUM(J9*J10,K9*K10,L9*L10)/M9)</f>
        <v>1.3448430971010547E-2</v>
      </c>
      <c r="N10" s="90">
        <f>Assumptions!$F$70</f>
        <v>8.0000000000000002E-3</v>
      </c>
      <c r="O10" s="90">
        <f>Assumptions!$F$71</f>
        <v>1.4999999999999999E-2</v>
      </c>
      <c r="P10" s="90">
        <f>Assumptions!$F$72</f>
        <v>0.03</v>
      </c>
      <c r="Q10" s="84">
        <f>IF(Q9=0,0,SUM(N9*N10,O9*O10,P9*P10)/Q9)</f>
        <v>1.1404171325195151E-2</v>
      </c>
      <c r="R10" s="90">
        <f>Assumptions!$F$70</f>
        <v>8.0000000000000002E-3</v>
      </c>
      <c r="S10" s="90">
        <f>Assumptions!$F$71</f>
        <v>1.4999999999999999E-2</v>
      </c>
      <c r="T10" s="90">
        <f>Assumptions!$F$72</f>
        <v>0.03</v>
      </c>
      <c r="U10" s="84">
        <f>IF(U9=0,0,SUM(R9*R10,S9*S10,T9*T10)/U9)</f>
        <v>1.032867402404283E-2</v>
      </c>
    </row>
    <row r="11" spans="1:21" ht="15.95" customHeight="1" x14ac:dyDescent="0.2">
      <c r="A11" s="12" t="s">
        <v>295</v>
      </c>
      <c r="B11" s="67">
        <f>Assumptions!$F$73</f>
        <v>150</v>
      </c>
      <c r="C11" s="67">
        <f>Assumptions!$F$74</f>
        <v>250</v>
      </c>
      <c r="D11" s="67">
        <f>Assumptions!$F$75</f>
        <v>500</v>
      </c>
      <c r="E11" s="87">
        <f>IF(E5=0,0,SUM(B5*B11,C5*C11,D5*D11)/E5)</f>
        <v>335.00000000000006</v>
      </c>
      <c r="F11" s="67">
        <f>Assumptions!$F$73</f>
        <v>150</v>
      </c>
      <c r="G11" s="67">
        <f>Assumptions!$F$74</f>
        <v>250</v>
      </c>
      <c r="H11" s="67">
        <f>Assumptions!$F$75</f>
        <v>500</v>
      </c>
      <c r="I11" s="87">
        <f>IF(I5=0,0,SUM(F5*F11,G5*G11,H5*H11)/I5)</f>
        <v>282.5</v>
      </c>
      <c r="J11" s="67">
        <f>Assumptions!$F$73</f>
        <v>150</v>
      </c>
      <c r="K11" s="67">
        <f>Assumptions!$F$74</f>
        <v>250</v>
      </c>
      <c r="L11" s="67">
        <f>Assumptions!$F$75</f>
        <v>500</v>
      </c>
      <c r="M11" s="87">
        <f>IF(M5=0,0,SUM(J5*J11,K5*K11,L5*L11)/M5)</f>
        <v>242.5</v>
      </c>
      <c r="N11" s="67">
        <f>Assumptions!$F$73</f>
        <v>150</v>
      </c>
      <c r="O11" s="67">
        <f>Assumptions!$F$74</f>
        <v>250</v>
      </c>
      <c r="P11" s="67">
        <f>Assumptions!$F$75</f>
        <v>500</v>
      </c>
      <c r="Q11" s="87">
        <f>IF(Q5=0,0,SUM(N5*N11,O5*O11,P5*P11)/Q5)</f>
        <v>210</v>
      </c>
      <c r="R11" s="67">
        <f>Assumptions!$F$73</f>
        <v>150</v>
      </c>
      <c r="S11" s="67">
        <f>Assumptions!$F$74</f>
        <v>250</v>
      </c>
      <c r="T11" s="67">
        <f>Assumptions!$F$75</f>
        <v>500</v>
      </c>
      <c r="U11" s="87">
        <f>IF(U5=0,0,SUM(R5*R11,S5*S11,T5*T11)/U5)</f>
        <v>192.5</v>
      </c>
    </row>
    <row r="12" spans="1:21" ht="15.95" customHeight="1" x14ac:dyDescent="0.2">
      <c r="A12" s="12" t="s">
        <v>296</v>
      </c>
      <c r="B12" s="56">
        <f>B5*MAX(B8*B10,B11)</f>
        <v>125.99999999999999</v>
      </c>
      <c r="C12" s="56">
        <f>C5*MAX(C8*C10,C11)</f>
        <v>607.5</v>
      </c>
      <c r="D12" s="56">
        <f>D5*MAX(D8*D10,D11)</f>
        <v>1080.0000000000002</v>
      </c>
      <c r="E12" s="87">
        <f>SUM(B12:D12)</f>
        <v>1813.5000000000002</v>
      </c>
      <c r="F12" s="56">
        <f>F5*MAX(F8*F10,F11)</f>
        <v>46200</v>
      </c>
      <c r="G12" s="56">
        <f>G5*MAX(G8*G10,G11)</f>
        <v>109350.00000000001</v>
      </c>
      <c r="H12" s="56">
        <f>H5*MAX(H8*H10,H11)</f>
        <v>118125</v>
      </c>
      <c r="I12" s="87">
        <f>SUM(F12:H12)</f>
        <v>273675</v>
      </c>
      <c r="J12" s="56">
        <f>J5*MAX(J8*J10,J11)</f>
        <v>304920.00000000006</v>
      </c>
      <c r="K12" s="56">
        <f>K5*MAX(K8*K10,K11)</f>
        <v>419904</v>
      </c>
      <c r="L12" s="56">
        <f>L5*MAX(L8*L10,L11)</f>
        <v>297675</v>
      </c>
      <c r="M12" s="87">
        <f>SUM(J12:L12)</f>
        <v>1022499</v>
      </c>
      <c r="N12" s="56">
        <f>N5*MAX(N8*N10,N11)</f>
        <v>3354120.0000000009</v>
      </c>
      <c r="O12" s="56">
        <f>O5*MAX(O8*O10,O11)</f>
        <v>2720977.9200000009</v>
      </c>
      <c r="P12" s="56">
        <f>P5*MAX(P8*P10,P11)</f>
        <v>1250235.0000000002</v>
      </c>
      <c r="Q12" s="87">
        <f>SUM(N12:P12)</f>
        <v>7325332.9200000018</v>
      </c>
      <c r="R12" s="56">
        <f>R5*MAX(R8*R10,R11)</f>
        <v>8608908.0000000037</v>
      </c>
      <c r="S12" s="56">
        <f>S5*MAX(S8*S10,S11)</f>
        <v>4591650.24</v>
      </c>
      <c r="T12" s="56">
        <f>T5*MAX(T8*T10,T11)</f>
        <v>1640933.4375</v>
      </c>
      <c r="U12" s="87">
        <f>SUM(R12:T12)</f>
        <v>14841491.677500004</v>
      </c>
    </row>
    <row r="13" spans="1:21" ht="15.95" customHeight="1" x14ac:dyDescent="0.2">
      <c r="A13" s="12" t="s">
        <v>297</v>
      </c>
      <c r="B13" s="67">
        <f>Assumptions!$F$76</f>
        <v>25</v>
      </c>
      <c r="C13" s="67">
        <f>Assumptions!$F$77</f>
        <v>90</v>
      </c>
      <c r="D13" s="67">
        <f>Assumptions!$F$78</f>
        <v>300</v>
      </c>
      <c r="E13" s="87">
        <f>IF(E5=0,0,SUM(B5*B13,C5*C13,D5*D13)/E5)</f>
        <v>164.25000000000003</v>
      </c>
      <c r="F13" s="67">
        <f>Assumptions!$F$76</f>
        <v>25</v>
      </c>
      <c r="G13" s="67">
        <f>Assumptions!$F$77</f>
        <v>90</v>
      </c>
      <c r="H13" s="67">
        <f>Assumptions!$F$78</f>
        <v>300</v>
      </c>
      <c r="I13" s="87">
        <f>IF(I5=0,0,SUM(F5*F13,G5*G13,H5*H13)/I5)</f>
        <v>123</v>
      </c>
      <c r="J13" s="67">
        <f>Assumptions!$F$76</f>
        <v>25</v>
      </c>
      <c r="K13" s="67">
        <f>Assumptions!$F$77</f>
        <v>90</v>
      </c>
      <c r="L13" s="67">
        <f>Assumptions!$F$78</f>
        <v>300</v>
      </c>
      <c r="M13" s="87">
        <f>IF(M5=0,0,SUM(J5*J13,K5*K13,L5*L13)/M5)</f>
        <v>92.25</v>
      </c>
      <c r="N13" s="67">
        <f>Assumptions!$F$76</f>
        <v>25</v>
      </c>
      <c r="O13" s="67">
        <f>Assumptions!$F$77</f>
        <v>90</v>
      </c>
      <c r="P13" s="67">
        <f>Assumptions!$F$78</f>
        <v>300</v>
      </c>
      <c r="Q13" s="87">
        <f>IF(Q5=0,0,SUM(N5*N13,O5*O13,P5*P13)/Q5)</f>
        <v>67.8</v>
      </c>
      <c r="R13" s="67">
        <f>Assumptions!$F$76</f>
        <v>25</v>
      </c>
      <c r="S13" s="67">
        <f>Assumptions!$F$77</f>
        <v>90</v>
      </c>
      <c r="T13" s="67">
        <f>Assumptions!$F$78</f>
        <v>300</v>
      </c>
      <c r="U13" s="87">
        <f>IF(U5=0,0,SUM(R5*R13,S5*S13,T5*T13)/U5)</f>
        <v>55</v>
      </c>
    </row>
    <row r="14" spans="1:21" ht="15.95" customHeight="1" x14ac:dyDescent="0.2">
      <c r="A14" s="12" t="s">
        <v>298</v>
      </c>
      <c r="B14" s="56">
        <f>B5*B13</f>
        <v>11.249999999999998</v>
      </c>
      <c r="C14" s="56">
        <f>C5*C13</f>
        <v>121.50000000000001</v>
      </c>
      <c r="D14" s="56">
        <f>D5*D13</f>
        <v>360.00000000000006</v>
      </c>
      <c r="E14" s="87">
        <f>SUM(B14:D14)</f>
        <v>492.75000000000006</v>
      </c>
      <c r="F14" s="56">
        <f>F5*F13</f>
        <v>3750</v>
      </c>
      <c r="G14" s="56">
        <f>G5*G13</f>
        <v>20250</v>
      </c>
      <c r="H14" s="56">
        <f>H5*H13</f>
        <v>37500</v>
      </c>
      <c r="I14" s="87">
        <f>SUM(F14:H14)</f>
        <v>61500</v>
      </c>
      <c r="J14" s="56">
        <f>J5*J13</f>
        <v>22500</v>
      </c>
      <c r="K14" s="56">
        <f>K5*K13</f>
        <v>72000</v>
      </c>
      <c r="L14" s="56">
        <f>L5*L13</f>
        <v>90000</v>
      </c>
      <c r="M14" s="87">
        <f>SUM(J14:L14)</f>
        <v>184500</v>
      </c>
      <c r="N14" s="56">
        <f>N5*N13</f>
        <v>225000</v>
      </c>
      <c r="O14" s="56">
        <f>O5*O13</f>
        <v>432000</v>
      </c>
      <c r="P14" s="56">
        <f>P5*P13</f>
        <v>360000</v>
      </c>
      <c r="Q14" s="87">
        <f>SUM(N14:P14)</f>
        <v>1017000</v>
      </c>
      <c r="R14" s="56">
        <f>R5*R13</f>
        <v>525000</v>
      </c>
      <c r="S14" s="56">
        <f>S5*S13</f>
        <v>675000</v>
      </c>
      <c r="T14" s="56">
        <f>T5*T13</f>
        <v>450000</v>
      </c>
      <c r="U14" s="87">
        <f>SUM(R14:T14)</f>
        <v>1650000</v>
      </c>
    </row>
    <row r="15" spans="1:21" ht="15.95" customHeight="1" x14ac:dyDescent="0.2">
      <c r="A15" s="12" t="s">
        <v>299</v>
      </c>
      <c r="B15" s="90">
        <f>Assumptions!$F$91</f>
        <v>0.04</v>
      </c>
      <c r="C15" s="90">
        <f>Assumptions!$F$92</f>
        <v>0.1</v>
      </c>
      <c r="D15" s="90">
        <f>Assumptions!$F$93</f>
        <v>0.2</v>
      </c>
      <c r="E15" s="84">
        <f>IF(E5=0,0,E16/E5)</f>
        <v>0.13100000000000001</v>
      </c>
      <c r="F15" s="90">
        <f>Assumptions!$F$91</f>
        <v>0.04</v>
      </c>
      <c r="G15" s="90">
        <f>Assumptions!$F$92</f>
        <v>0.1</v>
      </c>
      <c r="H15" s="90">
        <f>Assumptions!$F$93</f>
        <v>0.2</v>
      </c>
      <c r="I15" s="84">
        <f>IF(I5=0,0,I16/I5)</f>
        <v>0.107</v>
      </c>
      <c r="J15" s="90">
        <f>Assumptions!$F$91</f>
        <v>0.04</v>
      </c>
      <c r="K15" s="90">
        <f>Assumptions!$F$92</f>
        <v>0.1</v>
      </c>
      <c r="L15" s="90">
        <f>Assumptions!$F$93</f>
        <v>0.2</v>
      </c>
      <c r="M15" s="84">
        <f>IF(M5=0,0,M16/M5)</f>
        <v>8.7999999999999995E-2</v>
      </c>
      <c r="N15" s="90">
        <f>Assumptions!$F$91</f>
        <v>0.04</v>
      </c>
      <c r="O15" s="90">
        <f>Assumptions!$F$92</f>
        <v>0.1</v>
      </c>
      <c r="P15" s="90">
        <f>Assumptions!$F$93</f>
        <v>0.2</v>
      </c>
      <c r="Q15" s="84">
        <f>IF(Q5=0,0,Q16/Q5)</f>
        <v>7.1999999999999995E-2</v>
      </c>
      <c r="R15" s="90">
        <f>Assumptions!$F$91</f>
        <v>0.04</v>
      </c>
      <c r="S15" s="90">
        <f>Assumptions!$F$92</f>
        <v>0.1</v>
      </c>
      <c r="T15" s="90">
        <f>Assumptions!$F$93</f>
        <v>0.2</v>
      </c>
      <c r="U15" s="84">
        <f>IF(U5=0,0,U16/U5)</f>
        <v>6.3E-2</v>
      </c>
    </row>
    <row r="16" spans="1:21" ht="15.95" customHeight="1" x14ac:dyDescent="0.2">
      <c r="A16" s="12" t="s">
        <v>300</v>
      </c>
      <c r="B16" s="76">
        <f>B5*B15</f>
        <v>1.7999999999999999E-2</v>
      </c>
      <c r="C16" s="76">
        <f>C5*C15</f>
        <v>0.13500000000000001</v>
      </c>
      <c r="D16" s="76">
        <f>D5*D15</f>
        <v>0.24000000000000005</v>
      </c>
      <c r="E16" s="85">
        <f>SUM(B16:D16)</f>
        <v>0.39300000000000002</v>
      </c>
      <c r="F16" s="76">
        <f>F5*F15</f>
        <v>6</v>
      </c>
      <c r="G16" s="76">
        <f>G5*G15</f>
        <v>22.5</v>
      </c>
      <c r="H16" s="76">
        <f>H5*H15</f>
        <v>25</v>
      </c>
      <c r="I16" s="85">
        <f>SUM(F16:H16)</f>
        <v>53.5</v>
      </c>
      <c r="J16" s="76">
        <f>J5*J15</f>
        <v>36</v>
      </c>
      <c r="K16" s="76">
        <f>K5*K15</f>
        <v>80</v>
      </c>
      <c r="L16" s="76">
        <f>L5*L15</f>
        <v>60</v>
      </c>
      <c r="M16" s="85">
        <f>SUM(J16:L16)</f>
        <v>176</v>
      </c>
      <c r="N16" s="76">
        <f>N5*N15</f>
        <v>360</v>
      </c>
      <c r="O16" s="76">
        <f>O5*O15</f>
        <v>480</v>
      </c>
      <c r="P16" s="76">
        <f>P5*P15</f>
        <v>240</v>
      </c>
      <c r="Q16" s="85">
        <f>SUM(N16:P16)</f>
        <v>1080</v>
      </c>
      <c r="R16" s="76">
        <f>R5*R15</f>
        <v>840</v>
      </c>
      <c r="S16" s="76">
        <f>S5*S15</f>
        <v>750</v>
      </c>
      <c r="T16" s="76">
        <f>T5*T15</f>
        <v>300</v>
      </c>
      <c r="U16" s="85">
        <f>SUM(R16:T16)</f>
        <v>1890</v>
      </c>
    </row>
    <row r="17" spans="1:21" ht="15.95" customHeight="1" x14ac:dyDescent="0.2">
      <c r="A17" s="12" t="s">
        <v>301</v>
      </c>
      <c r="B17" s="67">
        <f>Assumptions!$F$79</f>
        <v>100</v>
      </c>
      <c r="C17" s="67">
        <f>Assumptions!$F$80</f>
        <v>200</v>
      </c>
      <c r="D17" s="67">
        <f>Assumptions!$F$81</f>
        <v>500</v>
      </c>
      <c r="E17" s="87">
        <f>IF(E16=0,0,SUM(B16*B17,C16*C17,D16*D17)/E16)</f>
        <v>378.62595419847338</v>
      </c>
      <c r="F17" s="67">
        <f>Assumptions!$F$79</f>
        <v>100</v>
      </c>
      <c r="G17" s="67">
        <f>Assumptions!$F$80</f>
        <v>200</v>
      </c>
      <c r="H17" s="67">
        <f>Assumptions!$F$81</f>
        <v>500</v>
      </c>
      <c r="I17" s="87">
        <f>IF(I16=0,0,SUM(F16*F17,G16*G17,H16*H17)/I16)</f>
        <v>328.97196261682245</v>
      </c>
      <c r="J17" s="67">
        <f>Assumptions!$F$79</f>
        <v>100</v>
      </c>
      <c r="K17" s="67">
        <f>Assumptions!$F$80</f>
        <v>200</v>
      </c>
      <c r="L17" s="67">
        <f>Assumptions!$F$81</f>
        <v>500</v>
      </c>
      <c r="M17" s="87">
        <f>IF(M16=0,0,SUM(J16*J17,K16*K17,L16*L17)/M16)</f>
        <v>281.81818181818181</v>
      </c>
      <c r="N17" s="67">
        <f>Assumptions!$F$79</f>
        <v>100</v>
      </c>
      <c r="O17" s="67">
        <f>Assumptions!$F$80</f>
        <v>200</v>
      </c>
      <c r="P17" s="67">
        <f>Assumptions!$F$81</f>
        <v>500</v>
      </c>
      <c r="Q17" s="87">
        <f>IF(Q16=0,0,SUM(N16*N17,O16*O17,P16*P17)/Q16)</f>
        <v>233.33333333333334</v>
      </c>
      <c r="R17" s="67">
        <f>Assumptions!$F$79</f>
        <v>100</v>
      </c>
      <c r="S17" s="67">
        <f>Assumptions!$F$80</f>
        <v>200</v>
      </c>
      <c r="T17" s="67">
        <f>Assumptions!$F$81</f>
        <v>500</v>
      </c>
      <c r="U17" s="87">
        <f>IF(U16=0,0,SUM(R16*R17,S16*S17,T16*T17)/U16)</f>
        <v>203.17460317460316</v>
      </c>
    </row>
    <row r="18" spans="1:21" ht="15.95" customHeight="1" x14ac:dyDescent="0.2">
      <c r="A18" s="12" t="s">
        <v>302</v>
      </c>
      <c r="B18" s="56">
        <f>B16*B17</f>
        <v>1.7999999999999998</v>
      </c>
      <c r="C18" s="56">
        <f>C16*C17</f>
        <v>27</v>
      </c>
      <c r="D18" s="56">
        <f>D16*D17</f>
        <v>120.00000000000003</v>
      </c>
      <c r="E18" s="87">
        <f t="shared" ref="E18:E24" si="0">SUM(B18:D18)</f>
        <v>148.80000000000004</v>
      </c>
      <c r="F18" s="56">
        <f>F16*F17</f>
        <v>600</v>
      </c>
      <c r="G18" s="56">
        <f>G16*G17</f>
        <v>4500</v>
      </c>
      <c r="H18" s="56">
        <f>H16*H17</f>
        <v>12500</v>
      </c>
      <c r="I18" s="87">
        <f t="shared" ref="I18:I24" si="1">SUM(F18:H18)</f>
        <v>17600</v>
      </c>
      <c r="J18" s="56">
        <f>J16*J17</f>
        <v>3600</v>
      </c>
      <c r="K18" s="56">
        <f>K16*K17</f>
        <v>16000</v>
      </c>
      <c r="L18" s="56">
        <f>L16*L17</f>
        <v>30000</v>
      </c>
      <c r="M18" s="87">
        <f t="shared" ref="M18:M24" si="2">SUM(J18:L18)</f>
        <v>49600</v>
      </c>
      <c r="N18" s="56">
        <f>N16*N17</f>
        <v>36000</v>
      </c>
      <c r="O18" s="56">
        <f>O16*O17</f>
        <v>96000</v>
      </c>
      <c r="P18" s="56">
        <f>P16*P17</f>
        <v>120000</v>
      </c>
      <c r="Q18" s="87">
        <f t="shared" ref="Q18:Q24" si="3">SUM(N18:P18)</f>
        <v>252000</v>
      </c>
      <c r="R18" s="56">
        <f>R16*R17</f>
        <v>84000</v>
      </c>
      <c r="S18" s="56">
        <f>S16*S17</f>
        <v>150000</v>
      </c>
      <c r="T18" s="56">
        <f>T16*T17</f>
        <v>150000</v>
      </c>
      <c r="U18" s="87">
        <f t="shared" ref="U18:U24" si="4">SUM(R18:T18)</f>
        <v>384000</v>
      </c>
    </row>
    <row r="19" spans="1:21" ht="15.95" customHeight="1" x14ac:dyDescent="0.2">
      <c r="A19" s="12" t="s">
        <v>303</v>
      </c>
      <c r="B19" s="67">
        <f>B5*Assumptions!$F$82</f>
        <v>1.3499999999999999</v>
      </c>
      <c r="C19" s="67">
        <f>C5*Assumptions!$F$83</f>
        <v>13.5</v>
      </c>
      <c r="D19" s="67">
        <f>D5*Assumptions!$F$84</f>
        <v>180.00000000000003</v>
      </c>
      <c r="E19" s="87">
        <f t="shared" si="0"/>
        <v>194.85000000000002</v>
      </c>
      <c r="F19" s="67">
        <f>F5*Assumptions!$F$82</f>
        <v>450</v>
      </c>
      <c r="G19" s="67">
        <f>G5*Assumptions!$F$83</f>
        <v>2250</v>
      </c>
      <c r="H19" s="67">
        <f>H5*Assumptions!$F$84</f>
        <v>18750</v>
      </c>
      <c r="I19" s="87">
        <f t="shared" si="1"/>
        <v>21450</v>
      </c>
      <c r="J19" s="67">
        <f>J5*Assumptions!$F$82</f>
        <v>2700</v>
      </c>
      <c r="K19" s="67">
        <f>K5*Assumptions!$F$83</f>
        <v>8000</v>
      </c>
      <c r="L19" s="67">
        <f>L5*Assumptions!$F$84</f>
        <v>45000</v>
      </c>
      <c r="M19" s="87">
        <f t="shared" si="2"/>
        <v>55700</v>
      </c>
      <c r="N19" s="67">
        <f>N5*Assumptions!$F$82</f>
        <v>27000</v>
      </c>
      <c r="O19" s="67">
        <f>O5*Assumptions!$F$83</f>
        <v>48000</v>
      </c>
      <c r="P19" s="67">
        <f>P5*Assumptions!$F$84</f>
        <v>180000</v>
      </c>
      <c r="Q19" s="87">
        <f t="shared" si="3"/>
        <v>255000</v>
      </c>
      <c r="R19" s="67">
        <f>R5*Assumptions!$F$82</f>
        <v>63000</v>
      </c>
      <c r="S19" s="67">
        <f>S5*Assumptions!$F$83</f>
        <v>75000</v>
      </c>
      <c r="T19" s="67">
        <f>T5*Assumptions!$F$84</f>
        <v>225000</v>
      </c>
      <c r="U19" s="87">
        <f t="shared" si="4"/>
        <v>363000</v>
      </c>
    </row>
    <row r="20" spans="1:21" ht="15.95" customHeight="1" x14ac:dyDescent="0.2">
      <c r="A20" s="12" t="s">
        <v>304</v>
      </c>
      <c r="B20" s="67">
        <f>B5*Assumptions!$F$85</f>
        <v>1.3499999999999999</v>
      </c>
      <c r="C20" s="67">
        <f>C5*Assumptions!$F$86</f>
        <v>27</v>
      </c>
      <c r="D20" s="67">
        <f>D5*Assumptions!$F$87</f>
        <v>180.00000000000003</v>
      </c>
      <c r="E20" s="87">
        <f t="shared" si="0"/>
        <v>208.35000000000002</v>
      </c>
      <c r="F20" s="67">
        <f>F5*Assumptions!$F$85</f>
        <v>450</v>
      </c>
      <c r="G20" s="67">
        <f>G5*Assumptions!$F$86</f>
        <v>4500</v>
      </c>
      <c r="H20" s="67">
        <f>H5*Assumptions!$F$87</f>
        <v>18750</v>
      </c>
      <c r="I20" s="87">
        <f t="shared" si="1"/>
        <v>23700</v>
      </c>
      <c r="J20" s="67">
        <f>J5*Assumptions!$F$85</f>
        <v>2700</v>
      </c>
      <c r="K20" s="67">
        <f>K5*Assumptions!$F$86</f>
        <v>16000</v>
      </c>
      <c r="L20" s="67">
        <f>L5*Assumptions!$F$87</f>
        <v>45000</v>
      </c>
      <c r="M20" s="87">
        <f t="shared" si="2"/>
        <v>63700</v>
      </c>
      <c r="N20" s="67">
        <f>N5*Assumptions!$F$85</f>
        <v>27000</v>
      </c>
      <c r="O20" s="67">
        <f>O5*Assumptions!$F$86</f>
        <v>96000</v>
      </c>
      <c r="P20" s="67">
        <f>P5*Assumptions!$F$87</f>
        <v>180000</v>
      </c>
      <c r="Q20" s="87">
        <f t="shared" si="3"/>
        <v>303000</v>
      </c>
      <c r="R20" s="67">
        <f>R5*Assumptions!$F$85</f>
        <v>63000</v>
      </c>
      <c r="S20" s="67">
        <f>S5*Assumptions!$F$86</f>
        <v>150000</v>
      </c>
      <c r="T20" s="67">
        <f>T5*Assumptions!$F$87</f>
        <v>225000</v>
      </c>
      <c r="U20" s="87">
        <f t="shared" si="4"/>
        <v>438000</v>
      </c>
    </row>
    <row r="21" spans="1:21" ht="15.95" customHeight="1" x14ac:dyDescent="0.2">
      <c r="A21" s="12" t="s">
        <v>305</v>
      </c>
      <c r="B21" s="67">
        <f>B5*Assumptions!$F$88</f>
        <v>0.89999999999999991</v>
      </c>
      <c r="C21" s="67">
        <f>C5*Assumptions!$F$89</f>
        <v>8.1000000000000014</v>
      </c>
      <c r="D21" s="67">
        <f>D5*Assumptions!$F$90</f>
        <v>24.000000000000004</v>
      </c>
      <c r="E21" s="87">
        <f t="shared" si="0"/>
        <v>33.000000000000007</v>
      </c>
      <c r="F21" s="67">
        <f>F5*Assumptions!$F$88</f>
        <v>300</v>
      </c>
      <c r="G21" s="67">
        <f>G5*Assumptions!$F$89</f>
        <v>1350</v>
      </c>
      <c r="H21" s="67">
        <f>H5*Assumptions!$F$90</f>
        <v>2500</v>
      </c>
      <c r="I21" s="87">
        <f t="shared" si="1"/>
        <v>4150</v>
      </c>
      <c r="J21" s="67">
        <f>J5*Assumptions!$F$88</f>
        <v>1800</v>
      </c>
      <c r="K21" s="67">
        <f>K5*Assumptions!$F$89</f>
        <v>4800</v>
      </c>
      <c r="L21" s="67">
        <f>L5*Assumptions!$F$90</f>
        <v>6000</v>
      </c>
      <c r="M21" s="87">
        <f t="shared" si="2"/>
        <v>12600</v>
      </c>
      <c r="N21" s="67">
        <f>N5*Assumptions!$F$88</f>
        <v>18000</v>
      </c>
      <c r="O21" s="67">
        <f>O5*Assumptions!$F$89</f>
        <v>28800</v>
      </c>
      <c r="P21" s="67">
        <f>P5*Assumptions!$F$90</f>
        <v>24000</v>
      </c>
      <c r="Q21" s="87">
        <f t="shared" si="3"/>
        <v>70800</v>
      </c>
      <c r="R21" s="67">
        <f>R5*Assumptions!$F$88</f>
        <v>42000</v>
      </c>
      <c r="S21" s="67">
        <f>S5*Assumptions!$F$89</f>
        <v>45000</v>
      </c>
      <c r="T21" s="67">
        <f>T5*Assumptions!$F$90</f>
        <v>30000</v>
      </c>
      <c r="U21" s="87">
        <f t="shared" si="4"/>
        <v>117000</v>
      </c>
    </row>
    <row r="22" spans="1:21" ht="15.95" customHeight="1" x14ac:dyDescent="0.2">
      <c r="A22" s="12" t="s">
        <v>306</v>
      </c>
      <c r="B22" s="67">
        <f>B16*Assumptions!$F$94</f>
        <v>1.0799999999999998</v>
      </c>
      <c r="C22" s="67">
        <f>C16*Assumptions!$F$95</f>
        <v>16.200000000000003</v>
      </c>
      <c r="D22" s="67">
        <f>D16*Assumptions!$F$96</f>
        <v>84.000000000000014</v>
      </c>
      <c r="E22" s="87">
        <f t="shared" si="0"/>
        <v>101.28000000000002</v>
      </c>
      <c r="F22" s="67">
        <f>F16*Assumptions!$F$94</f>
        <v>360</v>
      </c>
      <c r="G22" s="67">
        <f>G16*Assumptions!$F$95</f>
        <v>2700</v>
      </c>
      <c r="H22" s="67">
        <f>H16*Assumptions!$F$96</f>
        <v>8750</v>
      </c>
      <c r="I22" s="87">
        <f t="shared" si="1"/>
        <v>11810</v>
      </c>
      <c r="J22" s="67">
        <f>J16*Assumptions!$F$94</f>
        <v>2160</v>
      </c>
      <c r="K22" s="67">
        <f>K16*Assumptions!$F$95</f>
        <v>9600</v>
      </c>
      <c r="L22" s="67">
        <f>L16*Assumptions!$F$96</f>
        <v>21000</v>
      </c>
      <c r="M22" s="87">
        <f t="shared" si="2"/>
        <v>32760</v>
      </c>
      <c r="N22" s="67">
        <f>N16*Assumptions!$F$94</f>
        <v>21600</v>
      </c>
      <c r="O22" s="67">
        <f>O16*Assumptions!$F$95</f>
        <v>57600</v>
      </c>
      <c r="P22" s="67">
        <f>P16*Assumptions!$F$96</f>
        <v>84000</v>
      </c>
      <c r="Q22" s="87">
        <f t="shared" si="3"/>
        <v>163200</v>
      </c>
      <c r="R22" s="67">
        <f>R16*Assumptions!$F$94</f>
        <v>50400</v>
      </c>
      <c r="S22" s="67">
        <f>S16*Assumptions!$F$95</f>
        <v>90000</v>
      </c>
      <c r="T22" s="67">
        <f>T16*Assumptions!$F$96</f>
        <v>105000</v>
      </c>
      <c r="U22" s="87">
        <f t="shared" si="4"/>
        <v>245400</v>
      </c>
    </row>
    <row r="23" spans="1:21" ht="15.95" customHeight="1" x14ac:dyDescent="0.2">
      <c r="A23" s="22" t="s">
        <v>307</v>
      </c>
      <c r="B23" s="88">
        <f>SUM(B19:B22)</f>
        <v>4.68</v>
      </c>
      <c r="C23" s="88">
        <f>SUM(C19:C22)</f>
        <v>64.800000000000011</v>
      </c>
      <c r="D23" s="88">
        <f>SUM(D19:D22)</f>
        <v>468.00000000000006</v>
      </c>
      <c r="E23" s="89">
        <f t="shared" si="0"/>
        <v>537.48</v>
      </c>
      <c r="F23" s="88">
        <f>SUM(F19:F22)</f>
        <v>1560</v>
      </c>
      <c r="G23" s="88">
        <f>SUM(G19:G22)</f>
        <v>10800</v>
      </c>
      <c r="H23" s="88">
        <f>SUM(H19:H22)</f>
        <v>48750</v>
      </c>
      <c r="I23" s="89">
        <f t="shared" si="1"/>
        <v>61110</v>
      </c>
      <c r="J23" s="88">
        <f>SUM(J19:J22)</f>
        <v>9360</v>
      </c>
      <c r="K23" s="88">
        <f>SUM(K19:K22)</f>
        <v>38400</v>
      </c>
      <c r="L23" s="88">
        <f>SUM(L19:L22)</f>
        <v>117000</v>
      </c>
      <c r="M23" s="89">
        <f t="shared" si="2"/>
        <v>164760</v>
      </c>
      <c r="N23" s="88">
        <f>SUM(N19:N22)</f>
        <v>93600</v>
      </c>
      <c r="O23" s="88">
        <f>SUM(O19:O22)</f>
        <v>230400</v>
      </c>
      <c r="P23" s="88">
        <f>SUM(P19:P22)</f>
        <v>468000</v>
      </c>
      <c r="Q23" s="89">
        <f t="shared" si="3"/>
        <v>792000</v>
      </c>
      <c r="R23" s="88">
        <f>SUM(R19:R22)</f>
        <v>218400</v>
      </c>
      <c r="S23" s="88">
        <f>SUM(S19:S22)</f>
        <v>360000</v>
      </c>
      <c r="T23" s="88">
        <f>SUM(T19:T22)</f>
        <v>585000</v>
      </c>
      <c r="U23" s="89">
        <f t="shared" si="4"/>
        <v>1163400</v>
      </c>
    </row>
    <row r="24" spans="1:21" ht="15.95" customHeight="1" x14ac:dyDescent="0.2">
      <c r="A24" s="22" t="s">
        <v>308</v>
      </c>
      <c r="B24" s="88">
        <f>SUM(B12,B14,B18)</f>
        <v>139.04999999999998</v>
      </c>
      <c r="C24" s="88">
        <f>SUM(C12,C14,C18)</f>
        <v>756</v>
      </c>
      <c r="D24" s="88">
        <f>SUM(D12,D14,D18)</f>
        <v>1560.0000000000002</v>
      </c>
      <c r="E24" s="89">
        <f t="shared" si="0"/>
        <v>2455.0500000000002</v>
      </c>
      <c r="F24" s="88">
        <f>SUM(F12,F14,F18)</f>
        <v>50550</v>
      </c>
      <c r="G24" s="88">
        <f>SUM(G12,G14,G18)</f>
        <v>134100</v>
      </c>
      <c r="H24" s="88">
        <f>SUM(H12,H14,H18)</f>
        <v>168125</v>
      </c>
      <c r="I24" s="89">
        <f t="shared" si="1"/>
        <v>352775</v>
      </c>
      <c r="J24" s="88">
        <f>SUM(J12,J14,J18)</f>
        <v>331020.00000000006</v>
      </c>
      <c r="K24" s="88">
        <f>SUM(K12,K14,K18)</f>
        <v>507904</v>
      </c>
      <c r="L24" s="88">
        <f>SUM(L12,L14,L18)</f>
        <v>417675</v>
      </c>
      <c r="M24" s="89">
        <f t="shared" si="2"/>
        <v>1256599</v>
      </c>
      <c r="N24" s="88">
        <f>SUM(N12,N14,N18)</f>
        <v>3615120.0000000009</v>
      </c>
      <c r="O24" s="88">
        <f>SUM(O12,O14,O18)</f>
        <v>3248977.9200000009</v>
      </c>
      <c r="P24" s="88">
        <f>SUM(P12,P14,P18)</f>
        <v>1730235.0000000002</v>
      </c>
      <c r="Q24" s="89">
        <f t="shared" si="3"/>
        <v>8594332.9200000018</v>
      </c>
      <c r="R24" s="88">
        <f>SUM(R12,R14,R18)</f>
        <v>9217908.0000000037</v>
      </c>
      <c r="S24" s="88">
        <f>SUM(S12,S14,S18)</f>
        <v>5416650.2400000002</v>
      </c>
      <c r="T24" s="88">
        <f>SUM(T12,T14,T18)</f>
        <v>2240933.4375</v>
      </c>
      <c r="U24" s="89">
        <f t="shared" si="4"/>
        <v>16875491.677500002</v>
      </c>
    </row>
    <row r="25" spans="1:21" ht="15.95" customHeight="1" x14ac:dyDescent="0.2">
      <c r="A25" s="22" t="s">
        <v>309</v>
      </c>
      <c r="B25" s="88">
        <f t="shared" ref="B25:U25" si="5">B24-B23</f>
        <v>134.36999999999998</v>
      </c>
      <c r="C25" s="88">
        <f t="shared" si="5"/>
        <v>691.2</v>
      </c>
      <c r="D25" s="88">
        <f t="shared" si="5"/>
        <v>1092.0000000000002</v>
      </c>
      <c r="E25" s="89">
        <f t="shared" si="5"/>
        <v>1917.5700000000002</v>
      </c>
      <c r="F25" s="88">
        <f t="shared" si="5"/>
        <v>48990</v>
      </c>
      <c r="G25" s="88">
        <f t="shared" si="5"/>
        <v>123300</v>
      </c>
      <c r="H25" s="88">
        <f t="shared" si="5"/>
        <v>119375</v>
      </c>
      <c r="I25" s="89">
        <f t="shared" si="5"/>
        <v>291665</v>
      </c>
      <c r="J25" s="88">
        <f t="shared" si="5"/>
        <v>321660.00000000006</v>
      </c>
      <c r="K25" s="88">
        <f t="shared" si="5"/>
        <v>469504</v>
      </c>
      <c r="L25" s="88">
        <f t="shared" si="5"/>
        <v>300675</v>
      </c>
      <c r="M25" s="89">
        <f t="shared" si="5"/>
        <v>1091839</v>
      </c>
      <c r="N25" s="88">
        <f t="shared" si="5"/>
        <v>3521520.0000000009</v>
      </c>
      <c r="O25" s="88">
        <f t="shared" si="5"/>
        <v>3018577.9200000009</v>
      </c>
      <c r="P25" s="88">
        <f t="shared" si="5"/>
        <v>1262235.0000000002</v>
      </c>
      <c r="Q25" s="89">
        <f t="shared" si="5"/>
        <v>7802332.9200000018</v>
      </c>
      <c r="R25" s="88">
        <f t="shared" si="5"/>
        <v>8999508.0000000037</v>
      </c>
      <c r="S25" s="88">
        <f t="shared" si="5"/>
        <v>5056650.24</v>
      </c>
      <c r="T25" s="88">
        <f t="shared" si="5"/>
        <v>1655933.4375</v>
      </c>
      <c r="U25" s="89">
        <f t="shared" si="5"/>
        <v>15712091.677500002</v>
      </c>
    </row>
    <row r="26" spans="1:21" ht="15.95" customHeight="1" x14ac:dyDescent="0.2">
      <c r="A26" s="12" t="s">
        <v>310</v>
      </c>
      <c r="B26" s="82">
        <f t="shared" ref="B26:U26" si="6">IF(B24=0,0,B25/B24)</f>
        <v>0.96634304207119737</v>
      </c>
      <c r="C26" s="82">
        <f t="shared" si="6"/>
        <v>0.91428571428571437</v>
      </c>
      <c r="D26" s="82">
        <f t="shared" si="6"/>
        <v>0.70000000000000007</v>
      </c>
      <c r="E26" s="84">
        <f t="shared" si="6"/>
        <v>0.78107166860145416</v>
      </c>
      <c r="F26" s="82">
        <f t="shared" si="6"/>
        <v>0.96913946587537092</v>
      </c>
      <c r="G26" s="82">
        <f t="shared" si="6"/>
        <v>0.91946308724832215</v>
      </c>
      <c r="H26" s="82">
        <f t="shared" si="6"/>
        <v>0.71003717472118955</v>
      </c>
      <c r="I26" s="84">
        <f t="shared" si="6"/>
        <v>0.82677343916093826</v>
      </c>
      <c r="J26" s="82">
        <f t="shared" si="6"/>
        <v>0.97172376291462748</v>
      </c>
      <c r="K26" s="82">
        <f t="shared" si="6"/>
        <v>0.92439516129032262</v>
      </c>
      <c r="L26" s="82">
        <f t="shared" si="6"/>
        <v>0.71987789549290715</v>
      </c>
      <c r="M26" s="84">
        <f t="shared" si="6"/>
        <v>0.86888418660209021</v>
      </c>
      <c r="N26" s="82">
        <f t="shared" si="6"/>
        <v>0.97410874327823138</v>
      </c>
      <c r="O26" s="82">
        <f t="shared" si="6"/>
        <v>0.92908539064494478</v>
      </c>
      <c r="P26" s="82">
        <f t="shared" si="6"/>
        <v>0.72951651076298885</v>
      </c>
      <c r="Q26" s="84">
        <f t="shared" si="6"/>
        <v>0.90784625085247461</v>
      </c>
      <c r="R26" s="82">
        <f t="shared" si="6"/>
        <v>0.97630698852711484</v>
      </c>
      <c r="S26" s="82">
        <f t="shared" si="6"/>
        <v>0.93353825998556628</v>
      </c>
      <c r="T26" s="82">
        <f t="shared" si="6"/>
        <v>0.73894806949168923</v>
      </c>
      <c r="U26" s="84">
        <f t="shared" si="6"/>
        <v>0.93105978645047982</v>
      </c>
    </row>
    <row r="27" spans="1:21" ht="15.95" customHeight="1" x14ac:dyDescent="0.2">
      <c r="A27" s="12" t="s">
        <v>311</v>
      </c>
      <c r="B27" s="68">
        <f>B4*Assumptions!$F$97</f>
        <v>0.15</v>
      </c>
      <c r="C27" s="68">
        <f>C4*Assumptions!$F$98</f>
        <v>1.35</v>
      </c>
      <c r="D27" s="68">
        <f>D4*Assumptions!$F$99</f>
        <v>2</v>
      </c>
      <c r="E27" s="86">
        <f>SUM(B27:D27)</f>
        <v>3.5</v>
      </c>
      <c r="F27" s="68">
        <f>F4*Assumptions!$F$97</f>
        <v>0.3</v>
      </c>
      <c r="G27" s="68">
        <f>G4*Assumptions!$F$98</f>
        <v>1.35</v>
      </c>
      <c r="H27" s="68">
        <f>H4*Assumptions!$F$99</f>
        <v>1.25</v>
      </c>
      <c r="I27" s="86">
        <f>SUM(F27:H27)</f>
        <v>2.9000000000000004</v>
      </c>
      <c r="J27" s="68">
        <f>J4*Assumptions!$F$97</f>
        <v>0.45</v>
      </c>
      <c r="K27" s="68">
        <f>K4*Assumptions!$F$98</f>
        <v>1.2000000000000002</v>
      </c>
      <c r="L27" s="68">
        <f>L4*Assumptions!$F$99</f>
        <v>0.75</v>
      </c>
      <c r="M27" s="86">
        <f>SUM(J27:L27)</f>
        <v>2.4000000000000004</v>
      </c>
      <c r="N27" s="68">
        <f>N4*Assumptions!$F$97</f>
        <v>0.6</v>
      </c>
      <c r="O27" s="68">
        <f>O4*Assumptions!$F$98</f>
        <v>0.96</v>
      </c>
      <c r="P27" s="68">
        <f>P4*Assumptions!$F$99</f>
        <v>0.4</v>
      </c>
      <c r="Q27" s="86">
        <f>SUM(N27:P27)</f>
        <v>1.96</v>
      </c>
      <c r="R27" s="68">
        <f>R4*Assumptions!$F$97</f>
        <v>0.7</v>
      </c>
      <c r="S27" s="68">
        <f>S4*Assumptions!$F$98</f>
        <v>0.75</v>
      </c>
      <c r="T27" s="68">
        <f>T4*Assumptions!$F$99</f>
        <v>0.25</v>
      </c>
      <c r="U27" s="86">
        <f>SUM(R27:T27)</f>
        <v>1.7</v>
      </c>
    </row>
    <row r="28" spans="1:21" ht="15.95" customHeight="1" x14ac:dyDescent="0.2">
      <c r="A28" s="12" t="s">
        <v>312</v>
      </c>
      <c r="B28" s="68">
        <f>Assumptions!$F$100</f>
        <v>0.05</v>
      </c>
      <c r="C28" s="68">
        <f>Assumptions!$F$101</f>
        <v>0.5</v>
      </c>
      <c r="D28" s="68">
        <f>Assumptions!$F$102</f>
        <v>7</v>
      </c>
      <c r="E28" s="86">
        <f>IF(E5=0,0,SUM(B5*B28,C5*C28,D5*D28)/E5)</f>
        <v>3.0325000000000006</v>
      </c>
      <c r="F28" s="68">
        <f>Assumptions!$F$100</f>
        <v>0.05</v>
      </c>
      <c r="G28" s="68">
        <f>Assumptions!$F$101</f>
        <v>0.5</v>
      </c>
      <c r="H28" s="68">
        <f>Assumptions!$F$102</f>
        <v>7</v>
      </c>
      <c r="I28" s="86">
        <f>IF(I5=0,0,SUM(F5*F28,G5*G28,H5*H28)/I5)</f>
        <v>1.99</v>
      </c>
      <c r="J28" s="68">
        <f>Assumptions!$F$100</f>
        <v>0.05</v>
      </c>
      <c r="K28" s="68">
        <f>Assumptions!$F$101</f>
        <v>0.5</v>
      </c>
      <c r="L28" s="68">
        <f>Assumptions!$F$102</f>
        <v>7</v>
      </c>
      <c r="M28" s="86">
        <f>IF(M5=0,0,SUM(J5*J28,K5*K28,L5*L28)/M5)</f>
        <v>1.2725</v>
      </c>
      <c r="N28" s="68">
        <f>Assumptions!$F$100</f>
        <v>0.05</v>
      </c>
      <c r="O28" s="68">
        <f>Assumptions!$F$101</f>
        <v>0.5</v>
      </c>
      <c r="P28" s="68">
        <f>Assumptions!$F$102</f>
        <v>7</v>
      </c>
      <c r="Q28" s="86">
        <f>IF(Q5=0,0,SUM(N5*N28,O5*O28,P5*P28)/Q5)</f>
        <v>0.75</v>
      </c>
      <c r="R28" s="68">
        <f>Assumptions!$F$100</f>
        <v>0.05</v>
      </c>
      <c r="S28" s="68">
        <f>Assumptions!$F$101</f>
        <v>0.5</v>
      </c>
      <c r="T28" s="68">
        <f>Assumptions!$F$102</f>
        <v>7</v>
      </c>
      <c r="U28" s="86">
        <f>IF(U5=0,0,SUM(R5*R28,S5*S28,T5*T28)/U5)</f>
        <v>0.51</v>
      </c>
    </row>
    <row r="29" spans="1:21" ht="15.95" customHeight="1" x14ac:dyDescent="0.2">
      <c r="A29" s="12" t="s">
        <v>313</v>
      </c>
      <c r="B29" s="18"/>
      <c r="C29" s="18"/>
      <c r="D29" s="18"/>
      <c r="E29" s="18" t="str">
        <f>IF(ABS(E4-1)&lt;0.0001,"OK","CHECK MIX")</f>
        <v>OK</v>
      </c>
      <c r="F29" s="18"/>
      <c r="G29" s="18"/>
      <c r="H29" s="18"/>
      <c r="I29" s="18" t="str">
        <f>IF(ABS(I4-1)&lt;0.0001,"OK","CHECK MIX")</f>
        <v>OK</v>
      </c>
      <c r="J29" s="18"/>
      <c r="K29" s="18"/>
      <c r="L29" s="18"/>
      <c r="M29" s="18" t="str">
        <f>IF(ABS(M4-1)&lt;0.0001,"OK","CHECK MIX")</f>
        <v>OK</v>
      </c>
      <c r="N29" s="18"/>
      <c r="O29" s="18"/>
      <c r="P29" s="18"/>
      <c r="Q29" s="18" t="str">
        <f>IF(ABS(Q4-1)&lt;0.0001,"OK","CHECK MIX")</f>
        <v>OK</v>
      </c>
      <c r="R29" s="18"/>
      <c r="S29" s="18"/>
      <c r="T29" s="18"/>
      <c r="U29" s="18" t="str">
        <f>IF(ABS(U4-1)&lt;0.0001,"OK","CHECK MIX")</f>
        <v>OK</v>
      </c>
    </row>
    <row r="30" spans="1:21" ht="27.95" customHeight="1" x14ac:dyDescent="0.2">
      <c r="A30" s="12" t="s">
        <v>314</v>
      </c>
      <c r="B30" s="32" t="s">
        <v>315</v>
      </c>
      <c r="C30" s="32" t="s">
        <v>316</v>
      </c>
      <c r="D30" s="32" t="s">
        <v>317</v>
      </c>
      <c r="E30" s="32" t="s">
        <v>318</v>
      </c>
      <c r="F30" s="32" t="s">
        <v>315</v>
      </c>
      <c r="G30" s="32" t="s">
        <v>316</v>
      </c>
      <c r="H30" s="32" t="s">
        <v>317</v>
      </c>
      <c r="I30" s="32" t="s">
        <v>318</v>
      </c>
      <c r="J30" s="32" t="s">
        <v>315</v>
      </c>
      <c r="K30" s="32" t="s">
        <v>316</v>
      </c>
      <c r="L30" s="32" t="s">
        <v>317</v>
      </c>
      <c r="M30" s="32" t="s">
        <v>318</v>
      </c>
      <c r="N30" s="32" t="s">
        <v>315</v>
      </c>
      <c r="O30" s="32" t="s">
        <v>316</v>
      </c>
      <c r="P30" s="32" t="s">
        <v>317</v>
      </c>
      <c r="Q30" s="32" t="s">
        <v>318</v>
      </c>
      <c r="R30" s="32" t="s">
        <v>315</v>
      </c>
      <c r="S30" s="32" t="s">
        <v>316</v>
      </c>
      <c r="T30" s="32" t="s">
        <v>317</v>
      </c>
      <c r="U30" s="32" t="s">
        <v>318</v>
      </c>
    </row>
    <row r="31" spans="1:21" ht="12" customHeight="1" x14ac:dyDescent="0.2"/>
    <row r="32" spans="1:21" ht="21" customHeight="1" x14ac:dyDescent="0.2">
      <c r="A32" s="151" t="s">
        <v>319</v>
      </c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 t="s">
        <v>237</v>
      </c>
      <c r="R32" s="151"/>
      <c r="S32" s="151"/>
      <c r="T32" s="151"/>
      <c r="U32" s="151"/>
    </row>
    <row r="33" spans="1:21" ht="30" customHeight="1" x14ac:dyDescent="0.2">
      <c r="A33" s="173" t="s">
        <v>320</v>
      </c>
      <c r="B33" s="159"/>
      <c r="C33" s="159"/>
      <c r="D33" s="159"/>
      <c r="E33" s="159"/>
      <c r="F33" s="159"/>
      <c r="G33" s="159"/>
      <c r="H33" s="159"/>
      <c r="I33" s="159"/>
      <c r="J33" s="159"/>
      <c r="K33" s="159"/>
      <c r="L33" s="159"/>
      <c r="M33" s="159"/>
      <c r="N33" s="159"/>
      <c r="O33" s="159"/>
      <c r="P33" s="159"/>
      <c r="Q33" s="172" t="s">
        <v>321</v>
      </c>
      <c r="R33" s="159"/>
      <c r="S33" s="159"/>
      <c r="T33" s="159"/>
      <c r="U33" s="159"/>
    </row>
    <row r="34" spans="1:21" ht="30" customHeight="1" x14ac:dyDescent="0.2">
      <c r="A34" s="173" t="s">
        <v>322</v>
      </c>
      <c r="B34" s="159"/>
      <c r="C34" s="159"/>
      <c r="D34" s="159"/>
      <c r="E34" s="159"/>
      <c r="F34" s="159"/>
      <c r="G34" s="159"/>
      <c r="H34" s="159"/>
      <c r="I34" s="159"/>
      <c r="J34" s="159"/>
      <c r="K34" s="159"/>
      <c r="L34" s="159"/>
      <c r="M34" s="159"/>
      <c r="N34" s="159"/>
      <c r="O34" s="159"/>
      <c r="P34" s="159"/>
      <c r="Q34" s="172" t="s">
        <v>323</v>
      </c>
      <c r="R34" s="159"/>
      <c r="S34" s="159"/>
      <c r="T34" s="159"/>
      <c r="U34" s="159"/>
    </row>
    <row r="35" spans="1:21" ht="30" customHeight="1" x14ac:dyDescent="0.2">
      <c r="A35" s="173" t="s">
        <v>324</v>
      </c>
      <c r="B35" s="159"/>
      <c r="C35" s="159"/>
      <c r="D35" s="159"/>
      <c r="E35" s="159"/>
      <c r="F35" s="159"/>
      <c r="G35" s="159"/>
      <c r="H35" s="159"/>
      <c r="I35" s="159"/>
      <c r="J35" s="159"/>
      <c r="K35" s="159"/>
      <c r="L35" s="159"/>
      <c r="M35" s="159"/>
      <c r="N35" s="159"/>
      <c r="O35" s="159"/>
      <c r="P35" s="159"/>
      <c r="Q35" s="172" t="s">
        <v>325</v>
      </c>
      <c r="R35" s="159"/>
      <c r="S35" s="159"/>
      <c r="T35" s="159"/>
      <c r="U35" s="159"/>
    </row>
  </sheetData>
  <mergeCells count="9">
    <mergeCell ref="A34:P34"/>
    <mergeCell ref="Q34:U34"/>
    <mergeCell ref="A35:P35"/>
    <mergeCell ref="Q35:U35"/>
    <mergeCell ref="A1:M1"/>
    <mergeCell ref="A32:P32"/>
    <mergeCell ref="Q32:U32"/>
    <mergeCell ref="A33:P33"/>
    <mergeCell ref="Q33:U3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6F4E"/>
  </sheetPr>
  <dimension ref="A1:G48"/>
  <sheetViews>
    <sheetView showGridLines="0" workbookViewId="0">
      <selection sqref="A1:E1"/>
    </sheetView>
  </sheetViews>
  <sheetFormatPr defaultColWidth="8.5703125" defaultRowHeight="12.75" x14ac:dyDescent="0.2"/>
  <cols>
    <col min="1" max="1" width="46" customWidth="1"/>
    <col min="2" max="6" width="15" customWidth="1"/>
    <col min="7" max="7" width="66" customWidth="1"/>
  </cols>
  <sheetData>
    <row r="1" spans="1:7" ht="27.95" customHeight="1" x14ac:dyDescent="0.2">
      <c r="A1" s="169" t="s">
        <v>326</v>
      </c>
      <c r="B1" s="174"/>
      <c r="C1" s="174"/>
      <c r="D1" s="174"/>
      <c r="E1" s="174"/>
      <c r="F1" s="2"/>
      <c r="G1" s="2"/>
    </row>
    <row r="2" spans="1:7" ht="9.9499999999999993" customHeight="1" x14ac:dyDescent="0.2">
      <c r="A2" s="42"/>
      <c r="B2" s="42"/>
      <c r="C2" s="42"/>
      <c r="D2" s="42"/>
      <c r="E2" s="42"/>
    </row>
    <row r="3" spans="1:7" ht="21.95" customHeight="1" x14ac:dyDescent="0.2">
      <c r="A3" s="10" t="s">
        <v>327</v>
      </c>
      <c r="B3" s="9" t="s">
        <v>185</v>
      </c>
      <c r="C3" s="9" t="s">
        <v>186</v>
      </c>
      <c r="D3" s="9" t="s">
        <v>187</v>
      </c>
      <c r="E3" s="9" t="s">
        <v>188</v>
      </c>
      <c r="F3" s="9" t="s">
        <v>189</v>
      </c>
      <c r="G3" s="10" t="s">
        <v>328</v>
      </c>
    </row>
    <row r="4" spans="1:7" ht="20.100000000000001" customHeight="1" x14ac:dyDescent="0.2">
      <c r="A4" s="5" t="s">
        <v>329</v>
      </c>
      <c r="B4" s="5"/>
      <c r="C4" s="5"/>
      <c r="D4" s="5"/>
      <c r="E4" s="5"/>
      <c r="F4" s="5"/>
      <c r="G4" s="5"/>
    </row>
    <row r="5" spans="1:7" ht="15.95" customHeight="1" x14ac:dyDescent="0.2">
      <c r="A5" s="12" t="s">
        <v>330</v>
      </c>
      <c r="B5" s="67">
        <f>IFERROR(ROUND(-'P&amp;L 5yr'!C70*('P&amp;L 5yr'!C14/'P&amp;L 5yr'!C7)*Assumptions!$F$112,0),0)</f>
        <v>-302</v>
      </c>
      <c r="C5" s="67">
        <f>IFERROR(ROUND(-MAX(0,'P&amp;L 5yr'!D70-'P&amp;L 5yr'!C70)*('P&amp;L 5yr'!D14/'P&amp;L 5yr'!D7)*Assumptions!$F$112,0),0)</f>
        <v>-33936</v>
      </c>
      <c r="D5" s="67">
        <f>IFERROR(ROUND(-MAX(0,'P&amp;L 5yr'!E70-'P&amp;L 5yr'!D70)*('P&amp;L 5yr'!E14/'P&amp;L 5yr'!E7)*Assumptions!$F$112,0),0)</f>
        <v>-53255</v>
      </c>
      <c r="E5" s="67">
        <f>IFERROR(ROUND(-MAX(0,'P&amp;L 5yr'!F70-'P&amp;L 5yr'!E70)*('P&amp;L 5yr'!F14/'P&amp;L 5yr'!F7)*Assumptions!$F$112,0),0)</f>
        <v>-376441</v>
      </c>
      <c r="F5" s="67">
        <f>IFERROR(ROUND(-MAX(0,'P&amp;L 5yr'!G70-'P&amp;L 5yr'!F70)*('P&amp;L 5yr'!G14/'P&amp;L 5yr'!G7)*Assumptions!$F$112,0),0)</f>
        <v>-278278</v>
      </c>
      <c r="G5" s="32"/>
    </row>
    <row r="6" spans="1:7" ht="15.95" customHeight="1" x14ac:dyDescent="0.2">
      <c r="A6" s="12" t="s">
        <v>331</v>
      </c>
      <c r="B6" s="67">
        <f>ROUND('Tier Economics'!C5*Assumptions!$F$113*Assumptions!$F$115+'Tier Economics'!D5*Assumptions!$F$114*Assumptions!$F$116,0)</f>
        <v>92</v>
      </c>
      <c r="C6" s="67">
        <f>ROUND('Tier Economics'!G5*Assumptions!$F$113*Assumptions!$F$115+'Tier Economics'!H5*Assumptions!$F$114*Assumptions!$F$116,0)</f>
        <v>10875</v>
      </c>
      <c r="D6" s="67">
        <f>ROUND('Tier Economics'!K5*Assumptions!$F$113*Assumptions!$F$115+'Tier Economics'!L5*Assumptions!$F$114*Assumptions!$F$116,0)</f>
        <v>30000</v>
      </c>
      <c r="E6" s="67">
        <f>ROUND('Tier Economics'!O5*Assumptions!$F$113*Assumptions!$F$115+'Tier Economics'!P5*Assumptions!$F$114*Assumptions!$F$116,0)</f>
        <v>144000</v>
      </c>
      <c r="F6" s="67">
        <f>ROUND('Tier Economics'!S5*Assumptions!$F$113*Assumptions!$F$115+'Tier Economics'!T5*Assumptions!$F$114*Assumptions!$F$116,0)</f>
        <v>202500</v>
      </c>
      <c r="G6" s="32"/>
    </row>
    <row r="7" spans="1:7" ht="15.95" customHeight="1" x14ac:dyDescent="0.2">
      <c r="A7" s="12" t="s">
        <v>332</v>
      </c>
      <c r="B7" s="67">
        <f>ROUND('P&amp;L 5yr'!C11*Assumptions!$F$117,0)</f>
        <v>45</v>
      </c>
      <c r="C7" s="67">
        <f>ROUND('P&amp;L 5yr'!D11*Assumptions!$F$117,0)</f>
        <v>7500</v>
      </c>
      <c r="D7" s="67">
        <f>ROUND('P&amp;L 5yr'!E11*Assumptions!$F$117,0)</f>
        <v>30000</v>
      </c>
      <c r="E7" s="67">
        <f>ROUND('P&amp;L 5yr'!F11*Assumptions!$F$117,0)</f>
        <v>225000</v>
      </c>
      <c r="F7" s="67">
        <f>ROUND('P&amp;L 5yr'!G11*Assumptions!$F$117,0)</f>
        <v>450000</v>
      </c>
      <c r="G7" s="32" t="s">
        <v>333</v>
      </c>
    </row>
    <row r="8" spans="1:7" ht="15.95" customHeight="1" x14ac:dyDescent="0.2">
      <c r="A8" s="12" t="s">
        <v>334</v>
      </c>
      <c r="B8" s="67">
        <f>ROUND('Tier Economics'!D19*Assumptions!$F$118,0)</f>
        <v>36</v>
      </c>
      <c r="C8" s="67">
        <f>ROUND('Tier Economics'!H19*Assumptions!$F$118,0)</f>
        <v>3750</v>
      </c>
      <c r="D8" s="67">
        <f>ROUND('Tier Economics'!L19*Assumptions!$F$118,0)</f>
        <v>9000</v>
      </c>
      <c r="E8" s="67">
        <f>ROUND('Tier Economics'!P19*Assumptions!$F$118,0)</f>
        <v>36000</v>
      </c>
      <c r="F8" s="67">
        <f>ROUND('Tier Economics'!T19*Assumptions!$F$118,0)</f>
        <v>45000</v>
      </c>
      <c r="G8" s="32"/>
    </row>
    <row r="9" spans="1:7" ht="15.95" customHeight="1" x14ac:dyDescent="0.2">
      <c r="A9" s="12" t="s">
        <v>335</v>
      </c>
      <c r="B9" s="67">
        <f>ROUND('Tier Economics'!D5*Assumptions!$F$119,0)</f>
        <v>90</v>
      </c>
      <c r="C9" s="67">
        <f>ROUND('Tier Economics'!H5*Assumptions!$F$119,0)</f>
        <v>9375</v>
      </c>
      <c r="D9" s="67">
        <f>ROUND('Tier Economics'!L5*Assumptions!$F$119,0)</f>
        <v>22500</v>
      </c>
      <c r="E9" s="67">
        <f>ROUND('Tier Economics'!P5*Assumptions!$F$119,0)</f>
        <v>90000</v>
      </c>
      <c r="F9" s="67">
        <f>ROUND('Tier Economics'!T5*Assumptions!$F$119,0)</f>
        <v>112500</v>
      </c>
      <c r="G9" s="32"/>
    </row>
    <row r="10" spans="1:7" ht="15.95" customHeight="1" x14ac:dyDescent="0.2">
      <c r="A10" s="12" t="s">
        <v>336</v>
      </c>
      <c r="B10" s="67">
        <f>ROUND('P&amp;L 5yr'!C12*Assumptions!$F$121*Assumptions!$F$120,0)</f>
        <v>24</v>
      </c>
      <c r="C10" s="67">
        <f>ROUND('P&amp;L 5yr'!D12*Assumptions!$F$121*Assumptions!$F$120,0)</f>
        <v>3210</v>
      </c>
      <c r="D10" s="67">
        <f>ROUND('P&amp;L 5yr'!E12*Assumptions!$F$121*Assumptions!$F$120,0)</f>
        <v>10560</v>
      </c>
      <c r="E10" s="67">
        <f>ROUND('P&amp;L 5yr'!F12*Assumptions!$F$121*Assumptions!$F$120,0)</f>
        <v>64800</v>
      </c>
      <c r="F10" s="67">
        <f>ROUND('P&amp;L 5yr'!G12*Assumptions!$F$121*Assumptions!$F$120,0)</f>
        <v>113400</v>
      </c>
      <c r="G10" s="32"/>
    </row>
    <row r="11" spans="1:7" ht="15.95" customHeight="1" x14ac:dyDescent="0.2">
      <c r="A11" s="12" t="s">
        <v>337</v>
      </c>
      <c r="B11" s="56">
        <f>ROUND(0,0)</f>
        <v>0</v>
      </c>
      <c r="C11" s="67">
        <f>ROUND(Assumptions!$F$14*Assumptions!$F$122,0)</f>
        <v>22500</v>
      </c>
      <c r="D11" s="67">
        <f>ROUND(MAX(0,Assumptions!$F$110-Assumptions!$F$14)*Assumptions!$F$122,0)</f>
        <v>22500</v>
      </c>
      <c r="E11" s="67">
        <f>ROUND(MAX(0,Assumptions!$F$155-Assumptions!$F$110)*Assumptions!$F$122,0)</f>
        <v>30000</v>
      </c>
      <c r="F11" s="67">
        <f>ROUND(MAX(0,Assumptions!$F$156-Assumptions!$F$155)*Assumptions!$F$122,0)</f>
        <v>60000</v>
      </c>
      <c r="G11" s="32" t="s">
        <v>338</v>
      </c>
    </row>
    <row r="12" spans="1:7" ht="15.95" customHeight="1" x14ac:dyDescent="0.2">
      <c r="A12" s="12" t="s">
        <v>339</v>
      </c>
      <c r="B12" s="56">
        <f>ROUND(0,0)</f>
        <v>0</v>
      </c>
      <c r="C12" s="67">
        <f>ROUND(Assumptions!$F$14*Assumptions!$F$123*12,0)</f>
        <v>27000</v>
      </c>
      <c r="D12" s="67">
        <f>ROUND(Assumptions!$F$110*Assumptions!$F$123*12,0)</f>
        <v>54000</v>
      </c>
      <c r="E12" s="67">
        <f>ROUND(Assumptions!$F$155*Assumptions!$F$123*12,0)</f>
        <v>90000</v>
      </c>
      <c r="F12" s="67">
        <f>ROUND(Assumptions!$F$156*Assumptions!$F$123*12,0)</f>
        <v>162000</v>
      </c>
      <c r="G12" s="32" t="s">
        <v>340</v>
      </c>
    </row>
    <row r="13" spans="1:7" ht="15.95" customHeight="1" x14ac:dyDescent="0.2">
      <c r="A13" s="12" t="s">
        <v>341</v>
      </c>
      <c r="B13" s="67">
        <f>ROUND('P&amp;L 5yr'!C7*Assumptions!$F$124,0)</f>
        <v>9</v>
      </c>
      <c r="C13" s="67">
        <f>ROUND('P&amp;L 5yr'!D7*Assumptions!$F$124,0)</f>
        <v>1500</v>
      </c>
      <c r="D13" s="67">
        <f>ROUND('P&amp;L 5yr'!E7*Assumptions!$F$124,0)</f>
        <v>6000</v>
      </c>
      <c r="E13" s="67">
        <f>ROUND('P&amp;L 5yr'!F7*Assumptions!$F$124,0)</f>
        <v>45000</v>
      </c>
      <c r="F13" s="67">
        <f>ROUND('P&amp;L 5yr'!G7*Assumptions!$F$124,0)</f>
        <v>90000</v>
      </c>
      <c r="G13" s="32"/>
    </row>
    <row r="14" spans="1:7" ht="15.95" customHeight="1" x14ac:dyDescent="0.2">
      <c r="A14" s="12"/>
      <c r="B14" s="15"/>
      <c r="C14" s="15"/>
      <c r="D14" s="15"/>
      <c r="E14" s="15"/>
      <c r="F14" s="15"/>
      <c r="G14" s="32"/>
    </row>
    <row r="15" spans="1:7" ht="18" customHeight="1" x14ac:dyDescent="0.2">
      <c r="A15" s="24" t="s">
        <v>342</v>
      </c>
      <c r="B15" s="92">
        <f>ROUND(SUM(B5:B14),0)</f>
        <v>-6</v>
      </c>
      <c r="C15" s="92">
        <f>ROUND(SUM(C5:C14),0)</f>
        <v>51774</v>
      </c>
      <c r="D15" s="92">
        <f>ROUND(SUM(D5:D14),0)</f>
        <v>131305</v>
      </c>
      <c r="E15" s="92">
        <f>ROUND(SUM(E5:E14),0)</f>
        <v>348359</v>
      </c>
      <c r="F15" s="92">
        <f>ROUND(SUM(F5:F14),0)</f>
        <v>957122</v>
      </c>
      <c r="G15" s="92"/>
    </row>
    <row r="16" spans="1:7" ht="9" customHeight="1" x14ac:dyDescent="0.2">
      <c r="A16" s="42"/>
      <c r="B16" s="62"/>
      <c r="C16" s="62"/>
      <c r="D16" s="62"/>
      <c r="E16" s="62"/>
      <c r="F16" s="62"/>
      <c r="G16" s="62"/>
    </row>
    <row r="17" spans="1:7" ht="20.100000000000001" customHeight="1" x14ac:dyDescent="0.2">
      <c r="A17" s="5" t="s">
        <v>343</v>
      </c>
      <c r="B17" s="5"/>
      <c r="C17" s="5"/>
      <c r="D17" s="5"/>
      <c r="E17" s="5"/>
      <c r="F17" s="5"/>
      <c r="G17" s="5"/>
    </row>
    <row r="18" spans="1:7" ht="15.95" customHeight="1" x14ac:dyDescent="0.2">
      <c r="A18" s="12" t="s">
        <v>344</v>
      </c>
      <c r="B18" s="67">
        <f>ROUND('P&amp;L 5yr'!C12*Assumptions!$F$131*Assumptions!$F$132+'P&amp;L 5yr'!C7*Assumptions!$F$176*Assumptions!$F$181,0)</f>
        <v>24</v>
      </c>
      <c r="C18" s="67">
        <f>ROUND('P&amp;L 5yr'!D12*Assumptions!$F$131*Assumptions!$F$132+'P&amp;L 5yr'!D7*Assumptions!$F$177*Assumptions!$F$181,0)</f>
        <v>7757</v>
      </c>
      <c r="D18" s="67">
        <f>ROUND('P&amp;L 5yr'!E12*Assumptions!$F$131*Assumptions!$F$132+'P&amp;L 5yr'!E7*Assumptions!$F$178*Assumptions!$F$181,0)</f>
        <v>53345</v>
      </c>
      <c r="E18" s="67">
        <f>ROUND('P&amp;L 5yr'!F12*Assumptions!$F$131*Assumptions!$F$132+'P&amp;L 5yr'!F7*Assumptions!$F$179*Assumptions!$F$181,0)</f>
        <v>567684</v>
      </c>
      <c r="F18" s="67">
        <f>ROUND('P&amp;L 5yr'!G12*Assumptions!$F$131*Assumptions!$F$132+'P&amp;L 5yr'!G7*Assumptions!$F$180*Assumptions!$F$181,0)</f>
        <v>1471572</v>
      </c>
      <c r="G18" s="32" t="s">
        <v>345</v>
      </c>
    </row>
    <row r="19" spans="1:7" ht="15.95" customHeight="1" x14ac:dyDescent="0.2">
      <c r="A19" s="12" t="s">
        <v>346</v>
      </c>
      <c r="B19" s="67">
        <f>ROUND('P&amp;L 5yr'!C12*Assumptions!$F$133*Assumptions!$F$134,0)</f>
        <v>88</v>
      </c>
      <c r="C19" s="67">
        <f>ROUND('P&amp;L 5yr'!D12*Assumptions!$F$133*Assumptions!$F$134,0)</f>
        <v>12038</v>
      </c>
      <c r="D19" s="67">
        <f>ROUND('P&amp;L 5yr'!E12*Assumptions!$F$133*Assumptions!$F$134,0)</f>
        <v>39600</v>
      </c>
      <c r="E19" s="67">
        <f>ROUND('P&amp;L 5yr'!F12*Assumptions!$F$133*Assumptions!$F$134,0)</f>
        <v>243000</v>
      </c>
      <c r="F19" s="67">
        <f>ROUND('P&amp;L 5yr'!G12*Assumptions!$F$133*Assumptions!$F$134,0)</f>
        <v>425250</v>
      </c>
      <c r="G19" s="32"/>
    </row>
    <row r="20" spans="1:7" ht="15.95" customHeight="1" x14ac:dyDescent="0.2">
      <c r="A20" s="12" t="s">
        <v>347</v>
      </c>
      <c r="B20" s="67">
        <f>ROUND('P&amp;L 5yr'!C18*Assumptions!$F$135,0)</f>
        <v>24</v>
      </c>
      <c r="C20" s="67">
        <f>ROUND('P&amp;L 5yr'!D18*Assumptions!$F$135,0)</f>
        <v>4045</v>
      </c>
      <c r="D20" s="67">
        <f>ROUND('P&amp;L 5yr'!E18*Assumptions!$F$135,0)</f>
        <v>13879</v>
      </c>
      <c r="E20" s="67">
        <f>ROUND('P&amp;L 5yr'!F18*Assumptions!$F$135,0)</f>
        <v>89427</v>
      </c>
      <c r="F20" s="67">
        <f>ROUND('P&amp;L 5yr'!G18*Assumptions!$F$135,0)</f>
        <v>178326</v>
      </c>
      <c r="G20" s="32"/>
    </row>
    <row r="21" spans="1:7" ht="15.95" customHeight="1" x14ac:dyDescent="0.2">
      <c r="A21" s="12" t="s">
        <v>348</v>
      </c>
      <c r="B21" s="56">
        <v>0</v>
      </c>
      <c r="C21" s="67">
        <f>ROUND('P&amp;L 5yr'!D18*Assumptions!$F$159*Assumptions!$F$139,0)</f>
        <v>6068</v>
      </c>
      <c r="D21" s="67">
        <f>ROUND('P&amp;L 5yr'!E18*Assumptions!$F$159*Assumptions!$F$139,0)</f>
        <v>20819</v>
      </c>
      <c r="E21" s="67">
        <f>ROUND('P&amp;L 5yr'!F18*Assumptions!$F$159*Assumptions!$F$139,0)</f>
        <v>134140</v>
      </c>
      <c r="F21" s="67">
        <f>ROUND('P&amp;L 5yr'!G18*Assumptions!$F$159*Assumptions!$F$139,0)</f>
        <v>267489</v>
      </c>
      <c r="G21" s="32"/>
    </row>
    <row r="22" spans="1:7" ht="15.95" customHeight="1" x14ac:dyDescent="0.2">
      <c r="A22" s="12" t="s">
        <v>349</v>
      </c>
      <c r="B22" s="67">
        <f>ROUND((B7+B10+B12)*Assumptions!$F$140,0)</f>
        <v>1</v>
      </c>
      <c r="C22" s="67">
        <f>ROUND((C7+C10+C12)*Assumptions!$F$140,0)</f>
        <v>377</v>
      </c>
      <c r="D22" s="67">
        <f>ROUND((D7+D10+D12)*Assumptions!$F$140,0)</f>
        <v>946</v>
      </c>
      <c r="E22" s="67">
        <f>ROUND((E7+E10+E12)*Assumptions!$F$140,0)</f>
        <v>3798</v>
      </c>
      <c r="F22" s="67">
        <f>ROUND((F7+F10+F12)*Assumptions!$F$140,0)</f>
        <v>7254</v>
      </c>
      <c r="G22" s="32"/>
    </row>
    <row r="23" spans="1:7" ht="15.95" customHeight="1" x14ac:dyDescent="0.2">
      <c r="A23" s="12" t="s">
        <v>350</v>
      </c>
      <c r="B23" s="67">
        <f>ROUND('Tier Economics'!C5*Assumptions!$F$141*Assumptions!$F$142,0)</f>
        <v>3</v>
      </c>
      <c r="C23" s="67">
        <f>ROUND('Tier Economics'!G5*Assumptions!$F$141*Assumptions!$F$142,0)</f>
        <v>506</v>
      </c>
      <c r="D23" s="67">
        <f>ROUND('Tier Economics'!K5*Assumptions!$F$141*Assumptions!$F$142,0)</f>
        <v>1800</v>
      </c>
      <c r="E23" s="67">
        <f>ROUND('Tier Economics'!O5*Assumptions!$F$141*Assumptions!$F$142,0)</f>
        <v>10800</v>
      </c>
      <c r="F23" s="67">
        <f>ROUND('Tier Economics'!S5*Assumptions!$F$141*Assumptions!$F$142,0)</f>
        <v>16875</v>
      </c>
      <c r="G23" s="32"/>
    </row>
    <row r="24" spans="1:7" ht="18" customHeight="1" x14ac:dyDescent="0.2">
      <c r="A24" s="24" t="s">
        <v>351</v>
      </c>
      <c r="B24" s="92">
        <f>ROUND(SUM(B18:B23),0)</f>
        <v>140</v>
      </c>
      <c r="C24" s="92">
        <f>ROUND(SUM(C18:C23),0)</f>
        <v>30791</v>
      </c>
      <c r="D24" s="92">
        <f>ROUND(SUM(D18:D23),0)</f>
        <v>130389</v>
      </c>
      <c r="E24" s="92">
        <f>ROUND(SUM(E18:E23),0)</f>
        <v>1048849</v>
      </c>
      <c r="F24" s="92">
        <f>ROUND(SUM(F18:F23),0)</f>
        <v>2366766</v>
      </c>
      <c r="G24" s="92"/>
    </row>
    <row r="25" spans="1:7" ht="9" customHeight="1" x14ac:dyDescent="0.2">
      <c r="A25" s="42"/>
      <c r="B25" s="62"/>
      <c r="C25" s="62"/>
      <c r="D25" s="62"/>
      <c r="E25" s="62"/>
      <c r="F25" s="62"/>
      <c r="G25" s="62"/>
    </row>
    <row r="26" spans="1:7" ht="20.100000000000001" customHeight="1" x14ac:dyDescent="0.2">
      <c r="A26" s="5" t="s">
        <v>352</v>
      </c>
      <c r="B26" s="5"/>
      <c r="C26" s="5"/>
      <c r="D26" s="5"/>
      <c r="E26" s="5"/>
      <c r="F26" s="5"/>
      <c r="G26" s="5"/>
    </row>
    <row r="27" spans="1:7" ht="15.95" customHeight="1" x14ac:dyDescent="0.2">
      <c r="A27" s="12" t="s">
        <v>353</v>
      </c>
      <c r="B27" s="67">
        <f>ROUND(Assumptions!$F$127*1,0)</f>
        <v>15000</v>
      </c>
      <c r="C27" s="67">
        <f>ROUND(Assumptions!$F$127*1.25,0)</f>
        <v>18750</v>
      </c>
      <c r="D27" s="67">
        <f>ROUND(Assumptions!$F$127*1.5,0)</f>
        <v>22500</v>
      </c>
      <c r="E27" s="67">
        <f>ROUND(Assumptions!$F$127*1.75,0)</f>
        <v>26250</v>
      </c>
      <c r="F27" s="67">
        <f>ROUND(Assumptions!$F$127*2,0)</f>
        <v>30000</v>
      </c>
      <c r="G27" s="32"/>
    </row>
    <row r="28" spans="1:7" ht="15.95" customHeight="1" x14ac:dyDescent="0.2">
      <c r="A28" s="12" t="s">
        <v>354</v>
      </c>
      <c r="B28" s="67">
        <f>ROUND(Assumptions!$F$128*1,0)</f>
        <v>20000</v>
      </c>
      <c r="C28" s="67">
        <f>ROUND(Assumptions!$F$128*1.25,0)</f>
        <v>25000</v>
      </c>
      <c r="D28" s="67">
        <f>ROUND(Assumptions!$F$128*1.5,0)</f>
        <v>30000</v>
      </c>
      <c r="E28" s="67">
        <f>ROUND(Assumptions!$F$128*1.75,0)</f>
        <v>35000</v>
      </c>
      <c r="F28" s="67">
        <f>ROUND(Assumptions!$F$128*2,0)</f>
        <v>40000</v>
      </c>
      <c r="G28" s="32"/>
    </row>
    <row r="29" spans="1:7" ht="15.95" customHeight="1" x14ac:dyDescent="0.2">
      <c r="A29" s="12" t="s">
        <v>355</v>
      </c>
      <c r="B29" s="67">
        <f>ROUND(Assumptions!$F$129+Assumptions!$F$130,0)</f>
        <v>55000</v>
      </c>
      <c r="C29" s="67">
        <f>ROUND(Assumptions!$F$130,0)</f>
        <v>15000</v>
      </c>
      <c r="D29" s="67">
        <f>ROUND(Assumptions!$F$130,0)</f>
        <v>15000</v>
      </c>
      <c r="E29" s="67">
        <f>ROUND(Assumptions!$F$130,0)</f>
        <v>15000</v>
      </c>
      <c r="F29" s="67">
        <f>ROUND(Assumptions!$F$130,0)</f>
        <v>15000</v>
      </c>
      <c r="G29" s="32"/>
    </row>
    <row r="30" spans="1:7" ht="15.95" customHeight="1" x14ac:dyDescent="0.2">
      <c r="A30" s="12" t="s">
        <v>356</v>
      </c>
      <c r="B30" s="67">
        <f>ROUND(Assumptions!$F$137*1,0)</f>
        <v>12000</v>
      </c>
      <c r="C30" s="67">
        <f>ROUND(Assumptions!$F$137*1.25,0)</f>
        <v>15000</v>
      </c>
      <c r="D30" s="67">
        <f>ROUND(Assumptions!$F$137*1.5,0)</f>
        <v>18000</v>
      </c>
      <c r="E30" s="67">
        <f>ROUND(Assumptions!$F$137*1.75,0)</f>
        <v>21000</v>
      </c>
      <c r="F30" s="67">
        <f>ROUND(Assumptions!$F$137*2,0)</f>
        <v>24000</v>
      </c>
      <c r="G30" s="32"/>
    </row>
    <row r="31" spans="1:7" ht="15.95" customHeight="1" x14ac:dyDescent="0.2">
      <c r="A31" s="12" t="s">
        <v>357</v>
      </c>
      <c r="B31" s="67">
        <f>ROUND(Assumptions!$F$138*1,0)</f>
        <v>18000</v>
      </c>
      <c r="C31" s="67">
        <f>ROUND(Assumptions!$F$138*1.25,0)</f>
        <v>22500</v>
      </c>
      <c r="D31" s="67">
        <f>ROUND(Assumptions!$F$138*1.5,0)</f>
        <v>27000</v>
      </c>
      <c r="E31" s="67">
        <f>ROUND(Assumptions!$F$138*1.75,0)</f>
        <v>31500</v>
      </c>
      <c r="F31" s="67">
        <f>ROUND(Assumptions!$F$138*2,0)</f>
        <v>36000</v>
      </c>
      <c r="G31" s="32"/>
    </row>
    <row r="32" spans="1:7" ht="15.95" customHeight="1" x14ac:dyDescent="0.2">
      <c r="A32" s="12" t="s">
        <v>358</v>
      </c>
      <c r="B32" s="67">
        <f>ROUND(Assumptions!$F$136,0)</f>
        <v>15000</v>
      </c>
      <c r="C32" s="67">
        <f>ROUND(Assumptions!$F$136,0)</f>
        <v>15000</v>
      </c>
      <c r="D32" s="67">
        <f>ROUND(Assumptions!$F$136,0)</f>
        <v>15000</v>
      </c>
      <c r="E32" s="67">
        <f>ROUND(Assumptions!$F$136,0)</f>
        <v>15000</v>
      </c>
      <c r="F32" s="67">
        <f>ROUND(Assumptions!$F$136,0)</f>
        <v>15000</v>
      </c>
      <c r="G32" s="32"/>
    </row>
    <row r="33" spans="1:7" ht="15.95" customHeight="1" x14ac:dyDescent="0.2">
      <c r="A33" s="12" t="s">
        <v>359</v>
      </c>
      <c r="B33" s="67">
        <f>ROUND(Assumptions!$F$143*1,0)</f>
        <v>30000</v>
      </c>
      <c r="C33" s="67">
        <f>ROUND(Assumptions!$F$143*1,0)</f>
        <v>30000</v>
      </c>
      <c r="D33" s="67">
        <f>ROUND(Assumptions!$F$143*1,0)</f>
        <v>30000</v>
      </c>
      <c r="E33" s="67">
        <f>ROUND(Assumptions!$F$143*1.25,0)</f>
        <v>37500</v>
      </c>
      <c r="F33" s="67">
        <f>ROUND(Assumptions!$F$143*1.5,0)</f>
        <v>45000</v>
      </c>
      <c r="G33" s="32"/>
    </row>
    <row r="34" spans="1:7" ht="15.95" customHeight="1" x14ac:dyDescent="0.2">
      <c r="A34" s="12" t="s">
        <v>360</v>
      </c>
      <c r="B34" s="67">
        <f>ROUND(Assumptions!$F$144,0)</f>
        <v>7500</v>
      </c>
      <c r="C34" s="56">
        <f t="shared" ref="C34:F35" si="0">ROUND(0,0)</f>
        <v>0</v>
      </c>
      <c r="D34" s="56">
        <f t="shared" si="0"/>
        <v>0</v>
      </c>
      <c r="E34" s="56">
        <f t="shared" si="0"/>
        <v>0</v>
      </c>
      <c r="F34" s="56">
        <f t="shared" si="0"/>
        <v>0</v>
      </c>
      <c r="G34" s="32"/>
    </row>
    <row r="35" spans="1:7" ht="15.95" customHeight="1" x14ac:dyDescent="0.2">
      <c r="A35" s="12" t="s">
        <v>361</v>
      </c>
      <c r="B35" s="67">
        <f>ROUND(Assumptions!$F$145,0)</f>
        <v>7500</v>
      </c>
      <c r="C35" s="56">
        <f t="shared" si="0"/>
        <v>0</v>
      </c>
      <c r="D35" s="56">
        <f t="shared" si="0"/>
        <v>0</v>
      </c>
      <c r="E35" s="56">
        <f t="shared" si="0"/>
        <v>0</v>
      </c>
      <c r="F35" s="56">
        <f t="shared" si="0"/>
        <v>0</v>
      </c>
      <c r="G35" s="32"/>
    </row>
    <row r="36" spans="1:7" ht="18" customHeight="1" x14ac:dyDescent="0.2">
      <c r="A36" s="24" t="s">
        <v>362</v>
      </c>
      <c r="B36" s="92">
        <f>ROUND(SUM(B27:B35),0)</f>
        <v>180000</v>
      </c>
      <c r="C36" s="92">
        <f>ROUND(SUM(C27:C35),0)</f>
        <v>141250</v>
      </c>
      <c r="D36" s="92">
        <f>ROUND(SUM(D27:D35),0)</f>
        <v>157500</v>
      </c>
      <c r="E36" s="92">
        <f>ROUND(SUM(E27:E35),0)</f>
        <v>181250</v>
      </c>
      <c r="F36" s="92">
        <f>ROUND(SUM(F27:F35),0)</f>
        <v>205000</v>
      </c>
      <c r="G36" s="92"/>
    </row>
    <row r="37" spans="1:7" ht="9" hidden="1" customHeight="1" x14ac:dyDescent="0.2"/>
    <row r="38" spans="1:7" ht="9" hidden="1" customHeight="1" x14ac:dyDescent="0.2"/>
    <row r="39" spans="1:7" ht="9" hidden="1" customHeight="1" x14ac:dyDescent="0.2"/>
    <row r="40" spans="1:7" ht="9" hidden="1" customHeight="1" x14ac:dyDescent="0.2"/>
    <row r="41" spans="1:7" ht="9" hidden="1" customHeight="1" x14ac:dyDescent="0.2"/>
    <row r="42" spans="1:7" ht="9" hidden="1" customHeight="1" x14ac:dyDescent="0.2"/>
    <row r="43" spans="1:7" ht="20.100000000000001" hidden="1" customHeight="1" x14ac:dyDescent="0.2"/>
    <row r="44" spans="1:7" ht="15.95" hidden="1" customHeight="1" x14ac:dyDescent="0.2"/>
    <row r="45" spans="1:7" ht="15.95" hidden="1" customHeight="1" x14ac:dyDescent="0.2"/>
    <row r="46" spans="1:7" ht="15.95" hidden="1" customHeight="1" x14ac:dyDescent="0.2"/>
    <row r="47" spans="1:7" ht="15.95" hidden="1" customHeight="1" x14ac:dyDescent="0.2"/>
    <row r="48" spans="1:7" ht="15.95" hidden="1" customHeight="1" x14ac:dyDescent="0.2"/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A6491"/>
  </sheetPr>
  <dimension ref="B2:H91"/>
  <sheetViews>
    <sheetView showGridLines="0" workbookViewId="0"/>
  </sheetViews>
  <sheetFormatPr defaultColWidth="8.5703125" defaultRowHeight="12.75" x14ac:dyDescent="0.2"/>
  <cols>
    <col min="1" max="1" width="2.140625" customWidth="1"/>
    <col min="2" max="2" width="46" customWidth="1"/>
    <col min="3" max="7" width="16" customWidth="1"/>
    <col min="8" max="8" width="62" customWidth="1"/>
  </cols>
  <sheetData>
    <row r="2" spans="2:8" ht="30" customHeight="1" x14ac:dyDescent="0.2">
      <c r="B2" s="3" t="s">
        <v>363</v>
      </c>
    </row>
    <row r="3" spans="2:8" ht="15.95" customHeight="1" x14ac:dyDescent="0.2">
      <c r="B3" s="4" t="s">
        <v>364</v>
      </c>
    </row>
    <row r="4" spans="2:8" ht="9.9499999999999993" customHeight="1" x14ac:dyDescent="0.2"/>
    <row r="5" spans="2:8" ht="21.95" customHeight="1" x14ac:dyDescent="0.2">
      <c r="B5" s="10" t="s">
        <v>327</v>
      </c>
      <c r="C5" s="9" t="s">
        <v>185</v>
      </c>
      <c r="D5" s="9" t="s">
        <v>186</v>
      </c>
      <c r="E5" s="9" t="s">
        <v>187</v>
      </c>
      <c r="F5" s="9" t="s">
        <v>188</v>
      </c>
      <c r="G5" s="9" t="s">
        <v>189</v>
      </c>
      <c r="H5" s="10" t="s">
        <v>365</v>
      </c>
    </row>
    <row r="6" spans="2:8" ht="20.100000000000001" customHeight="1" x14ac:dyDescent="0.2">
      <c r="B6" s="5" t="s">
        <v>366</v>
      </c>
      <c r="C6" s="5"/>
      <c r="D6" s="5"/>
      <c r="E6" s="5"/>
      <c r="F6" s="5"/>
      <c r="G6" s="5"/>
      <c r="H6" s="5"/>
    </row>
    <row r="7" spans="2:8" ht="15.95" customHeight="1" x14ac:dyDescent="0.2">
      <c r="B7" s="12" t="s">
        <v>367</v>
      </c>
      <c r="C7" s="68">
        <f>ROUND(Assumptions!$F$10*'Launch Readiness'!$B$28,0)</f>
        <v>3</v>
      </c>
      <c r="D7" s="68">
        <f>ROUND(Assumptions!$F$11*'Launch Readiness'!$C$28,0)</f>
        <v>500</v>
      </c>
      <c r="E7" s="68">
        <f>ROUND(Assumptions!$F$12*'Launch Readiness'!$D$28,0)</f>
        <v>2000</v>
      </c>
      <c r="F7" s="68">
        <f>ROUND(Assumptions!$F$147*'Launch Readiness'!$E$28,0)</f>
        <v>15000</v>
      </c>
      <c r="G7" s="68">
        <f>ROUND(Assumptions!$F$148*'Launch Readiness'!$F$28,0)</f>
        <v>30000</v>
      </c>
      <c r="H7" s="32" t="s">
        <v>368</v>
      </c>
    </row>
    <row r="8" spans="2:8" ht="15.95" customHeight="1" x14ac:dyDescent="0.2">
      <c r="B8" s="12" t="s">
        <v>369</v>
      </c>
      <c r="C8" s="56">
        <f>IF(C7=0,0,C9/C7)</f>
        <v>30750</v>
      </c>
      <c r="D8" s="56">
        <f>IF(D7=0,0,D9/D7)</f>
        <v>34005</v>
      </c>
      <c r="E8" s="56">
        <f>IF(E7=0,0,E9/E7)</f>
        <v>38015.550000000003</v>
      </c>
      <c r="F8" s="56">
        <f>IF(F7=0,0,F9/F7)</f>
        <v>42822.535200000006</v>
      </c>
      <c r="G8" s="56">
        <f>IF(G7=0,0,G9/G7)</f>
        <v>47897.376575000009</v>
      </c>
      <c r="H8" s="32" t="s">
        <v>370</v>
      </c>
    </row>
    <row r="9" spans="2:8" ht="15.95" customHeight="1" x14ac:dyDescent="0.2">
      <c r="B9" s="12" t="s">
        <v>371</v>
      </c>
      <c r="C9" s="67">
        <f>'Tier Economics'!E9</f>
        <v>92250</v>
      </c>
      <c r="D9" s="67">
        <f>'Tier Economics'!I9</f>
        <v>17002500</v>
      </c>
      <c r="E9" s="67">
        <f>'Tier Economics'!M9</f>
        <v>76031100</v>
      </c>
      <c r="F9" s="67">
        <f>'Tier Economics'!Q9</f>
        <v>642338028.00000012</v>
      </c>
      <c r="G9" s="67">
        <f>'Tier Economics'!U9</f>
        <v>1436921297.2500002</v>
      </c>
      <c r="H9" s="32" t="s">
        <v>372</v>
      </c>
    </row>
    <row r="10" spans="2:8" ht="15.95" customHeight="1" x14ac:dyDescent="0.2">
      <c r="B10" s="12" t="s">
        <v>291</v>
      </c>
      <c r="C10" s="68">
        <f>'Tier Economics'!E7</f>
        <v>20.25</v>
      </c>
      <c r="D10" s="68">
        <f>'Tier Economics'!I7</f>
        <v>2925</v>
      </c>
      <c r="E10" s="68">
        <f>'Tier Economics'!M7</f>
        <v>10200</v>
      </c>
      <c r="F10" s="68">
        <f>'Tier Economics'!Q7</f>
        <v>66600</v>
      </c>
      <c r="G10" s="68">
        <f>'Tier Economics'!U7</f>
        <v>121500</v>
      </c>
      <c r="H10" s="32" t="s">
        <v>1546</v>
      </c>
    </row>
    <row r="11" spans="2:8" ht="15.95" customHeight="1" x14ac:dyDescent="0.2">
      <c r="B11" s="12" t="s">
        <v>373</v>
      </c>
      <c r="C11" s="68">
        <f>C7*Assumptions!$F$13*Assumptions!$F$59</f>
        <v>3</v>
      </c>
      <c r="D11" s="68">
        <f>D7*Assumptions!$F$13*Assumptions!$F$59</f>
        <v>500</v>
      </c>
      <c r="E11" s="68">
        <f>E7*Assumptions!$F$13*Assumptions!$F$59</f>
        <v>2000</v>
      </c>
      <c r="F11" s="68">
        <f>F7*Assumptions!$F$13*Assumptions!$F$59</f>
        <v>15000</v>
      </c>
      <c r="G11" s="68">
        <f>G7*Assumptions!$F$13*Assumptions!$F$59</f>
        <v>30000</v>
      </c>
      <c r="H11" s="32" t="s">
        <v>374</v>
      </c>
    </row>
    <row r="12" spans="2:8" ht="15.95" customHeight="1" x14ac:dyDescent="0.2">
      <c r="B12" s="12" t="s">
        <v>375</v>
      </c>
      <c r="C12" s="68">
        <f>'Tier Economics'!E16</f>
        <v>0.39300000000000002</v>
      </c>
      <c r="D12" s="68">
        <f>'Tier Economics'!I16</f>
        <v>53.5</v>
      </c>
      <c r="E12" s="68">
        <f>'Tier Economics'!M16</f>
        <v>176</v>
      </c>
      <c r="F12" s="68">
        <f>'Tier Economics'!Q16</f>
        <v>1080</v>
      </c>
      <c r="G12" s="68">
        <f>'Tier Economics'!U16</f>
        <v>1890</v>
      </c>
      <c r="H12" s="32" t="s">
        <v>376</v>
      </c>
    </row>
    <row r="13" spans="2:8" ht="20.100000000000001" customHeight="1" x14ac:dyDescent="0.2">
      <c r="B13" s="5" t="s">
        <v>377</v>
      </c>
      <c r="C13" s="5"/>
      <c r="D13" s="5"/>
      <c r="E13" s="5"/>
      <c r="F13" s="5"/>
      <c r="G13" s="5"/>
      <c r="H13" s="5"/>
    </row>
    <row r="14" spans="2:8" ht="15.95" customHeight="1" x14ac:dyDescent="0.2">
      <c r="B14" s="12" t="s">
        <v>378</v>
      </c>
      <c r="C14" s="67">
        <f>'Tier Economics'!E12</f>
        <v>1813.5000000000002</v>
      </c>
      <c r="D14" s="67">
        <f>'Tier Economics'!I12</f>
        <v>273675</v>
      </c>
      <c r="E14" s="67">
        <f>'Tier Economics'!M12</f>
        <v>1022499</v>
      </c>
      <c r="F14" s="67">
        <f>'Tier Economics'!Q12</f>
        <v>7325332.9200000018</v>
      </c>
      <c r="G14" s="67">
        <f>'Tier Economics'!U12</f>
        <v>14841491.677500004</v>
      </c>
      <c r="H14" s="32" t="s">
        <v>379</v>
      </c>
    </row>
    <row r="15" spans="2:8" ht="15.95" customHeight="1" x14ac:dyDescent="0.2">
      <c r="B15" s="12" t="s">
        <v>330</v>
      </c>
      <c r="C15" s="67">
        <f>'Revenue Risk Add-Ons'!B5</f>
        <v>-302</v>
      </c>
      <c r="D15" s="67">
        <f>'Revenue Risk Add-Ons'!C5</f>
        <v>-33936</v>
      </c>
      <c r="E15" s="67">
        <f>'Revenue Risk Add-Ons'!D5</f>
        <v>-53255</v>
      </c>
      <c r="F15" s="67">
        <f>'Revenue Risk Add-Ons'!E5</f>
        <v>-376441</v>
      </c>
      <c r="G15" s="67">
        <f>'Revenue Risk Add-Ons'!F5</f>
        <v>-278278</v>
      </c>
      <c r="H15" s="32" t="s">
        <v>380</v>
      </c>
    </row>
    <row r="16" spans="2:8" ht="15.95" customHeight="1" x14ac:dyDescent="0.2">
      <c r="B16" s="12" t="s">
        <v>381</v>
      </c>
      <c r="C16" s="67">
        <f>'Tier Economics'!E14+'Tier Economics'!E18</f>
        <v>641.55000000000007</v>
      </c>
      <c r="D16" s="67">
        <f>'Tier Economics'!I14+'Tier Economics'!I18</f>
        <v>79100</v>
      </c>
      <c r="E16" s="67">
        <f>'Tier Economics'!M14+'Tier Economics'!M18</f>
        <v>234100</v>
      </c>
      <c r="F16" s="67">
        <f>'Tier Economics'!Q14+'Tier Economics'!Q18</f>
        <v>1269000</v>
      </c>
      <c r="G16" s="67">
        <f>'Tier Economics'!U14+'Tier Economics'!U18</f>
        <v>2034000</v>
      </c>
      <c r="H16" s="32" t="s">
        <v>382</v>
      </c>
    </row>
    <row r="17" spans="2:8" ht="15.95" customHeight="1" x14ac:dyDescent="0.2">
      <c r="B17" s="12" t="s">
        <v>383</v>
      </c>
      <c r="C17" s="67">
        <f>'Revenue Risk Add-Ons'!B15-'Revenue Risk Add-Ons'!B5</f>
        <v>296</v>
      </c>
      <c r="D17" s="67">
        <f>'Revenue Risk Add-Ons'!C15-'Revenue Risk Add-Ons'!C5</f>
        <v>85710</v>
      </c>
      <c r="E17" s="67">
        <f>'Revenue Risk Add-Ons'!D15-'Revenue Risk Add-Ons'!D5</f>
        <v>184560</v>
      </c>
      <c r="F17" s="67">
        <f>'Revenue Risk Add-Ons'!E15-'Revenue Risk Add-Ons'!E5</f>
        <v>724800</v>
      </c>
      <c r="G17" s="67">
        <f>'Revenue Risk Add-Ons'!F15-'Revenue Risk Add-Ons'!F5</f>
        <v>1235400</v>
      </c>
      <c r="H17" s="32" t="s">
        <v>384</v>
      </c>
    </row>
    <row r="18" spans="2:8" ht="15.95" customHeight="1" x14ac:dyDescent="0.2">
      <c r="B18" s="24" t="s">
        <v>385</v>
      </c>
      <c r="C18" s="92">
        <f>SUM(C14:C17)</f>
        <v>2449.0500000000002</v>
      </c>
      <c r="D18" s="92">
        <f>SUM(D14:D17)</f>
        <v>404549</v>
      </c>
      <c r="E18" s="92">
        <f>SUM(E14:E17)</f>
        <v>1387904</v>
      </c>
      <c r="F18" s="92">
        <f>SUM(F14:F17)</f>
        <v>8942691.9200000018</v>
      </c>
      <c r="G18" s="92">
        <f>SUM(G14:G17)</f>
        <v>17832613.677500002</v>
      </c>
      <c r="H18" s="93" t="s">
        <v>386</v>
      </c>
    </row>
    <row r="19" spans="2:8" ht="20.100000000000001" customHeight="1" x14ac:dyDescent="0.2">
      <c r="B19" s="5" t="s">
        <v>387</v>
      </c>
      <c r="C19" s="5"/>
      <c r="D19" s="5"/>
      <c r="E19" s="5"/>
      <c r="F19" s="5"/>
      <c r="G19" s="5"/>
      <c r="H19" s="5"/>
    </row>
    <row r="20" spans="2:8" ht="15.95" customHeight="1" x14ac:dyDescent="0.2">
      <c r="B20" s="12" t="s">
        <v>388</v>
      </c>
      <c r="C20" s="67">
        <f>C10*Assumptions!$F$23/Assumptions!$F$8</f>
        <v>4.74609375</v>
      </c>
      <c r="D20" s="67">
        <f>D10*Assumptions!$F$23/Assumptions!$F$8</f>
        <v>685.546875</v>
      </c>
      <c r="E20" s="67">
        <f>E10*Assumptions!$F$23/Assumptions!$F$8</f>
        <v>2390.625</v>
      </c>
      <c r="F20" s="67">
        <f>F10*Assumptions!$F$23/Assumptions!$F$8</f>
        <v>15609.375</v>
      </c>
      <c r="G20" s="67">
        <f>G10*Assumptions!$F$23/Assumptions!$F$8</f>
        <v>28476.5625</v>
      </c>
      <c r="H20" s="32" t="s">
        <v>389</v>
      </c>
    </row>
    <row r="21" spans="2:8" ht="15.95" customHeight="1" x14ac:dyDescent="0.2">
      <c r="B21" s="12" t="s">
        <v>390</v>
      </c>
      <c r="C21" s="67">
        <f>C11*Assumptions!$F$24/Assumptions!$F$8</f>
        <v>8.203125</v>
      </c>
      <c r="D21" s="67">
        <f>D11*Assumptions!$F$24/Assumptions!$F$8</f>
        <v>1367.1875</v>
      </c>
      <c r="E21" s="67">
        <f>E11*Assumptions!$F$24/Assumptions!$F$8</f>
        <v>5468.75</v>
      </c>
      <c r="F21" s="67">
        <f>F11*Assumptions!$F$24/Assumptions!$F$8</f>
        <v>41015.625</v>
      </c>
      <c r="G21" s="67">
        <f>G11*Assumptions!$F$24/Assumptions!$F$8</f>
        <v>82031.25</v>
      </c>
      <c r="H21" s="32" t="s">
        <v>391</v>
      </c>
    </row>
    <row r="22" spans="2:8" ht="15.95" customHeight="1" x14ac:dyDescent="0.2">
      <c r="B22" s="12" t="s">
        <v>392</v>
      </c>
      <c r="C22" s="67">
        <f>C11*Assumptions!$F$25/Assumptions!$F$8</f>
        <v>3.1640625000000004</v>
      </c>
      <c r="D22" s="67">
        <f>D11*Assumptions!$F$25/Assumptions!$F$8</f>
        <v>527.34375</v>
      </c>
      <c r="E22" s="67">
        <f>E11*Assumptions!$F$25/Assumptions!$F$8</f>
        <v>2109.375</v>
      </c>
      <c r="F22" s="67">
        <f>F11*Assumptions!$F$25/Assumptions!$F$8</f>
        <v>15820.3125</v>
      </c>
      <c r="G22" s="67">
        <f>G11*Assumptions!$F$25/Assumptions!$F$8</f>
        <v>31640.625</v>
      </c>
      <c r="H22" s="32" t="s">
        <v>393</v>
      </c>
    </row>
    <row r="23" spans="2:8" ht="15.95" customHeight="1" x14ac:dyDescent="0.2">
      <c r="B23" s="12" t="s">
        <v>394</v>
      </c>
      <c r="C23" s="67">
        <f>CHOOSE(Assumptions!$C$4,'Scenario Engine'!B36,'Scenario Engine'!H36,'Scenario Engine'!N36)</f>
        <v>403.20000000000005</v>
      </c>
      <c r="D23" s="67">
        <f>CHOOSE(Assumptions!$C$4,'Scenario Engine'!C36,'Scenario Engine'!I36,'Scenario Engine'!O36)</f>
        <v>45150</v>
      </c>
      <c r="E23" s="67">
        <f>CHOOSE(Assumptions!$C$4,'Scenario Engine'!D36,'Scenario Engine'!J36,'Scenario Engine'!P36)</f>
        <v>119400</v>
      </c>
      <c r="F23" s="67">
        <f>CHOOSE(Assumptions!$C$4,'Scenario Engine'!E36,'Scenario Engine'!K36,'Scenario Engine'!Q36)</f>
        <v>558000</v>
      </c>
      <c r="G23" s="67">
        <f>CHOOSE(Assumptions!$C$4,'Scenario Engine'!F36,'Scenario Engine'!L36,'Scenario Engine'!R36)</f>
        <v>801000</v>
      </c>
      <c r="H23" s="32" t="s">
        <v>395</v>
      </c>
    </row>
    <row r="24" spans="2:8" ht="15.95" customHeight="1" x14ac:dyDescent="0.2">
      <c r="B24" s="12" t="s">
        <v>396</v>
      </c>
      <c r="C24" s="67">
        <f>C7*Assumptions!$F$26/Assumptions!$F$8</f>
        <v>0.46875000000000006</v>
      </c>
      <c r="D24" s="67">
        <f>D7*Assumptions!$F$26/Assumptions!$F$8</f>
        <v>78.125</v>
      </c>
      <c r="E24" s="67">
        <f>E7*Assumptions!$F$26/Assumptions!$F$8</f>
        <v>312.5</v>
      </c>
      <c r="F24" s="67">
        <f>F7*Assumptions!$F$26/Assumptions!$F$8</f>
        <v>2343.75</v>
      </c>
      <c r="G24" s="67">
        <f>G7*Assumptions!$F$26/Assumptions!$F$8</f>
        <v>4687.5</v>
      </c>
      <c r="H24" s="32" t="s">
        <v>397</v>
      </c>
    </row>
    <row r="25" spans="2:8" ht="15.95" customHeight="1" x14ac:dyDescent="0.2">
      <c r="B25" s="12" t="s">
        <v>398</v>
      </c>
      <c r="C25" s="67">
        <f>C7*Assumptions!$F$27/Assumptions!$F$8</f>
        <v>2.34375E-2</v>
      </c>
      <c r="D25" s="67">
        <f>D7*Assumptions!$F$27/Assumptions!$F$8</f>
        <v>3.90625</v>
      </c>
      <c r="E25" s="67">
        <f>E7*Assumptions!$F$27/Assumptions!$F$8</f>
        <v>15.625</v>
      </c>
      <c r="F25" s="67">
        <f>F7*Assumptions!$F$27/Assumptions!$F$8</f>
        <v>117.1875</v>
      </c>
      <c r="G25" s="67">
        <f>G7*Assumptions!$F$27/Assumptions!$F$8</f>
        <v>234.375</v>
      </c>
      <c r="H25" s="32" t="s">
        <v>399</v>
      </c>
    </row>
    <row r="26" spans="2:8" ht="15.95" customHeight="1" x14ac:dyDescent="0.2">
      <c r="B26" s="12" t="s">
        <v>400</v>
      </c>
      <c r="C26" s="67">
        <f>C7*Assumptions!$F$28/Assumptions!$F$8</f>
        <v>7.03125E-2</v>
      </c>
      <c r="D26" s="67">
        <f>D7*Assumptions!$F$28/Assumptions!$F$8</f>
        <v>11.71875</v>
      </c>
      <c r="E26" s="67">
        <f>E7*Assumptions!$F$28/Assumptions!$F$8</f>
        <v>46.875</v>
      </c>
      <c r="F26" s="67">
        <f>F7*Assumptions!$F$28/Assumptions!$F$8</f>
        <v>351.5625</v>
      </c>
      <c r="G26" s="67">
        <f>G7*Assumptions!$F$28/Assumptions!$F$8</f>
        <v>703.125</v>
      </c>
      <c r="H26" s="32" t="s">
        <v>401</v>
      </c>
    </row>
    <row r="27" spans="2:8" ht="15.95" customHeight="1" x14ac:dyDescent="0.2">
      <c r="B27" s="12" t="s">
        <v>402</v>
      </c>
      <c r="C27" s="67">
        <f>CHOOSE(Assumptions!$C$4,'Scenario Engine'!B40,'Scenario Engine'!H40,'Scenario Engine'!N40)</f>
        <v>33</v>
      </c>
      <c r="D27" s="67">
        <f>CHOOSE(Assumptions!$C$4,'Scenario Engine'!C40,'Scenario Engine'!I40,'Scenario Engine'!O40)</f>
        <v>4150</v>
      </c>
      <c r="E27" s="67">
        <f>CHOOSE(Assumptions!$C$4,'Scenario Engine'!D40,'Scenario Engine'!J40,'Scenario Engine'!P40)</f>
        <v>12600.000000000002</v>
      </c>
      <c r="F27" s="67">
        <f>CHOOSE(Assumptions!$C$4,'Scenario Engine'!E40,'Scenario Engine'!K40,'Scenario Engine'!Q40)</f>
        <v>70800.000000000015</v>
      </c>
      <c r="G27" s="67">
        <f>CHOOSE(Assumptions!$C$4,'Scenario Engine'!F40,'Scenario Engine'!L40,'Scenario Engine'!R40)</f>
        <v>117000</v>
      </c>
      <c r="H27" s="32" t="s">
        <v>403</v>
      </c>
    </row>
    <row r="28" spans="2:8" ht="15.95" customHeight="1" x14ac:dyDescent="0.2">
      <c r="B28" s="12" t="s">
        <v>404</v>
      </c>
      <c r="C28" s="67">
        <f>CHOOSE(Assumptions!$C$4,SUM('Scenario Engine'!B41:B46),SUM('Scenario Engine'!H41:H46),SUM('Scenario Engine'!N41:N46))</f>
        <v>254.28000000000003</v>
      </c>
      <c r="D28" s="67">
        <f>CHOOSE(Assumptions!$C$4,SUM('Scenario Engine'!C41:C46),SUM('Scenario Engine'!I41:I46),SUM('Scenario Engine'!O41:O46))</f>
        <v>44744</v>
      </c>
      <c r="E28" s="67">
        <f>CHOOSE(Assumptions!$C$4,SUM('Scenario Engine'!D41:D46),SUM('Scenario Engine'!J41:J46),SUM('Scenario Engine'!P41:P46))</f>
        <v>171904</v>
      </c>
      <c r="F28" s="67">
        <f>CHOOSE(Assumptions!$C$4,SUM('Scenario Engine'!E41:E46),SUM('Scenario Engine'!K41:K46),SUM('Scenario Engine'!Q41:Q46))</f>
        <v>1278865</v>
      </c>
      <c r="G28" s="67">
        <f>CHOOSE(Assumptions!$C$4,SUM('Scenario Engine'!F41:F46),SUM('Scenario Engine'!L41:L46),SUM('Scenario Engine'!R41:R46))</f>
        <v>2747094</v>
      </c>
      <c r="H28" s="32" t="s">
        <v>405</v>
      </c>
    </row>
    <row r="29" spans="2:8" ht="15.95" customHeight="1" x14ac:dyDescent="0.2">
      <c r="B29" s="24" t="s">
        <v>406</v>
      </c>
      <c r="C29" s="92">
        <f>SUM(C20:C28)</f>
        <v>707.15578125000002</v>
      </c>
      <c r="D29" s="92">
        <f>SUM(D20:D28)</f>
        <v>96717.828125</v>
      </c>
      <c r="E29" s="92">
        <f>SUM(E20:E28)</f>
        <v>314247.75</v>
      </c>
      <c r="F29" s="92">
        <f>SUM(F20:F28)</f>
        <v>1982922.8125</v>
      </c>
      <c r="G29" s="92">
        <f>SUM(G20:G28)</f>
        <v>3812867.4375</v>
      </c>
      <c r="H29" s="93" t="s">
        <v>407</v>
      </c>
    </row>
    <row r="30" spans="2:8" ht="15.95" customHeight="1" x14ac:dyDescent="0.2">
      <c r="B30" s="24" t="s">
        <v>408</v>
      </c>
      <c r="C30" s="92">
        <f>C18-C29</f>
        <v>1741.8942187500002</v>
      </c>
      <c r="D30" s="92">
        <f>D18-D29</f>
        <v>307831.171875</v>
      </c>
      <c r="E30" s="92">
        <f>E18-E29</f>
        <v>1073656.25</v>
      </c>
      <c r="F30" s="92">
        <f>F18-F29</f>
        <v>6959769.1075000018</v>
      </c>
      <c r="G30" s="92">
        <f>G18-G29</f>
        <v>14019746.240000002</v>
      </c>
      <c r="H30" s="93" t="s">
        <v>409</v>
      </c>
    </row>
    <row r="31" spans="2:8" ht="15.95" customHeight="1" x14ac:dyDescent="0.2">
      <c r="B31" s="12" t="s">
        <v>410</v>
      </c>
      <c r="C31" s="82">
        <f>IF(C18=0,0,C30/C18)</f>
        <v>0.71125302413180624</v>
      </c>
      <c r="D31" s="82">
        <f>IF(D18=0,0,D30/D18)</f>
        <v>0.76092431788238257</v>
      </c>
      <c r="E31" s="82">
        <f>IF(E18=0,0,E30/E18)</f>
        <v>0.77358106180254538</v>
      </c>
      <c r="F31" s="82">
        <f>IF(F18=0,0,F30/F18)</f>
        <v>0.77826332045888036</v>
      </c>
      <c r="G31" s="82">
        <f>IF(G18=0,0,G30/G18)</f>
        <v>0.7861857209237465</v>
      </c>
      <c r="H31" s="32" t="s">
        <v>411</v>
      </c>
    </row>
    <row r="32" spans="2:8" ht="20.100000000000001" customHeight="1" x14ac:dyDescent="0.2">
      <c r="B32" s="5" t="s">
        <v>412</v>
      </c>
      <c r="C32" s="5"/>
      <c r="D32" s="5"/>
      <c r="E32" s="5"/>
      <c r="F32" s="5"/>
      <c r="G32" s="5"/>
      <c r="H32" s="5"/>
    </row>
    <row r="33" spans="2:8" ht="15.95" customHeight="1" x14ac:dyDescent="0.2">
      <c r="B33" s="12" t="s">
        <v>413</v>
      </c>
      <c r="C33" s="68">
        <f>Assumptions!$F$43*'Launch Readiness'!$D$38</f>
        <v>4</v>
      </c>
      <c r="D33" s="68">
        <f>Assumptions!$F$43*'Launch Readiness'!$E$38</f>
        <v>4</v>
      </c>
      <c r="E33" s="68">
        <f>Assumptions!$F$43*'Launch Readiness'!$F$38</f>
        <v>4</v>
      </c>
      <c r="F33" s="68">
        <f>Assumptions!$F$43*'Launch Readiness'!$G$38</f>
        <v>4</v>
      </c>
      <c r="G33" s="68">
        <f>Assumptions!$F$43*'Launch Readiness'!$H$38</f>
        <v>4</v>
      </c>
      <c r="H33" s="32" t="s">
        <v>414</v>
      </c>
    </row>
    <row r="34" spans="2:8" ht="15.95" customHeight="1" x14ac:dyDescent="0.2">
      <c r="B34" s="12" t="s">
        <v>415</v>
      </c>
      <c r="C34" s="68">
        <f>(Assumptions!$F$44+0)*'Launch Readiness'!$D$39</f>
        <v>1.3333333333333333</v>
      </c>
      <c r="D34" s="68">
        <f>(Assumptions!$F$44+1)*'Launch Readiness'!$E$39</f>
        <v>3</v>
      </c>
      <c r="E34" s="68">
        <f>(Assumptions!$F$44+2)*'Launch Readiness'!$F$39</f>
        <v>4</v>
      </c>
      <c r="F34" s="68">
        <f>(Assumptions!$F$44+3)*'Launch Readiness'!$G$39</f>
        <v>5</v>
      </c>
      <c r="G34" s="68">
        <f>(Assumptions!$F$44+4)*'Launch Readiness'!$H$39</f>
        <v>6</v>
      </c>
      <c r="H34" s="32" t="s">
        <v>416</v>
      </c>
    </row>
    <row r="35" spans="2:8" ht="15.95" customHeight="1" x14ac:dyDescent="0.2">
      <c r="B35" s="12" t="s">
        <v>417</v>
      </c>
      <c r="C35" s="68">
        <f>(Assumptions!$F$45+0)*'Launch Readiness'!$D$40</f>
        <v>2</v>
      </c>
      <c r="D35" s="68">
        <f>(Assumptions!$F$45+1)*'Launch Readiness'!$E$40</f>
        <v>3</v>
      </c>
      <c r="E35" s="68">
        <f>(Assumptions!$F$45+2)*'Launch Readiness'!$F$40</f>
        <v>4</v>
      </c>
      <c r="F35" s="68">
        <f>(Assumptions!$F$45+3)*'Launch Readiness'!$G$40</f>
        <v>5</v>
      </c>
      <c r="G35" s="68">
        <f>(Assumptions!$F$45+4)*'Launch Readiness'!$H$40</f>
        <v>6</v>
      </c>
      <c r="H35" s="32" t="s">
        <v>418</v>
      </c>
    </row>
    <row r="36" spans="2:8" ht="15.95" customHeight="1" x14ac:dyDescent="0.2">
      <c r="B36" s="12" t="s">
        <v>419</v>
      </c>
      <c r="C36" s="68">
        <f>Assumptions!C$183*'Launch Readiness'!D$41</f>
        <v>0.33333333333333331</v>
      </c>
      <c r="D36" s="68">
        <f>Assumptions!D$183*'Launch Readiness'!E$41</f>
        <v>2</v>
      </c>
      <c r="E36" s="68">
        <f>Assumptions!E$183*'Launch Readiness'!F$41</f>
        <v>3</v>
      </c>
      <c r="F36" s="68">
        <f>Assumptions!F$183*'Launch Readiness'!G$41</f>
        <v>7</v>
      </c>
      <c r="G36" s="68">
        <f>Assumptions!G$183*'Launch Readiness'!H$41</f>
        <v>8</v>
      </c>
      <c r="H36" s="32" t="s">
        <v>420</v>
      </c>
    </row>
    <row r="37" spans="2:8" ht="15.95" customHeight="1" x14ac:dyDescent="0.2">
      <c r="B37" s="24" t="s">
        <v>421</v>
      </c>
      <c r="C37" s="94">
        <f>C33+C34+C35+C36</f>
        <v>7.6666666666666661</v>
      </c>
      <c r="D37" s="94">
        <f>D33+D34+D35+D36</f>
        <v>12</v>
      </c>
      <c r="E37" s="94">
        <f>E33+E34+E35+E36</f>
        <v>15</v>
      </c>
      <c r="F37" s="94">
        <f>F33+F34+F35+F36</f>
        <v>21</v>
      </c>
      <c r="G37" s="94">
        <f>G33+G34+G35+G36</f>
        <v>24</v>
      </c>
      <c r="H37" s="93" t="s">
        <v>422</v>
      </c>
    </row>
    <row r="38" spans="2:8" ht="15.95" customHeight="1" x14ac:dyDescent="0.2">
      <c r="B38" s="12" t="s">
        <v>423</v>
      </c>
      <c r="C38" s="67">
        <f>C33*Assumptions!$F$48+C34*Assumptions!$F$49+C35*Assumptions!$F$50+C36*Assumptions!$F$51</f>
        <v>410000</v>
      </c>
      <c r="D38" s="67">
        <f>D33*Assumptions!$F$48+D34*Assumptions!$F$49+D35*Assumptions!$F$50+D36*Assumptions!$F$51</f>
        <v>670000</v>
      </c>
      <c r="E38" s="67">
        <f>E33*Assumptions!$F$48+E34*Assumptions!$F$49+E35*Assumptions!$F$50+E36*Assumptions!$F$51</f>
        <v>850000</v>
      </c>
      <c r="F38" s="67">
        <f>F33*Assumptions!$F$48+F34*Assumptions!$F$49+F35*Assumptions!$F$50+F36*Assumptions!$F$51</f>
        <v>1180000</v>
      </c>
      <c r="G38" s="67">
        <f>G33*Assumptions!$F$48+G34*Assumptions!$F$49+G35*Assumptions!$F$50+G36*Assumptions!$F$51</f>
        <v>1360000</v>
      </c>
      <c r="H38" s="32" t="s">
        <v>424</v>
      </c>
    </row>
    <row r="39" spans="2:8" ht="15.95" customHeight="1" x14ac:dyDescent="0.2">
      <c r="B39" s="12" t="s">
        <v>425</v>
      </c>
      <c r="C39" s="67">
        <f>MAX(0,(C38-Assumptions!$F$53*C37)*Assumptions!$F$52-Assumptions!$F$57)</f>
        <v>45250</v>
      </c>
      <c r="D39" s="67">
        <f>MAX(0,(D38-Assumptions!$F$53*D37)*Assumptions!$F$52-Assumptions!$F$57)</f>
        <v>81000</v>
      </c>
      <c r="E39" s="67">
        <f>MAX(0,(E38-Assumptions!$F$53*E37)*Assumptions!$F$52-Assumptions!$F$57)</f>
        <v>105750</v>
      </c>
      <c r="F39" s="67">
        <f>MAX(0,(F38-Assumptions!$F$53*F37)*Assumptions!$F$52-Assumptions!$F$57)</f>
        <v>150750</v>
      </c>
      <c r="G39" s="67">
        <f>MAX(0,(G38-Assumptions!$F$53*G37)*Assumptions!$F$52-Assumptions!$F$57)</f>
        <v>175500</v>
      </c>
      <c r="H39" s="32" t="s">
        <v>426</v>
      </c>
    </row>
    <row r="40" spans="2:8" ht="15.95" customHeight="1" x14ac:dyDescent="0.2">
      <c r="B40" s="12" t="s">
        <v>427</v>
      </c>
      <c r="C40" s="67">
        <f>C38*Assumptions!$F$54</f>
        <v>16400</v>
      </c>
      <c r="D40" s="67">
        <f>D38*Assumptions!$F$54</f>
        <v>26800</v>
      </c>
      <c r="E40" s="67">
        <f>E38*Assumptions!$F$54</f>
        <v>34000</v>
      </c>
      <c r="F40" s="67">
        <f>F38*Assumptions!$F$54</f>
        <v>47200</v>
      </c>
      <c r="G40" s="67">
        <f>G38*Assumptions!$F$54</f>
        <v>54400</v>
      </c>
      <c r="H40" s="32" t="s">
        <v>428</v>
      </c>
    </row>
    <row r="41" spans="2:8" ht="15.95" customHeight="1" x14ac:dyDescent="0.2">
      <c r="B41" s="12" t="s">
        <v>429</v>
      </c>
      <c r="C41" s="67">
        <f>C38*Assumptions!$F$55</f>
        <v>12300</v>
      </c>
      <c r="D41" s="67">
        <f>D38*Assumptions!$F$55</f>
        <v>20100</v>
      </c>
      <c r="E41" s="67">
        <f>E38*Assumptions!$F$55</f>
        <v>25500</v>
      </c>
      <c r="F41" s="67">
        <f>F38*Assumptions!$F$55</f>
        <v>35400</v>
      </c>
      <c r="G41" s="67">
        <f>G38*Assumptions!$F$55</f>
        <v>40800</v>
      </c>
      <c r="H41" s="32" t="s">
        <v>430</v>
      </c>
    </row>
    <row r="42" spans="2:8" ht="15.95" customHeight="1" x14ac:dyDescent="0.2">
      <c r="B42" s="24" t="s">
        <v>431</v>
      </c>
      <c r="C42" s="92">
        <f>C38+C39+C40+C41</f>
        <v>483950</v>
      </c>
      <c r="D42" s="92">
        <f>D38+D39+D40+D41</f>
        <v>797900</v>
      </c>
      <c r="E42" s="92">
        <f>E38+E39+E40+E41</f>
        <v>1015250</v>
      </c>
      <c r="F42" s="92">
        <f>F38+F39+F40+F41</f>
        <v>1413350</v>
      </c>
      <c r="G42" s="92">
        <f>G38+G39+G40+G41</f>
        <v>1630700</v>
      </c>
      <c r="H42" s="93" t="s">
        <v>432</v>
      </c>
    </row>
    <row r="43" spans="2:8" ht="20.100000000000001" customHeight="1" x14ac:dyDescent="0.2">
      <c r="B43" s="5" t="s">
        <v>433</v>
      </c>
      <c r="C43" s="5"/>
      <c r="D43" s="5"/>
      <c r="E43" s="5"/>
      <c r="F43" s="5"/>
      <c r="G43" s="5"/>
      <c r="H43" s="5"/>
    </row>
    <row r="44" spans="2:8" ht="15.95" customHeight="1" x14ac:dyDescent="0.2">
      <c r="B44" s="12" t="s">
        <v>434</v>
      </c>
      <c r="C44" s="67">
        <f>Assumptions!$F$30*12*1</f>
        <v>4200</v>
      </c>
      <c r="D44" s="67">
        <f>Assumptions!$F$30*12*1.5</f>
        <v>6300</v>
      </c>
      <c r="E44" s="67">
        <f>Assumptions!$F$30*12*2.5</f>
        <v>10500</v>
      </c>
      <c r="F44" s="67">
        <f>Assumptions!$F$30*12*4</f>
        <v>16800</v>
      </c>
      <c r="G44" s="67">
        <f>Assumptions!$F$30*12*6</f>
        <v>25200</v>
      </c>
      <c r="H44" s="32" t="s">
        <v>435</v>
      </c>
    </row>
    <row r="45" spans="2:8" ht="15.95" customHeight="1" x14ac:dyDescent="0.2">
      <c r="B45" s="12" t="s">
        <v>436</v>
      </c>
      <c r="C45" s="67">
        <f>Assumptions!$F$31*12*1</f>
        <v>2640</v>
      </c>
      <c r="D45" s="67">
        <f>Assumptions!$F$31*12*1.5</f>
        <v>3960</v>
      </c>
      <c r="E45" s="67">
        <f>Assumptions!$F$31*12*2.5</f>
        <v>6600</v>
      </c>
      <c r="F45" s="67">
        <f>Assumptions!$F$31*12*4</f>
        <v>10560</v>
      </c>
      <c r="G45" s="67">
        <f>Assumptions!$F$31*12*6</f>
        <v>15840</v>
      </c>
      <c r="H45" s="32" t="s">
        <v>435</v>
      </c>
    </row>
    <row r="46" spans="2:8" ht="15.95" customHeight="1" x14ac:dyDescent="0.2">
      <c r="B46" s="12" t="s">
        <v>437</v>
      </c>
      <c r="C46" s="67">
        <f>Assumptions!$F$32*12*1</f>
        <v>3000</v>
      </c>
      <c r="D46" s="67">
        <f>Assumptions!$F$32*12*1.5</f>
        <v>4500</v>
      </c>
      <c r="E46" s="67">
        <f>Assumptions!$F$32*12*2.5</f>
        <v>7500</v>
      </c>
      <c r="F46" s="67">
        <f>Assumptions!$F$32*12*4</f>
        <v>12000</v>
      </c>
      <c r="G46" s="67">
        <f>Assumptions!$F$32*12*6</f>
        <v>18000</v>
      </c>
      <c r="H46" s="32" t="s">
        <v>435</v>
      </c>
    </row>
    <row r="47" spans="2:8" ht="15.95" customHeight="1" x14ac:dyDescent="0.2">
      <c r="B47" s="12" t="s">
        <v>438</v>
      </c>
      <c r="C47" s="67">
        <f>Assumptions!$F$33*12*C37/6</f>
        <v>920</v>
      </c>
      <c r="D47" s="67">
        <f>Assumptions!$F$33*12*D37/6</f>
        <v>1440</v>
      </c>
      <c r="E47" s="67">
        <f>Assumptions!$F$33*12*E37/6</f>
        <v>1800</v>
      </c>
      <c r="F47" s="67">
        <f>Assumptions!$F$33*12*F37/6</f>
        <v>2520</v>
      </c>
      <c r="G47" s="67">
        <f>Assumptions!$F$33*12*G37/6</f>
        <v>2880</v>
      </c>
      <c r="H47" s="32" t="s">
        <v>439</v>
      </c>
    </row>
    <row r="48" spans="2:8" ht="15.95" customHeight="1" x14ac:dyDescent="0.2">
      <c r="B48" s="12" t="s">
        <v>440</v>
      </c>
      <c r="C48" s="67">
        <f>Assumptions!$F$34*12*C37/6</f>
        <v>1380</v>
      </c>
      <c r="D48" s="67">
        <f>Assumptions!$F$34*12*D37/6</f>
        <v>2160</v>
      </c>
      <c r="E48" s="67">
        <f>Assumptions!$F$34*12*E37/6</f>
        <v>2700</v>
      </c>
      <c r="F48" s="67">
        <f>Assumptions!$F$34*12*F37/6</f>
        <v>3780</v>
      </c>
      <c r="G48" s="67">
        <f>Assumptions!$F$34*12*G37/6</f>
        <v>4320</v>
      </c>
      <c r="H48" s="32" t="s">
        <v>439</v>
      </c>
    </row>
    <row r="49" spans="2:8" ht="15.95" customHeight="1" x14ac:dyDescent="0.2">
      <c r="B49" s="12" t="s">
        <v>441</v>
      </c>
      <c r="C49" s="67">
        <f>Assumptions!$F$35*12*MAX(1,C36)</f>
        <v>960</v>
      </c>
      <c r="D49" s="67">
        <f>Assumptions!$F$35*12*MAX(1,D36)</f>
        <v>1920</v>
      </c>
      <c r="E49" s="67">
        <f>Assumptions!$F$35*12*MAX(1,E36)</f>
        <v>2880</v>
      </c>
      <c r="F49" s="67">
        <f>Assumptions!$F$35*12*MAX(1,F36)</f>
        <v>6720</v>
      </c>
      <c r="G49" s="67">
        <f>Assumptions!$F$35*12*MAX(1,G36)</f>
        <v>7680</v>
      </c>
      <c r="H49" s="32" t="s">
        <v>442</v>
      </c>
    </row>
    <row r="50" spans="2:8" ht="15.95" customHeight="1" x14ac:dyDescent="0.2">
      <c r="B50" s="12" t="s">
        <v>443</v>
      </c>
      <c r="C50" s="67">
        <f>Assumptions!$F$36*12*1</f>
        <v>4200</v>
      </c>
      <c r="D50" s="67">
        <f>Assumptions!$F$36*12*1.25</f>
        <v>5250</v>
      </c>
      <c r="E50" s="67">
        <f>Assumptions!$F$36*12*1.5</f>
        <v>6300</v>
      </c>
      <c r="F50" s="67">
        <f>Assumptions!$F$36*12*1.75</f>
        <v>7350</v>
      </c>
      <c r="G50" s="67">
        <f>Assumptions!$F$36*12*2</f>
        <v>8400</v>
      </c>
      <c r="H50" s="32" t="s">
        <v>435</v>
      </c>
    </row>
    <row r="51" spans="2:8" ht="15.95" customHeight="1" x14ac:dyDescent="0.2">
      <c r="B51" s="12" t="s">
        <v>444</v>
      </c>
      <c r="C51" s="67">
        <f>Assumptions!$F$37*12*1</f>
        <v>7200</v>
      </c>
      <c r="D51" s="67">
        <f>Assumptions!$F$37*12*1.5</f>
        <v>10800</v>
      </c>
      <c r="E51" s="67">
        <f>Assumptions!$F$37*12*2</f>
        <v>14400</v>
      </c>
      <c r="F51" s="67">
        <f>Assumptions!$F$37*12*2.5</f>
        <v>18000</v>
      </c>
      <c r="G51" s="67">
        <f>Assumptions!$F$37*12*3</f>
        <v>21600</v>
      </c>
      <c r="H51" s="32" t="s">
        <v>445</v>
      </c>
    </row>
    <row r="52" spans="2:8" ht="15.95" customHeight="1" x14ac:dyDescent="0.2">
      <c r="B52" s="12" t="s">
        <v>446</v>
      </c>
      <c r="C52" s="67">
        <f>(Assumptions!$F$38*12*1+'Revenue Risk Add-Ons'!B36)+'Launch Readiness'!$E$9*'Launch Readiness'!$B$34+'Launch Readiness'!$E$9*'Launch Readiness'!$B$10*'Launch Readiness'!$B$30+'Launch Readiness'!$E$16*'Launch Readiness'!$B$32</f>
        <v>219525</v>
      </c>
      <c r="D52" s="67">
        <f>(Assumptions!$F$38*12*1.5+'Revenue Risk Add-Ons'!C36)+'Launch Readiness'!$E$9*'Launch Readiness'!$C$34+'Launch Readiness'!$E$9*'Launch Readiness'!$B$10*'Launch Readiness'!$C$30+'Launch Readiness'!$E$16*'Launch Readiness'!$C$32</f>
        <v>229850</v>
      </c>
      <c r="E52" s="67">
        <f>(Assumptions!$F$38*12*2+'Revenue Risk Add-Ons'!D36)+'Launch Readiness'!$E$9*'Launch Readiness'!$D$34+'Launch Readiness'!$E$9*'Launch Readiness'!$B$10*'Launch Readiness'!$D$30+'Launch Readiness'!$E$16*'Launch Readiness'!$D$32</f>
        <v>273780.83333333331</v>
      </c>
      <c r="F52" s="67">
        <f>(Assumptions!$F$38*12*2.5+'Revenue Risk Add-Ons'!E36)+'Launch Readiness'!$E$9*'Launch Readiness'!$E$34+'Launch Readiness'!$E$9*'Launch Readiness'!$B$10*'Launch Readiness'!$E$30+'Launch Readiness'!$E$16*'Launch Readiness'!$E$32</f>
        <v>319360</v>
      </c>
      <c r="G52" s="67">
        <f>(Assumptions!$F$38*12*3+'Revenue Risk Add-Ons'!F36)+'Launch Readiness'!$E$9*'Launch Readiness'!$F$34+'Launch Readiness'!$E$9*'Launch Readiness'!$B$10*'Launch Readiness'!$F$30+'Launch Readiness'!$E$16*'Launch Readiness'!$F$32</f>
        <v>350310</v>
      </c>
      <c r="H52" s="32" t="s">
        <v>447</v>
      </c>
    </row>
    <row r="53" spans="2:8" ht="15.95" customHeight="1" x14ac:dyDescent="0.2">
      <c r="B53" s="12" t="s">
        <v>448</v>
      </c>
      <c r="C53" s="67">
        <f>Assumptions!$F$39*12*1</f>
        <v>30000</v>
      </c>
      <c r="D53" s="67">
        <f>Assumptions!$F$39*12*2</f>
        <v>60000</v>
      </c>
      <c r="E53" s="67">
        <f>Assumptions!$F$39*12*3</f>
        <v>90000</v>
      </c>
      <c r="F53" s="67">
        <f>Assumptions!$F$39*12*4</f>
        <v>120000</v>
      </c>
      <c r="G53" s="67">
        <f>Assumptions!$F$39*12*5</f>
        <v>150000</v>
      </c>
      <c r="H53" s="32" t="s">
        <v>442</v>
      </c>
    </row>
    <row r="54" spans="2:8" ht="15.95" customHeight="1" x14ac:dyDescent="0.2">
      <c r="B54" s="12" t="s">
        <v>449</v>
      </c>
      <c r="C54" s="67">
        <f>Assumptions!$F$40*12*C37/6</f>
        <v>6133.333333333333</v>
      </c>
      <c r="D54" s="67">
        <f>Assumptions!$F$40*12*D37/6</f>
        <v>9600</v>
      </c>
      <c r="E54" s="67">
        <f>Assumptions!$F$40*12*E37/6</f>
        <v>12000</v>
      </c>
      <c r="F54" s="67">
        <f>Assumptions!$F$40*12*F37/6</f>
        <v>16800</v>
      </c>
      <c r="G54" s="67">
        <f>Assumptions!$F$40*12*G37/6</f>
        <v>19200</v>
      </c>
      <c r="H54" s="32" t="s">
        <v>439</v>
      </c>
    </row>
    <row r="55" spans="2:8" ht="15.95" customHeight="1" x14ac:dyDescent="0.2">
      <c r="B55" s="12" t="s">
        <v>450</v>
      </c>
      <c r="C55" s="56">
        <f>0</f>
        <v>0</v>
      </c>
      <c r="D55" s="67">
        <f>Assumptions!$F$41*12*1</f>
        <v>8400</v>
      </c>
      <c r="E55" s="67">
        <f>Assumptions!$F$41*12*1</f>
        <v>8400</v>
      </c>
      <c r="F55" s="67">
        <f>Assumptions!$F$41*12*1.25</f>
        <v>10500</v>
      </c>
      <c r="G55" s="67">
        <f>Assumptions!$F$41*12*1.5</f>
        <v>12600</v>
      </c>
      <c r="H55" s="32" t="s">
        <v>451</v>
      </c>
    </row>
    <row r="56" spans="2:8" ht="15.95" customHeight="1" x14ac:dyDescent="0.2">
      <c r="B56" s="24" t="s">
        <v>452</v>
      </c>
      <c r="C56" s="92">
        <f>SUM(C44:C55)</f>
        <v>280158.33333333331</v>
      </c>
      <c r="D56" s="92">
        <f>SUM(D44:D55)</f>
        <v>344180</v>
      </c>
      <c r="E56" s="92">
        <f>SUM(E44:E55)</f>
        <v>436860.83333333331</v>
      </c>
      <c r="F56" s="92">
        <f>SUM(F44:F55)</f>
        <v>544390</v>
      </c>
      <c r="G56" s="92">
        <f>SUM(G44:G55)</f>
        <v>636030</v>
      </c>
      <c r="H56" s="93" t="s">
        <v>453</v>
      </c>
    </row>
    <row r="57" spans="2:8" ht="20.100000000000001" customHeight="1" x14ac:dyDescent="0.2">
      <c r="B57" s="5" t="s">
        <v>454</v>
      </c>
      <c r="C57" s="5"/>
      <c r="D57" s="5"/>
      <c r="E57" s="5"/>
      <c r="F57" s="5"/>
      <c r="G57" s="5"/>
      <c r="H57" s="5"/>
    </row>
    <row r="58" spans="2:8" ht="15.95" customHeight="1" x14ac:dyDescent="0.2">
      <c r="B58" s="12" t="s">
        <v>455</v>
      </c>
      <c r="C58" s="67">
        <f>IF(COLUMN()-2=1,'Startup 6mo'!$F$44,0)+'Launch Readiness'!$E$8*'Launch Readiness'!B$27/MAX(1,'Launch Readiness'!$E$7)+'Launch Readiness'!$E$15*'Launch Readiness'!B$33</f>
        <v>303412.45</v>
      </c>
      <c r="D58" s="67">
        <f>IF(COLUMN()-2=1,'Startup 6mo'!$F$44,0)+'Launch Readiness'!$E$8*'Launch Readiness'!C$27/MAX(1,'Launch Readiness'!$E$7)+'Launch Readiness'!$E$15*'Launch Readiness'!C$33</f>
        <v>42546</v>
      </c>
      <c r="E58" s="67">
        <f>IF(COLUMN()-2=1,'Startup 6mo'!$F$44,0)+'Launch Readiness'!$E$8*'Launch Readiness'!D$27/MAX(1,'Launch Readiness'!$E$7)+'Launch Readiness'!$E$15*'Launch Readiness'!D$33</f>
        <v>0</v>
      </c>
      <c r="F58" s="67">
        <f>IF(COLUMN()-2=1,'Startup 6mo'!$F$44,0)+'Launch Readiness'!$E$8*'Launch Readiness'!E$27/MAX(1,'Launch Readiness'!$E$7)+'Launch Readiness'!$E$15*'Launch Readiness'!E$33</f>
        <v>0</v>
      </c>
      <c r="G58" s="67">
        <f>IF(COLUMN()-2=1,'Startup 6mo'!$F$44,0)+'Launch Readiness'!$E$8*'Launch Readiness'!F$27/MAX(1,'Launch Readiness'!$E$7)+'Launch Readiness'!$E$15*'Launch Readiness'!F$33</f>
        <v>0</v>
      </c>
      <c r="H58" s="32" t="s">
        <v>456</v>
      </c>
    </row>
    <row r="59" spans="2:8" ht="20.100000000000001" customHeight="1" x14ac:dyDescent="0.2">
      <c r="B59" s="5" t="s">
        <v>457</v>
      </c>
      <c r="C59" s="5"/>
      <c r="D59" s="5"/>
      <c r="E59" s="5"/>
      <c r="F59" s="5"/>
      <c r="G59" s="5"/>
      <c r="H59" s="5"/>
    </row>
    <row r="60" spans="2:8" ht="15.95" customHeight="1" x14ac:dyDescent="0.2">
      <c r="B60" s="24" t="s">
        <v>458</v>
      </c>
      <c r="C60" s="92">
        <f>C42+C56+C58</f>
        <v>1067520.7833333332</v>
      </c>
      <c r="D60" s="92">
        <f>D42+D56+D58</f>
        <v>1184626</v>
      </c>
      <c r="E60" s="92">
        <f>E42+E56+E58</f>
        <v>1452110.8333333333</v>
      </c>
      <c r="F60" s="92">
        <f>F42+F56+F58</f>
        <v>1957740</v>
      </c>
      <c r="G60" s="92">
        <f>G42+G56+G58</f>
        <v>2266730</v>
      </c>
      <c r="H60" s="93" t="s">
        <v>459</v>
      </c>
    </row>
    <row r="61" spans="2:8" ht="15.95" customHeight="1" x14ac:dyDescent="0.2">
      <c r="B61" s="24" t="s">
        <v>460</v>
      </c>
      <c r="C61" s="92">
        <f>C30-C42-C56</f>
        <v>-762366.43911458331</v>
      </c>
      <c r="D61" s="92">
        <f>D30-D42-D56</f>
        <v>-834248.828125</v>
      </c>
      <c r="E61" s="92">
        <f>E30-E42-E56</f>
        <v>-378454.58333333331</v>
      </c>
      <c r="F61" s="92">
        <f>F30-F42-F56</f>
        <v>5002029.1075000018</v>
      </c>
      <c r="G61" s="92">
        <f>G30-G42-G56</f>
        <v>11753016.240000002</v>
      </c>
      <c r="H61" s="93" t="s">
        <v>461</v>
      </c>
    </row>
    <row r="62" spans="2:8" ht="15.95" customHeight="1" x14ac:dyDescent="0.2">
      <c r="B62" s="26" t="s">
        <v>462</v>
      </c>
      <c r="C62" s="95">
        <f>C30-C60</f>
        <v>-1065778.8891145831</v>
      </c>
      <c r="D62" s="95">
        <f>D30-D60</f>
        <v>-876794.828125</v>
      </c>
      <c r="E62" s="95">
        <f>E30-E60</f>
        <v>-378454.58333333326</v>
      </c>
      <c r="F62" s="95">
        <f>F30-F60</f>
        <v>5002029.1075000018</v>
      </c>
      <c r="G62" s="95">
        <f>G30-G60</f>
        <v>11753016.240000002</v>
      </c>
      <c r="H62" s="93" t="s">
        <v>463</v>
      </c>
    </row>
    <row r="63" spans="2:8" ht="15.95" customHeight="1" x14ac:dyDescent="0.2">
      <c r="B63" s="26" t="s">
        <v>464</v>
      </c>
      <c r="C63" s="95">
        <f>C62</f>
        <v>-1065778.8891145831</v>
      </c>
      <c r="D63" s="95">
        <f>C63+D62</f>
        <v>-1942573.7172395831</v>
      </c>
      <c r="E63" s="95">
        <f>D63+E62</f>
        <v>-2321028.3005729164</v>
      </c>
      <c r="F63" s="95">
        <f>E63+F62</f>
        <v>2681000.8069270854</v>
      </c>
      <c r="G63" s="95">
        <f>F63+G62</f>
        <v>14434017.046927087</v>
      </c>
      <c r="H63" s="93" t="s">
        <v>465</v>
      </c>
    </row>
    <row r="64" spans="2:8" ht="15.95" customHeight="1" x14ac:dyDescent="0.2">
      <c r="B64" s="12" t="s">
        <v>466</v>
      </c>
      <c r="C64" s="67">
        <f>-MIN(0,'Cash Flow Statement'!$B$38:$M$38)</f>
        <v>1068227</v>
      </c>
      <c r="D64" s="67">
        <f>-MIN(0,'Cash Flow Statement'!$B$38:$Y$38)</f>
        <v>1976300</v>
      </c>
      <c r="E64" s="67">
        <f>-MIN(0,'Cash Flow Statement'!$B$38:$AK$38)</f>
        <v>2436689</v>
      </c>
      <c r="F64" s="67">
        <f>-MIN(0,'Cash Flow Statement'!$B$38:$AW$38)</f>
        <v>2649419</v>
      </c>
      <c r="G64" s="67">
        <f>-MIN(0,'Cash Flow Statement'!$B$38:$BI$38)</f>
        <v>2649419</v>
      </c>
      <c r="H64" s="32" t="s">
        <v>467</v>
      </c>
    </row>
    <row r="65" spans="2:8" ht="15.95" customHeight="1" x14ac:dyDescent="0.2">
      <c r="B65" s="12" t="s">
        <v>468</v>
      </c>
      <c r="C65" s="67">
        <f>ROUND('Launch Readiness'!$B$6*(INDEX($C$42:$G$42,1,MIN(5,ROUNDUP('Launch Readiness'!$E$6/12,0)))+INDEX($C$56:$G$56,1,MIN(5,ROUNDUP('Launch Readiness'!$E$6/12,0))))/12,0)</f>
        <v>191027</v>
      </c>
      <c r="D65" s="67">
        <f>ROUND('Launch Readiness'!$B$6*(INDEX($C$42:$G$42,1,MIN(5,ROUNDUP('Launch Readiness'!$E$6/12,0)))+INDEX($C$56:$G$56,1,MIN(5,ROUNDUP('Launch Readiness'!$E$6/12,0))))/12,0)</f>
        <v>191027</v>
      </c>
      <c r="E65" s="67">
        <f>ROUND('Launch Readiness'!$B$6*(INDEX($C$42:$G$42,1,MIN(5,ROUNDUP('Launch Readiness'!$E$6/12,0)))+INDEX($C$56:$G$56,1,MIN(5,ROUNDUP('Launch Readiness'!$E$6/12,0))))/12,0)</f>
        <v>191027</v>
      </c>
      <c r="F65" s="67">
        <f>ROUND('Launch Readiness'!$B$6*(INDEX($C$42:$G$42,1,MIN(5,ROUNDUP('Launch Readiness'!$E$6/12,0)))+INDEX($C$56:$G$56,1,MIN(5,ROUNDUP('Launch Readiness'!$E$6/12,0))))/12,0)</f>
        <v>191027</v>
      </c>
      <c r="G65" s="67">
        <f>ROUND('Launch Readiness'!$B$6*(INDEX($C$42:$G$42,1,MIN(5,ROUNDUP('Launch Readiness'!$E$6/12,0)))+INDEX($C$56:$G$56,1,MIN(5,ROUNDUP('Launch Readiness'!$E$6/12,0))))/12,0)</f>
        <v>191027</v>
      </c>
      <c r="H65" s="32" t="s">
        <v>469</v>
      </c>
    </row>
    <row r="66" spans="2:8" ht="15.95" customHeight="1" x14ac:dyDescent="0.2">
      <c r="B66" s="26" t="s">
        <v>470</v>
      </c>
      <c r="C66" s="95">
        <f>ROUND(C64+C65,0)</f>
        <v>1259254</v>
      </c>
      <c r="D66" s="95">
        <f>ROUND(D64+D65,0)</f>
        <v>2167327</v>
      </c>
      <c r="E66" s="95">
        <f>ROUND(E64+E65,0)</f>
        <v>2627716</v>
      </c>
      <c r="F66" s="95">
        <f>ROUND(F64+F65,0)</f>
        <v>2840446</v>
      </c>
      <c r="G66" s="95">
        <f>ROUND(G64+G65,0)</f>
        <v>2840446</v>
      </c>
      <c r="H66" s="93" t="s">
        <v>471</v>
      </c>
    </row>
    <row r="67" spans="2:8" ht="20.100000000000001" customHeight="1" x14ac:dyDescent="0.2">
      <c r="B67" s="5" t="s">
        <v>472</v>
      </c>
      <c r="C67" s="5"/>
      <c r="D67" s="5"/>
      <c r="E67" s="5"/>
      <c r="F67" s="5"/>
      <c r="G67" s="5"/>
      <c r="H67" s="5"/>
    </row>
    <row r="68" spans="2:8" ht="21.95" customHeight="1" x14ac:dyDescent="0.2">
      <c r="B68" s="10" t="s">
        <v>327</v>
      </c>
      <c r="C68" s="9" t="s">
        <v>185</v>
      </c>
      <c r="D68" s="9" t="s">
        <v>186</v>
      </c>
      <c r="E68" s="9" t="s">
        <v>187</v>
      </c>
      <c r="F68" s="9" t="s">
        <v>188</v>
      </c>
      <c r="G68" s="9" t="s">
        <v>189</v>
      </c>
      <c r="H68" s="10" t="s">
        <v>365</v>
      </c>
    </row>
    <row r="69" spans="2:8" ht="15.95" customHeight="1" x14ac:dyDescent="0.2">
      <c r="B69" s="12" t="s">
        <v>473</v>
      </c>
      <c r="C69" s="68">
        <f>Assumptions!$F$107</f>
        <v>3</v>
      </c>
      <c r="D69" s="68">
        <f>Assumptions!$F$108</f>
        <v>4</v>
      </c>
      <c r="E69" s="68">
        <f>Assumptions!$F$109</f>
        <v>6</v>
      </c>
      <c r="F69" s="68">
        <f>Assumptions!$F$157</f>
        <v>8</v>
      </c>
      <c r="G69" s="68">
        <f>Assumptions!$F$158</f>
        <v>10</v>
      </c>
      <c r="H69" s="32" t="s">
        <v>474</v>
      </c>
    </row>
    <row r="70" spans="2:8" ht="15.95" customHeight="1" x14ac:dyDescent="0.2">
      <c r="B70" s="12" t="s">
        <v>475</v>
      </c>
      <c r="C70" s="57">
        <f>IF(C69=0,0,C7/C69)</f>
        <v>1</v>
      </c>
      <c r="D70" s="57">
        <f>IF(D69=0,0,D7/D69)</f>
        <v>125</v>
      </c>
      <c r="E70" s="57">
        <f>IF(E69=0,0,E7/E69)</f>
        <v>333.33333333333331</v>
      </c>
      <c r="F70" s="57">
        <f>IF(F69=0,0,F7/F69)</f>
        <v>1875</v>
      </c>
      <c r="G70" s="57">
        <f>IF(G69=0,0,G7/G69)</f>
        <v>3000</v>
      </c>
      <c r="H70" s="32" t="s">
        <v>476</v>
      </c>
    </row>
    <row r="71" spans="2:8" ht="15.95" customHeight="1" x14ac:dyDescent="0.2">
      <c r="B71" s="12" t="s">
        <v>477</v>
      </c>
      <c r="C71" s="56">
        <f>IF(C7=0,0,C18/C7)</f>
        <v>816.35</v>
      </c>
      <c r="D71" s="56">
        <f>IF(D7=0,0,D18/D7)</f>
        <v>809.09799999999996</v>
      </c>
      <c r="E71" s="56">
        <f>IF(E7=0,0,E18/E7)</f>
        <v>693.952</v>
      </c>
      <c r="F71" s="56">
        <f>IF(F7=0,0,F18/F7)</f>
        <v>596.17946133333351</v>
      </c>
      <c r="G71" s="56">
        <f>IF(G7=0,0,G18/G7)</f>
        <v>594.4204559166667</v>
      </c>
      <c r="H71" s="32" t="s">
        <v>478</v>
      </c>
    </row>
    <row r="72" spans="2:8" ht="15.95" customHeight="1" x14ac:dyDescent="0.2">
      <c r="B72" s="12" t="s">
        <v>479</v>
      </c>
      <c r="C72" s="56">
        <f>IF(C70=0,0,C18/C70)</f>
        <v>2449.0500000000002</v>
      </c>
      <c r="D72" s="56">
        <f>IF(D70=0,0,D18/D70)</f>
        <v>3236.3919999999998</v>
      </c>
      <c r="E72" s="56">
        <f>IF(E70=0,0,E18/E70)</f>
        <v>4163.7120000000004</v>
      </c>
      <c r="F72" s="56">
        <f>IF(F70=0,0,F18/F70)</f>
        <v>4769.4356906666681</v>
      </c>
      <c r="G72" s="56">
        <f>IF(G70=0,0,G18/G70)</f>
        <v>5944.2045591666674</v>
      </c>
      <c r="H72" s="32" t="s">
        <v>480</v>
      </c>
    </row>
    <row r="73" spans="2:8" ht="15.95" customHeight="1" x14ac:dyDescent="0.2">
      <c r="B73" s="12" t="s">
        <v>481</v>
      </c>
      <c r="C73" s="20" t="str">
        <f>IF(C18&gt;Assumptions!$F$58,"Register / confirm VAT treatment","Below threshold")</f>
        <v>Below threshold</v>
      </c>
      <c r="D73" s="20" t="str">
        <f>IF(D18&gt;Assumptions!$F$58,"Register / confirm VAT treatment","Below threshold")</f>
        <v>Register / confirm VAT treatment</v>
      </c>
      <c r="E73" s="20" t="str">
        <f>IF(E18&gt;Assumptions!$F$58,"Register / confirm VAT treatment","Below threshold")</f>
        <v>Register / confirm VAT treatment</v>
      </c>
      <c r="F73" s="20" t="str">
        <f>IF(F18&gt;Assumptions!$F$58,"Register / confirm VAT treatment","Below threshold")</f>
        <v>Register / confirm VAT treatment</v>
      </c>
      <c r="G73" s="20" t="str">
        <f>IF(G18&gt;Assumptions!$F$58,"Register / confirm VAT treatment","Below threshold")</f>
        <v>Register / confirm VAT treatment</v>
      </c>
      <c r="H73" s="32" t="s">
        <v>482</v>
      </c>
    </row>
    <row r="74" spans="2:8" ht="15.95" customHeight="1" x14ac:dyDescent="0.2">
      <c r="B74" s="12" t="s">
        <v>483</v>
      </c>
      <c r="C74" s="18" t="str">
        <f>IF(AND(C31&gt;0.9,C23&gt;0),"Review COGS: margin may be optimistic","OK")</f>
        <v>OK</v>
      </c>
      <c r="D74" s="18" t="str">
        <f>IF(AND(D31&gt;0.9,D23&gt;0),"Review COGS: margin may be optimistic","OK")</f>
        <v>OK</v>
      </c>
      <c r="E74" s="18" t="str">
        <f>IF(AND(E31&gt;0.9,E23&gt;0),"Review COGS: margin may be optimistic","OK")</f>
        <v>OK</v>
      </c>
      <c r="F74" s="18" t="str">
        <f>IF(AND(F31&gt;0.9,F23&gt;0),"Review COGS: margin may be optimistic","OK")</f>
        <v>OK</v>
      </c>
      <c r="G74" s="18" t="str">
        <f>IF(AND(G31&gt;0.9,G23&gt;0),"Review COGS: margin may be optimistic","OK")</f>
        <v>OK</v>
      </c>
      <c r="H74" s="32" t="s">
        <v>484</v>
      </c>
    </row>
    <row r="75" spans="2:8" ht="15.95" customHeight="1" x14ac:dyDescent="0.2">
      <c r="B75" s="12" t="s">
        <v>485</v>
      </c>
      <c r="C75" s="76">
        <f>IF(C36=0,0,C84/C36)</f>
        <v>3</v>
      </c>
      <c r="D75" s="76">
        <f>IF(D36=0,0,D84/D36)</f>
        <v>62.5</v>
      </c>
      <c r="E75" s="76">
        <f>IF(E36=0,0,E84/E36)</f>
        <v>111.1111111111111</v>
      </c>
      <c r="F75" s="76">
        <f>IF(F36=0,0,F84/F36)</f>
        <v>267.85714285714283</v>
      </c>
      <c r="G75" s="76">
        <f>IF(G36=0,0,G84/G36)</f>
        <v>375</v>
      </c>
      <c r="H75" s="32" t="s">
        <v>486</v>
      </c>
    </row>
    <row r="76" spans="2:8" ht="20.100000000000001" customHeight="1" x14ac:dyDescent="0.2">
      <c r="B76" s="5" t="s">
        <v>487</v>
      </c>
      <c r="C76" s="5"/>
      <c r="D76" s="5"/>
      <c r="E76" s="5"/>
      <c r="F76" s="5"/>
      <c r="G76" s="5"/>
      <c r="H76" s="5"/>
    </row>
    <row r="77" spans="2:8" ht="21.95" customHeight="1" x14ac:dyDescent="0.2">
      <c r="B77" s="10" t="s">
        <v>327</v>
      </c>
      <c r="C77" s="9" t="s">
        <v>185</v>
      </c>
      <c r="D77" s="9" t="s">
        <v>186</v>
      </c>
      <c r="E77" s="9" t="s">
        <v>187</v>
      </c>
      <c r="F77" s="9" t="s">
        <v>188</v>
      </c>
      <c r="G77" s="9" t="s">
        <v>189</v>
      </c>
      <c r="H77" s="10" t="s">
        <v>365</v>
      </c>
    </row>
    <row r="78" spans="2:8" ht="15.95" customHeight="1" x14ac:dyDescent="0.2">
      <c r="B78" s="12" t="s">
        <v>488</v>
      </c>
      <c r="C78" s="57">
        <f>C70</f>
        <v>1</v>
      </c>
      <c r="D78" s="57">
        <f>D70</f>
        <v>125</v>
      </c>
      <c r="E78" s="57">
        <f>E70</f>
        <v>333.33333333333331</v>
      </c>
      <c r="F78" s="57">
        <f>F70</f>
        <v>1875</v>
      </c>
      <c r="G78" s="57">
        <f>G70</f>
        <v>3000</v>
      </c>
      <c r="H78" s="32" t="s">
        <v>489</v>
      </c>
    </row>
    <row r="79" spans="2:8" ht="15.95" customHeight="1" x14ac:dyDescent="0.2">
      <c r="B79" s="12" t="s">
        <v>490</v>
      </c>
      <c r="C79" s="57">
        <f>0</f>
        <v>0</v>
      </c>
      <c r="D79" s="57">
        <f>C84</f>
        <v>1</v>
      </c>
      <c r="E79" s="57">
        <f>D84</f>
        <v>125</v>
      </c>
      <c r="F79" s="57">
        <f>E84</f>
        <v>333.33333333333331</v>
      </c>
      <c r="G79" s="57">
        <f>F84</f>
        <v>1875</v>
      </c>
      <c r="H79" s="32" t="s">
        <v>491</v>
      </c>
    </row>
    <row r="80" spans="2:8" ht="15.95" customHeight="1" x14ac:dyDescent="0.2">
      <c r="B80" s="12" t="s">
        <v>492</v>
      </c>
      <c r="C80" s="80">
        <f>0</f>
        <v>0</v>
      </c>
      <c r="D80" s="96">
        <f>Assumptions!$F$170</f>
        <v>0.1</v>
      </c>
      <c r="E80" s="96">
        <f>Assumptions!$F$170</f>
        <v>0.1</v>
      </c>
      <c r="F80" s="96">
        <f>Assumptions!$F$170</f>
        <v>0.1</v>
      </c>
      <c r="G80" s="96">
        <f>Assumptions!$F$170</f>
        <v>0.1</v>
      </c>
      <c r="H80" s="32" t="s">
        <v>493</v>
      </c>
    </row>
    <row r="81" spans="2:8" ht="15.95" customHeight="1" x14ac:dyDescent="0.2">
      <c r="B81" s="12" t="s">
        <v>494</v>
      </c>
      <c r="C81" s="57">
        <f>C79*C80</f>
        <v>0</v>
      </c>
      <c r="D81" s="57">
        <f>D79*D80</f>
        <v>0.1</v>
      </c>
      <c r="E81" s="57">
        <f>E79*E80</f>
        <v>12.5</v>
      </c>
      <c r="F81" s="57">
        <f>F79*F80</f>
        <v>33.333333333333336</v>
      </c>
      <c r="G81" s="57">
        <f>G79*G80</f>
        <v>187.5</v>
      </c>
      <c r="H81" s="32" t="s">
        <v>495</v>
      </c>
    </row>
    <row r="82" spans="2:8" ht="15.95" customHeight="1" x14ac:dyDescent="0.2">
      <c r="B82" s="12" t="s">
        <v>496</v>
      </c>
      <c r="C82" s="57">
        <f>C79-C81</f>
        <v>0</v>
      </c>
      <c r="D82" s="57">
        <f>D79-D81</f>
        <v>0.9</v>
      </c>
      <c r="E82" s="57">
        <f>E79-E81</f>
        <v>112.5</v>
      </c>
      <c r="F82" s="57">
        <f>F79-F81</f>
        <v>300</v>
      </c>
      <c r="G82" s="57">
        <f>G79-G81</f>
        <v>1687.5</v>
      </c>
      <c r="H82" s="32" t="s">
        <v>497</v>
      </c>
    </row>
    <row r="83" spans="2:8" ht="15.95" customHeight="1" x14ac:dyDescent="0.2">
      <c r="B83" s="12" t="s">
        <v>498</v>
      </c>
      <c r="C83" s="57">
        <f>MAX(0,C78-C82)</f>
        <v>1</v>
      </c>
      <c r="D83" s="57">
        <f>MAX(0,D78-D82)</f>
        <v>124.1</v>
      </c>
      <c r="E83" s="57">
        <f>MAX(0,E78-E82)</f>
        <v>220.83333333333331</v>
      </c>
      <c r="F83" s="57">
        <f>MAX(0,F78-F82)</f>
        <v>1575</v>
      </c>
      <c r="G83" s="57">
        <f>MAX(0,G78-G82)</f>
        <v>1312.5</v>
      </c>
      <c r="H83" s="32" t="s">
        <v>499</v>
      </c>
    </row>
    <row r="84" spans="2:8" ht="15.95" customHeight="1" x14ac:dyDescent="0.2">
      <c r="B84" s="12" t="s">
        <v>500</v>
      </c>
      <c r="C84" s="57">
        <f>C82+C83</f>
        <v>1</v>
      </c>
      <c r="D84" s="57">
        <f>D82+D83</f>
        <v>125</v>
      </c>
      <c r="E84" s="57">
        <f>E82+E83</f>
        <v>333.33333333333331</v>
      </c>
      <c r="F84" s="57">
        <f>F82+F83</f>
        <v>1875</v>
      </c>
      <c r="G84" s="57">
        <f>G82+G83</f>
        <v>3000</v>
      </c>
      <c r="H84" s="32" t="s">
        <v>501</v>
      </c>
    </row>
    <row r="85" spans="2:8" ht="15.95" customHeight="1" x14ac:dyDescent="0.2">
      <c r="B85" s="12" t="s">
        <v>502</v>
      </c>
      <c r="C85" s="57">
        <f>C84-C78</f>
        <v>0</v>
      </c>
      <c r="D85" s="57">
        <f>D84-D78</f>
        <v>0</v>
      </c>
      <c r="E85" s="57">
        <f>E84-E78</f>
        <v>0</v>
      </c>
      <c r="F85" s="57">
        <f>F84-F78</f>
        <v>0</v>
      </c>
      <c r="G85" s="57">
        <f>G84-G78</f>
        <v>0</v>
      </c>
      <c r="H85" s="32" t="s">
        <v>503</v>
      </c>
    </row>
    <row r="86" spans="2:8" ht="9.9499999999999993" customHeight="1" x14ac:dyDescent="0.2"/>
    <row r="87" spans="2:8" ht="9.9499999999999993" customHeight="1" x14ac:dyDescent="0.2"/>
    <row r="88" spans="2:8" ht="20.100000000000001" customHeight="1" x14ac:dyDescent="0.2">
      <c r="B88" s="5" t="s">
        <v>504</v>
      </c>
      <c r="C88" s="5"/>
      <c r="D88" s="5"/>
      <c r="E88" s="5"/>
      <c r="F88" s="5"/>
      <c r="G88" s="5"/>
      <c r="H88" s="5"/>
    </row>
    <row r="89" spans="2:8" ht="21.95" customHeight="1" x14ac:dyDescent="0.2">
      <c r="B89" s="10" t="s">
        <v>49</v>
      </c>
      <c r="C89" s="9">
        <v>3</v>
      </c>
      <c r="D89" s="9">
        <v>6</v>
      </c>
      <c r="E89" s="9">
        <v>9</v>
      </c>
      <c r="F89" s="9"/>
      <c r="G89" s="9"/>
      <c r="H89" s="10" t="s">
        <v>505</v>
      </c>
    </row>
    <row r="90" spans="2:8" ht="15.95" customHeight="1" x14ac:dyDescent="0.2">
      <c r="B90" s="12" t="s">
        <v>140</v>
      </c>
      <c r="C90" s="97" t="str">
        <f>"£"&amp;ROUND(ROUND(C$89*(INDEX($C$42:$G$42,1,MIN(5,ROUNDUP('Launch Readiness'!$E$6/12,0)))+INDEX($C$56:$G$56,1,MIN(5,ROUNDUP('Launch Readiness'!$E$6/12,0))))/12,0)/1000000,1)&amp;"m"</f>
        <v>£0.2m</v>
      </c>
      <c r="D90" s="97" t="str">
        <f>"£"&amp;ROUND(ROUND(D$89*(INDEX($C$42:$G$42,1,MIN(5,ROUNDUP('Launch Readiness'!$E$6/12,0)))+INDEX($C$56:$G$56,1,MIN(5,ROUNDUP('Launch Readiness'!$E$6/12,0))))/12,0)/1000000,1)&amp;"m"</f>
        <v>£0.4m</v>
      </c>
      <c r="E90" s="97" t="str">
        <f>"£"&amp;ROUND(ROUND(E$89*(INDEX($C$42:$G$42,1,MIN(5,ROUNDUP('Launch Readiness'!$E$6/12,0)))+INDEX($C$56:$G$56,1,MIN(5,ROUNDUP('Launch Readiness'!$E$6/12,0))))/12,0)/1000000,1)&amp;"m"</f>
        <v>£0.6m</v>
      </c>
      <c r="F90" s="15"/>
      <c r="G90" s="15"/>
      <c r="H90" s="32" t="s">
        <v>506</v>
      </c>
    </row>
    <row r="91" spans="2:8" ht="15.95" customHeight="1" x14ac:dyDescent="0.2">
      <c r="B91" s="12" t="s">
        <v>507</v>
      </c>
      <c r="C91" s="97" t="str">
        <f>"£"&amp;ROUND((MAX($C$64:$G$64)+ROUND(C$89*(INDEX($C$42:$G$42,1,MIN(5,ROUNDUP('Launch Readiness'!$E$6/12,0)))+INDEX($C$56:$G$56,1,MIN(5,ROUNDUP('Launch Readiness'!$E$6/12,0))))/12,0)+'Launch Readiness'!$E$10)/1000000,1)&amp;"m"</f>
        <v>£2.8m</v>
      </c>
      <c r="D91" s="97" t="str">
        <f>"£"&amp;ROUND((MAX($C$64:$G$64)+ROUND(D$89*(INDEX($C$42:$G$42,1,MIN(5,ROUNDUP('Launch Readiness'!$E$6/12,0)))+INDEX($C$56:$G$56,1,MIN(5,ROUNDUP('Launch Readiness'!$E$6/12,0))))/12,0)+'Launch Readiness'!$E$10)/1000000,1)&amp;"m"</f>
        <v>£3m</v>
      </c>
      <c r="E91" s="97" t="str">
        <f>"£"&amp;ROUND((MAX($C$64:$G$64)+ROUND(E$89*(INDEX($C$42:$G$42,1,MIN(5,ROUNDUP('Launch Readiness'!$E$6/12,0)))+INDEX($C$56:$G$56,1,MIN(5,ROUNDUP('Launch Readiness'!$E$6/12,0))))/12,0)+'Launch Readiness'!$E$10)/1000000,1)&amp;"m"</f>
        <v>£3.2m</v>
      </c>
      <c r="F91" s="15"/>
      <c r="G91" s="15"/>
      <c r="H91" s="32" t="s">
        <v>508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3A6491"/>
  </sheetPr>
  <dimension ref="A1:BK58"/>
  <sheetViews>
    <sheetView showGridLines="0" workbookViewId="0">
      <selection sqref="A1:N1"/>
    </sheetView>
  </sheetViews>
  <sheetFormatPr defaultColWidth="8.5703125" defaultRowHeight="12.75" x14ac:dyDescent="0.2"/>
  <cols>
    <col min="1" max="1" width="40" customWidth="1"/>
    <col min="2" max="61" width="11.42578125" customWidth="1"/>
    <col min="62" max="62" width="2.42578125" customWidth="1"/>
    <col min="63" max="63" width="60" customWidth="1"/>
  </cols>
  <sheetData>
    <row r="1" spans="1:63" ht="27.95" customHeight="1" x14ac:dyDescent="0.2">
      <c r="A1" s="169" t="s">
        <v>509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</row>
    <row r="2" spans="1:63" ht="18" customHeight="1" x14ac:dyDescent="0.2">
      <c r="A2" s="150" t="s">
        <v>510</v>
      </c>
      <c r="B2" s="150"/>
      <c r="C2" s="150"/>
      <c r="D2" s="150"/>
      <c r="E2" s="150"/>
      <c r="F2" s="150"/>
      <c r="G2" s="150"/>
      <c r="H2" s="150"/>
      <c r="I2" s="150"/>
      <c r="J2" s="150"/>
      <c r="K2" s="150"/>
      <c r="L2" s="150"/>
      <c r="M2" s="150"/>
      <c r="N2" s="150"/>
    </row>
    <row r="3" spans="1:63" ht="18" customHeight="1" x14ac:dyDescent="0.2">
      <c r="G3" s="98" t="s">
        <v>511</v>
      </c>
      <c r="H3" s="98"/>
      <c r="I3" s="98"/>
      <c r="J3" s="98" t="s">
        <v>512</v>
      </c>
      <c r="K3" s="98"/>
      <c r="L3" s="98"/>
    </row>
    <row r="4" spans="1:63" ht="20.100000000000001" customHeight="1" x14ac:dyDescent="0.2">
      <c r="A4" s="14" t="s">
        <v>513</v>
      </c>
      <c r="B4" s="28" t="str">
        <f>Assumptions!$D$4</f>
        <v>BASE</v>
      </c>
      <c r="D4" s="14" t="s">
        <v>514</v>
      </c>
      <c r="E4" s="28" t="str">
        <f>IF(MAX(B38:BI38)&lt;0,"Beyond Month 60",INDEX($B$9:$BI$9,1,MATCH("Reached",B58:BI58,0)))</f>
        <v>Y4 M8</v>
      </c>
      <c r="H4" s="75">
        <f>ROUND(-MIN(0,B38:BI38),0)</f>
        <v>2649419</v>
      </c>
      <c r="K4" s="75">
        <f>ROUND(BI38,0)</f>
        <v>12947943</v>
      </c>
    </row>
    <row r="5" spans="1:63" ht="9.9499999999999993" customHeight="1" x14ac:dyDescent="0.2"/>
    <row r="6" spans="1:63" ht="14.1" customHeight="1" x14ac:dyDescent="0.2">
      <c r="A6" s="10" t="s">
        <v>515</v>
      </c>
      <c r="B6" s="99">
        <v>1</v>
      </c>
      <c r="C6" s="99">
        <v>2</v>
      </c>
      <c r="D6" s="99">
        <v>3</v>
      </c>
      <c r="E6" s="99">
        <v>4</v>
      </c>
      <c r="F6" s="99">
        <v>5</v>
      </c>
      <c r="G6" s="99">
        <v>6</v>
      </c>
      <c r="H6" s="99">
        <v>7</v>
      </c>
      <c r="I6" s="99">
        <v>8</v>
      </c>
      <c r="J6" s="99">
        <v>9</v>
      </c>
      <c r="K6" s="99">
        <v>10</v>
      </c>
      <c r="L6" s="99">
        <v>11</v>
      </c>
      <c r="M6" s="99">
        <v>12</v>
      </c>
      <c r="N6" s="99">
        <v>13</v>
      </c>
      <c r="O6" s="99">
        <v>14</v>
      </c>
      <c r="P6" s="99">
        <v>15</v>
      </c>
      <c r="Q6" s="99">
        <v>16</v>
      </c>
      <c r="R6" s="99">
        <v>17</v>
      </c>
      <c r="S6" s="99">
        <v>18</v>
      </c>
      <c r="T6" s="99">
        <v>19</v>
      </c>
      <c r="U6" s="99">
        <v>20</v>
      </c>
      <c r="V6" s="99">
        <v>21</v>
      </c>
      <c r="W6" s="99">
        <v>22</v>
      </c>
      <c r="X6" s="99">
        <v>23</v>
      </c>
      <c r="Y6" s="99">
        <v>24</v>
      </c>
      <c r="Z6" s="99">
        <v>25</v>
      </c>
      <c r="AA6" s="99">
        <v>26</v>
      </c>
      <c r="AB6" s="99">
        <v>27</v>
      </c>
      <c r="AC6" s="99">
        <v>28</v>
      </c>
      <c r="AD6" s="99">
        <v>29</v>
      </c>
      <c r="AE6" s="99">
        <v>30</v>
      </c>
      <c r="AF6" s="99">
        <v>31</v>
      </c>
      <c r="AG6" s="99">
        <v>32</v>
      </c>
      <c r="AH6" s="99">
        <v>33</v>
      </c>
      <c r="AI6" s="99">
        <v>34</v>
      </c>
      <c r="AJ6" s="99">
        <v>35</v>
      </c>
      <c r="AK6" s="99">
        <v>36</v>
      </c>
      <c r="AL6" s="99">
        <v>37</v>
      </c>
      <c r="AM6" s="99">
        <v>38</v>
      </c>
      <c r="AN6" s="99">
        <v>39</v>
      </c>
      <c r="AO6" s="99">
        <v>40</v>
      </c>
      <c r="AP6" s="99">
        <v>41</v>
      </c>
      <c r="AQ6" s="99">
        <v>42</v>
      </c>
      <c r="AR6" s="99">
        <v>43</v>
      </c>
      <c r="AS6" s="99">
        <v>44</v>
      </c>
      <c r="AT6" s="99">
        <v>45</v>
      </c>
      <c r="AU6" s="99">
        <v>46</v>
      </c>
      <c r="AV6" s="99">
        <v>47</v>
      </c>
      <c r="AW6" s="99">
        <v>48</v>
      </c>
      <c r="AX6" s="99">
        <v>49</v>
      </c>
      <c r="AY6" s="99">
        <v>50</v>
      </c>
      <c r="AZ6" s="99">
        <v>51</v>
      </c>
      <c r="BA6" s="99">
        <v>52</v>
      </c>
      <c r="BB6" s="99">
        <v>53</v>
      </c>
      <c r="BC6" s="99">
        <v>54</v>
      </c>
      <c r="BD6" s="99">
        <v>55</v>
      </c>
      <c r="BE6" s="99">
        <v>56</v>
      </c>
      <c r="BF6" s="99">
        <v>57</v>
      </c>
      <c r="BG6" s="99">
        <v>58</v>
      </c>
      <c r="BH6" s="99">
        <v>59</v>
      </c>
      <c r="BI6" s="99">
        <v>60</v>
      </c>
      <c r="BK6" s="10" t="s">
        <v>328</v>
      </c>
    </row>
    <row r="7" spans="1:63" ht="14.1" customHeight="1" x14ac:dyDescent="0.2">
      <c r="A7" s="101" t="s">
        <v>516</v>
      </c>
      <c r="B7" s="100">
        <f t="shared" ref="B7:AG7" si="0">ROUNDUP(B$6/12,0)</f>
        <v>1</v>
      </c>
      <c r="C7" s="100">
        <f t="shared" si="0"/>
        <v>1</v>
      </c>
      <c r="D7" s="100">
        <f t="shared" si="0"/>
        <v>1</v>
      </c>
      <c r="E7" s="100">
        <f t="shared" si="0"/>
        <v>1</v>
      </c>
      <c r="F7" s="100">
        <f t="shared" si="0"/>
        <v>1</v>
      </c>
      <c r="G7" s="100">
        <f t="shared" si="0"/>
        <v>1</v>
      </c>
      <c r="H7" s="100">
        <f t="shared" si="0"/>
        <v>1</v>
      </c>
      <c r="I7" s="100">
        <f t="shared" si="0"/>
        <v>1</v>
      </c>
      <c r="J7" s="100">
        <f t="shared" si="0"/>
        <v>1</v>
      </c>
      <c r="K7" s="100">
        <f t="shared" si="0"/>
        <v>1</v>
      </c>
      <c r="L7" s="100">
        <f t="shared" si="0"/>
        <v>1</v>
      </c>
      <c r="M7" s="100">
        <f t="shared" si="0"/>
        <v>1</v>
      </c>
      <c r="N7" s="100">
        <f t="shared" si="0"/>
        <v>2</v>
      </c>
      <c r="O7" s="100">
        <f t="shared" si="0"/>
        <v>2</v>
      </c>
      <c r="P7" s="100">
        <f t="shared" si="0"/>
        <v>2</v>
      </c>
      <c r="Q7" s="100">
        <f t="shared" si="0"/>
        <v>2</v>
      </c>
      <c r="R7" s="100">
        <f t="shared" si="0"/>
        <v>2</v>
      </c>
      <c r="S7" s="100">
        <f t="shared" si="0"/>
        <v>2</v>
      </c>
      <c r="T7" s="100">
        <f t="shared" si="0"/>
        <v>2</v>
      </c>
      <c r="U7" s="100">
        <f t="shared" si="0"/>
        <v>2</v>
      </c>
      <c r="V7" s="100">
        <f t="shared" si="0"/>
        <v>2</v>
      </c>
      <c r="W7" s="100">
        <f t="shared" si="0"/>
        <v>2</v>
      </c>
      <c r="X7" s="100">
        <f t="shared" si="0"/>
        <v>2</v>
      </c>
      <c r="Y7" s="100">
        <f t="shared" si="0"/>
        <v>2</v>
      </c>
      <c r="Z7" s="100">
        <f t="shared" si="0"/>
        <v>3</v>
      </c>
      <c r="AA7" s="100">
        <f t="shared" si="0"/>
        <v>3</v>
      </c>
      <c r="AB7" s="100">
        <f t="shared" si="0"/>
        <v>3</v>
      </c>
      <c r="AC7" s="100">
        <f t="shared" si="0"/>
        <v>3</v>
      </c>
      <c r="AD7" s="100">
        <f t="shared" si="0"/>
        <v>3</v>
      </c>
      <c r="AE7" s="100">
        <f t="shared" si="0"/>
        <v>3</v>
      </c>
      <c r="AF7" s="100">
        <f t="shared" si="0"/>
        <v>3</v>
      </c>
      <c r="AG7" s="100">
        <f t="shared" si="0"/>
        <v>3</v>
      </c>
      <c r="AH7" s="100">
        <f t="shared" ref="AH7:BI7" si="1">ROUNDUP(AH$6/12,0)</f>
        <v>3</v>
      </c>
      <c r="AI7" s="100">
        <f t="shared" si="1"/>
        <v>3</v>
      </c>
      <c r="AJ7" s="100">
        <f t="shared" si="1"/>
        <v>3</v>
      </c>
      <c r="AK7" s="100">
        <f t="shared" si="1"/>
        <v>3</v>
      </c>
      <c r="AL7" s="100">
        <f t="shared" si="1"/>
        <v>4</v>
      </c>
      <c r="AM7" s="100">
        <f t="shared" si="1"/>
        <v>4</v>
      </c>
      <c r="AN7" s="100">
        <f t="shared" si="1"/>
        <v>4</v>
      </c>
      <c r="AO7" s="100">
        <f t="shared" si="1"/>
        <v>4</v>
      </c>
      <c r="AP7" s="100">
        <f t="shared" si="1"/>
        <v>4</v>
      </c>
      <c r="AQ7" s="100">
        <f t="shared" si="1"/>
        <v>4</v>
      </c>
      <c r="AR7" s="100">
        <f t="shared" si="1"/>
        <v>4</v>
      </c>
      <c r="AS7" s="100">
        <f t="shared" si="1"/>
        <v>4</v>
      </c>
      <c r="AT7" s="100">
        <f t="shared" si="1"/>
        <v>4</v>
      </c>
      <c r="AU7" s="100">
        <f t="shared" si="1"/>
        <v>4</v>
      </c>
      <c r="AV7" s="100">
        <f t="shared" si="1"/>
        <v>4</v>
      </c>
      <c r="AW7" s="100">
        <f t="shared" si="1"/>
        <v>4</v>
      </c>
      <c r="AX7" s="100">
        <f t="shared" si="1"/>
        <v>5</v>
      </c>
      <c r="AY7" s="100">
        <f t="shared" si="1"/>
        <v>5</v>
      </c>
      <c r="AZ7" s="100">
        <f t="shared" si="1"/>
        <v>5</v>
      </c>
      <c r="BA7" s="100">
        <f t="shared" si="1"/>
        <v>5</v>
      </c>
      <c r="BB7" s="100">
        <f t="shared" si="1"/>
        <v>5</v>
      </c>
      <c r="BC7" s="100">
        <f t="shared" si="1"/>
        <v>5</v>
      </c>
      <c r="BD7" s="100">
        <f t="shared" si="1"/>
        <v>5</v>
      </c>
      <c r="BE7" s="100">
        <f t="shared" si="1"/>
        <v>5</v>
      </c>
      <c r="BF7" s="100">
        <f t="shared" si="1"/>
        <v>5</v>
      </c>
      <c r="BG7" s="100">
        <f t="shared" si="1"/>
        <v>5</v>
      </c>
      <c r="BH7" s="100">
        <f t="shared" si="1"/>
        <v>5</v>
      </c>
      <c r="BI7" s="100">
        <f t="shared" si="1"/>
        <v>5</v>
      </c>
    </row>
    <row r="8" spans="1:63" ht="14.1" customHeight="1" x14ac:dyDescent="0.2">
      <c r="A8" s="101" t="s">
        <v>517</v>
      </c>
      <c r="B8" s="100">
        <f t="shared" ref="B8:AG8" si="2">MOD(B$6-1,12)+1</f>
        <v>1</v>
      </c>
      <c r="C8" s="100">
        <f t="shared" si="2"/>
        <v>2</v>
      </c>
      <c r="D8" s="100">
        <f t="shared" si="2"/>
        <v>3</v>
      </c>
      <c r="E8" s="100">
        <f t="shared" si="2"/>
        <v>4</v>
      </c>
      <c r="F8" s="100">
        <f t="shared" si="2"/>
        <v>5</v>
      </c>
      <c r="G8" s="100">
        <f t="shared" si="2"/>
        <v>6</v>
      </c>
      <c r="H8" s="100">
        <f t="shared" si="2"/>
        <v>7</v>
      </c>
      <c r="I8" s="100">
        <f t="shared" si="2"/>
        <v>8</v>
      </c>
      <c r="J8" s="100">
        <f t="shared" si="2"/>
        <v>9</v>
      </c>
      <c r="K8" s="100">
        <f t="shared" si="2"/>
        <v>10</v>
      </c>
      <c r="L8" s="100">
        <f t="shared" si="2"/>
        <v>11</v>
      </c>
      <c r="M8" s="100">
        <f t="shared" si="2"/>
        <v>12</v>
      </c>
      <c r="N8" s="100">
        <f t="shared" si="2"/>
        <v>1</v>
      </c>
      <c r="O8" s="100">
        <f t="shared" si="2"/>
        <v>2</v>
      </c>
      <c r="P8" s="100">
        <f t="shared" si="2"/>
        <v>3</v>
      </c>
      <c r="Q8" s="100">
        <f t="shared" si="2"/>
        <v>4</v>
      </c>
      <c r="R8" s="100">
        <f t="shared" si="2"/>
        <v>5</v>
      </c>
      <c r="S8" s="100">
        <f t="shared" si="2"/>
        <v>6</v>
      </c>
      <c r="T8" s="100">
        <f t="shared" si="2"/>
        <v>7</v>
      </c>
      <c r="U8" s="100">
        <f t="shared" si="2"/>
        <v>8</v>
      </c>
      <c r="V8" s="100">
        <f t="shared" si="2"/>
        <v>9</v>
      </c>
      <c r="W8" s="100">
        <f t="shared" si="2"/>
        <v>10</v>
      </c>
      <c r="X8" s="100">
        <f t="shared" si="2"/>
        <v>11</v>
      </c>
      <c r="Y8" s="100">
        <f t="shared" si="2"/>
        <v>12</v>
      </c>
      <c r="Z8" s="100">
        <f t="shared" si="2"/>
        <v>1</v>
      </c>
      <c r="AA8" s="100">
        <f t="shared" si="2"/>
        <v>2</v>
      </c>
      <c r="AB8" s="100">
        <f t="shared" si="2"/>
        <v>3</v>
      </c>
      <c r="AC8" s="100">
        <f t="shared" si="2"/>
        <v>4</v>
      </c>
      <c r="AD8" s="100">
        <f t="shared" si="2"/>
        <v>5</v>
      </c>
      <c r="AE8" s="100">
        <f t="shared" si="2"/>
        <v>6</v>
      </c>
      <c r="AF8" s="100">
        <f t="shared" si="2"/>
        <v>7</v>
      </c>
      <c r="AG8" s="100">
        <f t="shared" si="2"/>
        <v>8</v>
      </c>
      <c r="AH8" s="100">
        <f t="shared" ref="AH8:BI8" si="3">MOD(AH$6-1,12)+1</f>
        <v>9</v>
      </c>
      <c r="AI8" s="100">
        <f t="shared" si="3"/>
        <v>10</v>
      </c>
      <c r="AJ8" s="100">
        <f t="shared" si="3"/>
        <v>11</v>
      </c>
      <c r="AK8" s="100">
        <f t="shared" si="3"/>
        <v>12</v>
      </c>
      <c r="AL8" s="100">
        <f t="shared" si="3"/>
        <v>1</v>
      </c>
      <c r="AM8" s="100">
        <f t="shared" si="3"/>
        <v>2</v>
      </c>
      <c r="AN8" s="100">
        <f t="shared" si="3"/>
        <v>3</v>
      </c>
      <c r="AO8" s="100">
        <f t="shared" si="3"/>
        <v>4</v>
      </c>
      <c r="AP8" s="100">
        <f t="shared" si="3"/>
        <v>5</v>
      </c>
      <c r="AQ8" s="100">
        <f t="shared" si="3"/>
        <v>6</v>
      </c>
      <c r="AR8" s="100">
        <f t="shared" si="3"/>
        <v>7</v>
      </c>
      <c r="AS8" s="100">
        <f t="shared" si="3"/>
        <v>8</v>
      </c>
      <c r="AT8" s="100">
        <f t="shared" si="3"/>
        <v>9</v>
      </c>
      <c r="AU8" s="100">
        <f t="shared" si="3"/>
        <v>10</v>
      </c>
      <c r="AV8" s="100">
        <f t="shared" si="3"/>
        <v>11</v>
      </c>
      <c r="AW8" s="100">
        <f t="shared" si="3"/>
        <v>12</v>
      </c>
      <c r="AX8" s="100">
        <f t="shared" si="3"/>
        <v>1</v>
      </c>
      <c r="AY8" s="100">
        <f t="shared" si="3"/>
        <v>2</v>
      </c>
      <c r="AZ8" s="100">
        <f t="shared" si="3"/>
        <v>3</v>
      </c>
      <c r="BA8" s="100">
        <f t="shared" si="3"/>
        <v>4</v>
      </c>
      <c r="BB8" s="100">
        <f t="shared" si="3"/>
        <v>5</v>
      </c>
      <c r="BC8" s="100">
        <f t="shared" si="3"/>
        <v>6</v>
      </c>
      <c r="BD8" s="100">
        <f t="shared" si="3"/>
        <v>7</v>
      </c>
      <c r="BE8" s="100">
        <f t="shared" si="3"/>
        <v>8</v>
      </c>
      <c r="BF8" s="100">
        <f t="shared" si="3"/>
        <v>9</v>
      </c>
      <c r="BG8" s="100">
        <f t="shared" si="3"/>
        <v>10</v>
      </c>
      <c r="BH8" s="100">
        <f t="shared" si="3"/>
        <v>11</v>
      </c>
      <c r="BI8" s="100">
        <f t="shared" si="3"/>
        <v>12</v>
      </c>
    </row>
    <row r="9" spans="1:63" ht="17.100000000000001" customHeight="1" x14ac:dyDescent="0.2">
      <c r="A9" s="10" t="s">
        <v>518</v>
      </c>
      <c r="B9" s="9" t="str">
        <f t="shared" ref="B9:AG9" si="4">"Y"&amp;B$7&amp;" M"&amp;B$8</f>
        <v>Y1 M1</v>
      </c>
      <c r="C9" s="9" t="str">
        <f t="shared" si="4"/>
        <v>Y1 M2</v>
      </c>
      <c r="D9" s="9" t="str">
        <f t="shared" si="4"/>
        <v>Y1 M3</v>
      </c>
      <c r="E9" s="9" t="str">
        <f t="shared" si="4"/>
        <v>Y1 M4</v>
      </c>
      <c r="F9" s="9" t="str">
        <f t="shared" si="4"/>
        <v>Y1 M5</v>
      </c>
      <c r="G9" s="9" t="str">
        <f t="shared" si="4"/>
        <v>Y1 M6</v>
      </c>
      <c r="H9" s="9" t="str">
        <f t="shared" si="4"/>
        <v>Y1 M7</v>
      </c>
      <c r="I9" s="9" t="str">
        <f t="shared" si="4"/>
        <v>Y1 M8</v>
      </c>
      <c r="J9" s="9" t="str">
        <f t="shared" si="4"/>
        <v>Y1 M9</v>
      </c>
      <c r="K9" s="9" t="str">
        <f t="shared" si="4"/>
        <v>Y1 M10</v>
      </c>
      <c r="L9" s="9" t="str">
        <f t="shared" si="4"/>
        <v>Y1 M11</v>
      </c>
      <c r="M9" s="9" t="str">
        <f t="shared" si="4"/>
        <v>Y1 M12</v>
      </c>
      <c r="N9" s="9" t="str">
        <f t="shared" si="4"/>
        <v>Y2 M1</v>
      </c>
      <c r="O9" s="9" t="str">
        <f t="shared" si="4"/>
        <v>Y2 M2</v>
      </c>
      <c r="P9" s="9" t="str">
        <f t="shared" si="4"/>
        <v>Y2 M3</v>
      </c>
      <c r="Q9" s="9" t="str">
        <f t="shared" si="4"/>
        <v>Y2 M4</v>
      </c>
      <c r="R9" s="9" t="str">
        <f t="shared" si="4"/>
        <v>Y2 M5</v>
      </c>
      <c r="S9" s="9" t="str">
        <f t="shared" si="4"/>
        <v>Y2 M6</v>
      </c>
      <c r="T9" s="9" t="str">
        <f t="shared" si="4"/>
        <v>Y2 M7</v>
      </c>
      <c r="U9" s="9" t="str">
        <f t="shared" si="4"/>
        <v>Y2 M8</v>
      </c>
      <c r="V9" s="9" t="str">
        <f t="shared" si="4"/>
        <v>Y2 M9</v>
      </c>
      <c r="W9" s="9" t="str">
        <f t="shared" si="4"/>
        <v>Y2 M10</v>
      </c>
      <c r="X9" s="9" t="str">
        <f t="shared" si="4"/>
        <v>Y2 M11</v>
      </c>
      <c r="Y9" s="9" t="str">
        <f t="shared" si="4"/>
        <v>Y2 M12</v>
      </c>
      <c r="Z9" s="9" t="str">
        <f t="shared" si="4"/>
        <v>Y3 M1</v>
      </c>
      <c r="AA9" s="9" t="str">
        <f t="shared" si="4"/>
        <v>Y3 M2</v>
      </c>
      <c r="AB9" s="9" t="str">
        <f t="shared" si="4"/>
        <v>Y3 M3</v>
      </c>
      <c r="AC9" s="9" t="str">
        <f t="shared" si="4"/>
        <v>Y3 M4</v>
      </c>
      <c r="AD9" s="9" t="str">
        <f t="shared" si="4"/>
        <v>Y3 M5</v>
      </c>
      <c r="AE9" s="9" t="str">
        <f t="shared" si="4"/>
        <v>Y3 M6</v>
      </c>
      <c r="AF9" s="9" t="str">
        <f t="shared" si="4"/>
        <v>Y3 M7</v>
      </c>
      <c r="AG9" s="9" t="str">
        <f t="shared" si="4"/>
        <v>Y3 M8</v>
      </c>
      <c r="AH9" s="9" t="str">
        <f t="shared" ref="AH9:BI9" si="5">"Y"&amp;AH$7&amp;" M"&amp;AH$8</f>
        <v>Y3 M9</v>
      </c>
      <c r="AI9" s="9" t="str">
        <f t="shared" si="5"/>
        <v>Y3 M10</v>
      </c>
      <c r="AJ9" s="9" t="str">
        <f t="shared" si="5"/>
        <v>Y3 M11</v>
      </c>
      <c r="AK9" s="9" t="str">
        <f t="shared" si="5"/>
        <v>Y3 M12</v>
      </c>
      <c r="AL9" s="9" t="str">
        <f t="shared" si="5"/>
        <v>Y4 M1</v>
      </c>
      <c r="AM9" s="9" t="str">
        <f t="shared" si="5"/>
        <v>Y4 M2</v>
      </c>
      <c r="AN9" s="9" t="str">
        <f t="shared" si="5"/>
        <v>Y4 M3</v>
      </c>
      <c r="AO9" s="9" t="str">
        <f t="shared" si="5"/>
        <v>Y4 M4</v>
      </c>
      <c r="AP9" s="9" t="str">
        <f t="shared" si="5"/>
        <v>Y4 M5</v>
      </c>
      <c r="AQ9" s="9" t="str">
        <f t="shared" si="5"/>
        <v>Y4 M6</v>
      </c>
      <c r="AR9" s="9" t="str">
        <f t="shared" si="5"/>
        <v>Y4 M7</v>
      </c>
      <c r="AS9" s="9" t="str">
        <f t="shared" si="5"/>
        <v>Y4 M8</v>
      </c>
      <c r="AT9" s="9" t="str">
        <f t="shared" si="5"/>
        <v>Y4 M9</v>
      </c>
      <c r="AU9" s="9" t="str">
        <f t="shared" si="5"/>
        <v>Y4 M10</v>
      </c>
      <c r="AV9" s="9" t="str">
        <f t="shared" si="5"/>
        <v>Y4 M11</v>
      </c>
      <c r="AW9" s="9" t="str">
        <f t="shared" si="5"/>
        <v>Y4 M12</v>
      </c>
      <c r="AX9" s="9" t="str">
        <f t="shared" si="5"/>
        <v>Y5 M1</v>
      </c>
      <c r="AY9" s="9" t="str">
        <f t="shared" si="5"/>
        <v>Y5 M2</v>
      </c>
      <c r="AZ9" s="9" t="str">
        <f t="shared" si="5"/>
        <v>Y5 M3</v>
      </c>
      <c r="BA9" s="9" t="str">
        <f t="shared" si="5"/>
        <v>Y5 M4</v>
      </c>
      <c r="BB9" s="9" t="str">
        <f t="shared" si="5"/>
        <v>Y5 M5</v>
      </c>
      <c r="BC9" s="9" t="str">
        <f t="shared" si="5"/>
        <v>Y5 M6</v>
      </c>
      <c r="BD9" s="9" t="str">
        <f t="shared" si="5"/>
        <v>Y5 M7</v>
      </c>
      <c r="BE9" s="9" t="str">
        <f t="shared" si="5"/>
        <v>Y5 M8</v>
      </c>
      <c r="BF9" s="9" t="str">
        <f t="shared" si="5"/>
        <v>Y5 M9</v>
      </c>
      <c r="BG9" s="9" t="str">
        <f t="shared" si="5"/>
        <v>Y5 M10</v>
      </c>
      <c r="BH9" s="9" t="str">
        <f t="shared" si="5"/>
        <v>Y5 M11</v>
      </c>
      <c r="BI9" s="9" t="str">
        <f t="shared" si="5"/>
        <v>Y5 M12</v>
      </c>
    </row>
    <row r="10" spans="1:63" ht="8.1" customHeight="1" x14ac:dyDescent="0.2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</row>
    <row r="11" spans="1:63" ht="18.95" customHeight="1" x14ac:dyDescent="0.2">
      <c r="A11" s="5" t="s">
        <v>519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</row>
    <row r="12" spans="1:63" ht="15" customHeight="1" x14ac:dyDescent="0.2">
      <c r="A12" s="12" t="s">
        <v>520</v>
      </c>
      <c r="B12" s="67">
        <f>ROUND(IF(B$6&lt;='Launch Readiness'!$B$7,0,IF((B$6-'Launch Readiness'!$B$7)&lt;'Launch Readiness'!$E$6,0,INDEX('P&amp;L 5yr'!$C$18:$G$18,1,ROUNDUP((B$6-'Launch Readiness'!$B$7)/12,0))/MAX(1,INDEX('Launch Readiness'!$B$26:$F$26,1,ROUNDUP((B$6-'Launch Readiness'!$B$7)/12,0))))),0)</f>
        <v>0</v>
      </c>
      <c r="C12" s="67">
        <f>ROUND(IF(C$6&lt;='Launch Readiness'!$B$7,0,IF((C$6-'Launch Readiness'!$B$7)&lt;'Launch Readiness'!$E$6,0,INDEX('P&amp;L 5yr'!$C$18:$G$18,1,ROUNDUP((C$6-'Launch Readiness'!$B$7)/12,0))/MAX(1,INDEX('Launch Readiness'!$B$26:$F$26,1,ROUNDUP((C$6-'Launch Readiness'!$B$7)/12,0))))),0)</f>
        <v>0</v>
      </c>
      <c r="D12" s="67">
        <f>ROUND(IF(D$6&lt;='Launch Readiness'!$B$7,0,IF((D$6-'Launch Readiness'!$B$7)&lt;'Launch Readiness'!$E$6,0,INDEX('P&amp;L 5yr'!$C$18:$G$18,1,ROUNDUP((D$6-'Launch Readiness'!$B$7)/12,0))/MAX(1,INDEX('Launch Readiness'!$B$26:$F$26,1,ROUNDUP((D$6-'Launch Readiness'!$B$7)/12,0))))),0)</f>
        <v>0</v>
      </c>
      <c r="E12" s="67">
        <f>ROUND(IF(E$6&lt;='Launch Readiness'!$B$7,0,IF((E$6-'Launch Readiness'!$B$7)&lt;'Launch Readiness'!$E$6,0,INDEX('P&amp;L 5yr'!$C$18:$G$18,1,ROUNDUP((E$6-'Launch Readiness'!$B$7)/12,0))/MAX(1,INDEX('Launch Readiness'!$B$26:$F$26,1,ROUNDUP((E$6-'Launch Readiness'!$B$7)/12,0))))),0)</f>
        <v>0</v>
      </c>
      <c r="F12" s="67">
        <f>ROUND(IF(F$6&lt;='Launch Readiness'!$B$7,0,IF((F$6-'Launch Readiness'!$B$7)&lt;'Launch Readiness'!$E$6,0,INDEX('P&amp;L 5yr'!$C$18:$G$18,1,ROUNDUP((F$6-'Launch Readiness'!$B$7)/12,0))/MAX(1,INDEX('Launch Readiness'!$B$26:$F$26,1,ROUNDUP((F$6-'Launch Readiness'!$B$7)/12,0))))),0)</f>
        <v>0</v>
      </c>
      <c r="G12" s="67">
        <f>ROUND(IF(G$6&lt;='Launch Readiness'!$B$7,0,IF((G$6-'Launch Readiness'!$B$7)&lt;'Launch Readiness'!$E$6,0,INDEX('P&amp;L 5yr'!$C$18:$G$18,1,ROUNDUP((G$6-'Launch Readiness'!$B$7)/12,0))/MAX(1,INDEX('Launch Readiness'!$B$26:$F$26,1,ROUNDUP((G$6-'Launch Readiness'!$B$7)/12,0))))),0)</f>
        <v>0</v>
      </c>
      <c r="H12" s="67">
        <f>ROUND(IF(H$6&lt;='Launch Readiness'!$B$7,0,IF((H$6-'Launch Readiness'!$B$7)&lt;'Launch Readiness'!$E$6,0,INDEX('P&amp;L 5yr'!$C$18:$G$18,1,ROUNDUP((H$6-'Launch Readiness'!$B$7)/12,0))/MAX(1,INDEX('Launch Readiness'!$B$26:$F$26,1,ROUNDUP((H$6-'Launch Readiness'!$B$7)/12,0))))),0)</f>
        <v>0</v>
      </c>
      <c r="I12" s="67">
        <f>ROUND(IF(I$6&lt;='Launch Readiness'!$B$7,0,IF((I$6-'Launch Readiness'!$B$7)&lt;'Launch Readiness'!$E$6,0,INDEX('P&amp;L 5yr'!$C$18:$G$18,1,ROUNDUP((I$6-'Launch Readiness'!$B$7)/12,0))/MAX(1,INDEX('Launch Readiness'!$B$26:$F$26,1,ROUNDUP((I$6-'Launch Readiness'!$B$7)/12,0))))),0)</f>
        <v>0</v>
      </c>
      <c r="J12" s="67">
        <f>ROUND(IF(J$6&lt;='Launch Readiness'!$B$7,0,IF((J$6-'Launch Readiness'!$B$7)&lt;'Launch Readiness'!$E$6,0,INDEX('P&amp;L 5yr'!$C$18:$G$18,1,ROUNDUP((J$6-'Launch Readiness'!$B$7)/12,0))/MAX(1,INDEX('Launch Readiness'!$B$26:$F$26,1,ROUNDUP((J$6-'Launch Readiness'!$B$7)/12,0))))),0)</f>
        <v>0</v>
      </c>
      <c r="K12" s="67">
        <f>ROUND(IF(K$6&lt;='Launch Readiness'!$B$7,0,IF((K$6-'Launch Readiness'!$B$7)&lt;'Launch Readiness'!$E$6,0,INDEX('P&amp;L 5yr'!$C$18:$G$18,1,ROUNDUP((K$6-'Launch Readiness'!$B$7)/12,0))/MAX(1,INDEX('Launch Readiness'!$B$26:$F$26,1,ROUNDUP((K$6-'Launch Readiness'!$B$7)/12,0))))),0)</f>
        <v>0</v>
      </c>
      <c r="L12" s="67">
        <f>ROUND(IF(L$6&lt;='Launch Readiness'!$B$7,0,IF((L$6-'Launch Readiness'!$B$7)&lt;'Launch Readiness'!$E$6,0,INDEX('P&amp;L 5yr'!$C$18:$G$18,1,ROUNDUP((L$6-'Launch Readiness'!$B$7)/12,0))/MAX(1,INDEX('Launch Readiness'!$B$26:$F$26,1,ROUNDUP((L$6-'Launch Readiness'!$B$7)/12,0))))),0)</f>
        <v>0</v>
      </c>
      <c r="M12" s="67">
        <f>ROUND(IF(M$6&lt;='Launch Readiness'!$B$7,0,IF((M$6-'Launch Readiness'!$B$7)&lt;'Launch Readiness'!$E$6,0,INDEX('P&amp;L 5yr'!$C$18:$G$18,1,ROUNDUP((M$6-'Launch Readiness'!$B$7)/12,0))/MAX(1,INDEX('Launch Readiness'!$B$26:$F$26,1,ROUNDUP((M$6-'Launch Readiness'!$B$7)/12,0))))),0)</f>
        <v>0</v>
      </c>
      <c r="N12" s="67">
        <f>ROUND(IF(N$6&lt;='Launch Readiness'!$B$7,0,IF((N$6-'Launch Readiness'!$B$7)&lt;'Launch Readiness'!$E$6,0,INDEX('P&amp;L 5yr'!$C$18:$G$18,1,ROUNDUP((N$6-'Launch Readiness'!$B$7)/12,0))/MAX(1,INDEX('Launch Readiness'!$B$26:$F$26,1,ROUNDUP((N$6-'Launch Readiness'!$B$7)/12,0))))),0)</f>
        <v>2449</v>
      </c>
      <c r="O12" s="67">
        <f>ROUND(IF(O$6&lt;='Launch Readiness'!$B$7,0,IF((O$6-'Launch Readiness'!$B$7)&lt;'Launch Readiness'!$E$6,0,INDEX('P&amp;L 5yr'!$C$18:$G$18,1,ROUNDUP((O$6-'Launch Readiness'!$B$7)/12,0))/MAX(1,INDEX('Launch Readiness'!$B$26:$F$26,1,ROUNDUP((O$6-'Launch Readiness'!$B$7)/12,0))))),0)</f>
        <v>33712</v>
      </c>
      <c r="P12" s="67">
        <f>ROUND(IF(P$6&lt;='Launch Readiness'!$B$7,0,IF((P$6-'Launch Readiness'!$B$7)&lt;'Launch Readiness'!$E$6,0,INDEX('P&amp;L 5yr'!$C$18:$G$18,1,ROUNDUP((P$6-'Launch Readiness'!$B$7)/12,0))/MAX(1,INDEX('Launch Readiness'!$B$26:$F$26,1,ROUNDUP((P$6-'Launch Readiness'!$B$7)/12,0))))),0)</f>
        <v>33712</v>
      </c>
      <c r="Q12" s="67">
        <f>ROUND(IF(Q$6&lt;='Launch Readiness'!$B$7,0,IF((Q$6-'Launch Readiness'!$B$7)&lt;'Launch Readiness'!$E$6,0,INDEX('P&amp;L 5yr'!$C$18:$G$18,1,ROUNDUP((Q$6-'Launch Readiness'!$B$7)/12,0))/MAX(1,INDEX('Launch Readiness'!$B$26:$F$26,1,ROUNDUP((Q$6-'Launch Readiness'!$B$7)/12,0))))),0)</f>
        <v>33712</v>
      </c>
      <c r="R12" s="67">
        <f>ROUND(IF(R$6&lt;='Launch Readiness'!$B$7,0,IF((R$6-'Launch Readiness'!$B$7)&lt;'Launch Readiness'!$E$6,0,INDEX('P&amp;L 5yr'!$C$18:$G$18,1,ROUNDUP((R$6-'Launch Readiness'!$B$7)/12,0))/MAX(1,INDEX('Launch Readiness'!$B$26:$F$26,1,ROUNDUP((R$6-'Launch Readiness'!$B$7)/12,0))))),0)</f>
        <v>33712</v>
      </c>
      <c r="S12" s="67">
        <f>ROUND(IF(S$6&lt;='Launch Readiness'!$B$7,0,IF((S$6-'Launch Readiness'!$B$7)&lt;'Launch Readiness'!$E$6,0,INDEX('P&amp;L 5yr'!$C$18:$G$18,1,ROUNDUP((S$6-'Launch Readiness'!$B$7)/12,0))/MAX(1,INDEX('Launch Readiness'!$B$26:$F$26,1,ROUNDUP((S$6-'Launch Readiness'!$B$7)/12,0))))),0)</f>
        <v>33712</v>
      </c>
      <c r="T12" s="67">
        <f>ROUND(IF(T$6&lt;='Launch Readiness'!$B$7,0,IF((T$6-'Launch Readiness'!$B$7)&lt;'Launch Readiness'!$E$6,0,INDEX('P&amp;L 5yr'!$C$18:$G$18,1,ROUNDUP((T$6-'Launch Readiness'!$B$7)/12,0))/MAX(1,INDEX('Launch Readiness'!$B$26:$F$26,1,ROUNDUP((T$6-'Launch Readiness'!$B$7)/12,0))))),0)</f>
        <v>33712</v>
      </c>
      <c r="U12" s="67">
        <f>ROUND(IF(U$6&lt;='Launch Readiness'!$B$7,0,IF((U$6-'Launch Readiness'!$B$7)&lt;'Launch Readiness'!$E$6,0,INDEX('P&amp;L 5yr'!$C$18:$G$18,1,ROUNDUP((U$6-'Launch Readiness'!$B$7)/12,0))/MAX(1,INDEX('Launch Readiness'!$B$26:$F$26,1,ROUNDUP((U$6-'Launch Readiness'!$B$7)/12,0))))),0)</f>
        <v>33712</v>
      </c>
      <c r="V12" s="67">
        <f>ROUND(IF(V$6&lt;='Launch Readiness'!$B$7,0,IF((V$6-'Launch Readiness'!$B$7)&lt;'Launch Readiness'!$E$6,0,INDEX('P&amp;L 5yr'!$C$18:$G$18,1,ROUNDUP((V$6-'Launch Readiness'!$B$7)/12,0))/MAX(1,INDEX('Launch Readiness'!$B$26:$F$26,1,ROUNDUP((V$6-'Launch Readiness'!$B$7)/12,0))))),0)</f>
        <v>33712</v>
      </c>
      <c r="W12" s="67">
        <f>ROUND(IF(W$6&lt;='Launch Readiness'!$B$7,0,IF((W$6-'Launch Readiness'!$B$7)&lt;'Launch Readiness'!$E$6,0,INDEX('P&amp;L 5yr'!$C$18:$G$18,1,ROUNDUP((W$6-'Launch Readiness'!$B$7)/12,0))/MAX(1,INDEX('Launch Readiness'!$B$26:$F$26,1,ROUNDUP((W$6-'Launch Readiness'!$B$7)/12,0))))),0)</f>
        <v>33712</v>
      </c>
      <c r="X12" s="67">
        <f>ROUND(IF(X$6&lt;='Launch Readiness'!$B$7,0,IF((X$6-'Launch Readiness'!$B$7)&lt;'Launch Readiness'!$E$6,0,INDEX('P&amp;L 5yr'!$C$18:$G$18,1,ROUNDUP((X$6-'Launch Readiness'!$B$7)/12,0))/MAX(1,INDEX('Launch Readiness'!$B$26:$F$26,1,ROUNDUP((X$6-'Launch Readiness'!$B$7)/12,0))))),0)</f>
        <v>33712</v>
      </c>
      <c r="Y12" s="67">
        <f>ROUND(IF(Y$6&lt;='Launch Readiness'!$B$7,0,IF((Y$6-'Launch Readiness'!$B$7)&lt;'Launch Readiness'!$E$6,0,INDEX('P&amp;L 5yr'!$C$18:$G$18,1,ROUNDUP((Y$6-'Launch Readiness'!$B$7)/12,0))/MAX(1,INDEX('Launch Readiness'!$B$26:$F$26,1,ROUNDUP((Y$6-'Launch Readiness'!$B$7)/12,0))))),0)</f>
        <v>33712</v>
      </c>
      <c r="Z12" s="67">
        <f>ROUND(IF(Z$6&lt;='Launch Readiness'!$B$7,0,IF((Z$6-'Launch Readiness'!$B$7)&lt;'Launch Readiness'!$E$6,0,INDEX('P&amp;L 5yr'!$C$18:$G$18,1,ROUNDUP((Z$6-'Launch Readiness'!$B$7)/12,0))/MAX(1,INDEX('Launch Readiness'!$B$26:$F$26,1,ROUNDUP((Z$6-'Launch Readiness'!$B$7)/12,0))))),0)</f>
        <v>33712</v>
      </c>
      <c r="AA12" s="67">
        <f>ROUND(IF(AA$6&lt;='Launch Readiness'!$B$7,0,IF((AA$6-'Launch Readiness'!$B$7)&lt;'Launch Readiness'!$E$6,0,INDEX('P&amp;L 5yr'!$C$18:$G$18,1,ROUNDUP((AA$6-'Launch Readiness'!$B$7)/12,0))/MAX(1,INDEX('Launch Readiness'!$B$26:$F$26,1,ROUNDUP((AA$6-'Launch Readiness'!$B$7)/12,0))))),0)</f>
        <v>115659</v>
      </c>
      <c r="AB12" s="67">
        <f>ROUND(IF(AB$6&lt;='Launch Readiness'!$B$7,0,IF((AB$6-'Launch Readiness'!$B$7)&lt;'Launch Readiness'!$E$6,0,INDEX('P&amp;L 5yr'!$C$18:$G$18,1,ROUNDUP((AB$6-'Launch Readiness'!$B$7)/12,0))/MAX(1,INDEX('Launch Readiness'!$B$26:$F$26,1,ROUNDUP((AB$6-'Launch Readiness'!$B$7)/12,0))))),0)</f>
        <v>115659</v>
      </c>
      <c r="AC12" s="67">
        <f>ROUND(IF(AC$6&lt;='Launch Readiness'!$B$7,0,IF((AC$6-'Launch Readiness'!$B$7)&lt;'Launch Readiness'!$E$6,0,INDEX('P&amp;L 5yr'!$C$18:$G$18,1,ROUNDUP((AC$6-'Launch Readiness'!$B$7)/12,0))/MAX(1,INDEX('Launch Readiness'!$B$26:$F$26,1,ROUNDUP((AC$6-'Launch Readiness'!$B$7)/12,0))))),0)</f>
        <v>115659</v>
      </c>
      <c r="AD12" s="67">
        <f>ROUND(IF(AD$6&lt;='Launch Readiness'!$B$7,0,IF((AD$6-'Launch Readiness'!$B$7)&lt;'Launch Readiness'!$E$6,0,INDEX('P&amp;L 5yr'!$C$18:$G$18,1,ROUNDUP((AD$6-'Launch Readiness'!$B$7)/12,0))/MAX(1,INDEX('Launch Readiness'!$B$26:$F$26,1,ROUNDUP((AD$6-'Launch Readiness'!$B$7)/12,0))))),0)</f>
        <v>115659</v>
      </c>
      <c r="AE12" s="67">
        <f>ROUND(IF(AE$6&lt;='Launch Readiness'!$B$7,0,IF((AE$6-'Launch Readiness'!$B$7)&lt;'Launch Readiness'!$E$6,0,INDEX('P&amp;L 5yr'!$C$18:$G$18,1,ROUNDUP((AE$6-'Launch Readiness'!$B$7)/12,0))/MAX(1,INDEX('Launch Readiness'!$B$26:$F$26,1,ROUNDUP((AE$6-'Launch Readiness'!$B$7)/12,0))))),0)</f>
        <v>115659</v>
      </c>
      <c r="AF12" s="67">
        <f>ROUND(IF(AF$6&lt;='Launch Readiness'!$B$7,0,IF((AF$6-'Launch Readiness'!$B$7)&lt;'Launch Readiness'!$E$6,0,INDEX('P&amp;L 5yr'!$C$18:$G$18,1,ROUNDUP((AF$6-'Launch Readiness'!$B$7)/12,0))/MAX(1,INDEX('Launch Readiness'!$B$26:$F$26,1,ROUNDUP((AF$6-'Launch Readiness'!$B$7)/12,0))))),0)</f>
        <v>115659</v>
      </c>
      <c r="AG12" s="67">
        <f>ROUND(IF(AG$6&lt;='Launch Readiness'!$B$7,0,IF((AG$6-'Launch Readiness'!$B$7)&lt;'Launch Readiness'!$E$6,0,INDEX('P&amp;L 5yr'!$C$18:$G$18,1,ROUNDUP((AG$6-'Launch Readiness'!$B$7)/12,0))/MAX(1,INDEX('Launch Readiness'!$B$26:$F$26,1,ROUNDUP((AG$6-'Launch Readiness'!$B$7)/12,0))))),0)</f>
        <v>115659</v>
      </c>
      <c r="AH12" s="67">
        <f>ROUND(IF(AH$6&lt;='Launch Readiness'!$B$7,0,IF((AH$6-'Launch Readiness'!$B$7)&lt;'Launch Readiness'!$E$6,0,INDEX('P&amp;L 5yr'!$C$18:$G$18,1,ROUNDUP((AH$6-'Launch Readiness'!$B$7)/12,0))/MAX(1,INDEX('Launch Readiness'!$B$26:$F$26,1,ROUNDUP((AH$6-'Launch Readiness'!$B$7)/12,0))))),0)</f>
        <v>115659</v>
      </c>
      <c r="AI12" s="67">
        <f>ROUND(IF(AI$6&lt;='Launch Readiness'!$B$7,0,IF((AI$6-'Launch Readiness'!$B$7)&lt;'Launch Readiness'!$E$6,0,INDEX('P&amp;L 5yr'!$C$18:$G$18,1,ROUNDUP((AI$6-'Launch Readiness'!$B$7)/12,0))/MAX(1,INDEX('Launch Readiness'!$B$26:$F$26,1,ROUNDUP((AI$6-'Launch Readiness'!$B$7)/12,0))))),0)</f>
        <v>115659</v>
      </c>
      <c r="AJ12" s="67">
        <f>ROUND(IF(AJ$6&lt;='Launch Readiness'!$B$7,0,IF((AJ$6-'Launch Readiness'!$B$7)&lt;'Launch Readiness'!$E$6,0,INDEX('P&amp;L 5yr'!$C$18:$G$18,1,ROUNDUP((AJ$6-'Launch Readiness'!$B$7)/12,0))/MAX(1,INDEX('Launch Readiness'!$B$26:$F$26,1,ROUNDUP((AJ$6-'Launch Readiness'!$B$7)/12,0))))),0)</f>
        <v>115659</v>
      </c>
      <c r="AK12" s="67">
        <f>ROUND(IF(AK$6&lt;='Launch Readiness'!$B$7,0,IF((AK$6-'Launch Readiness'!$B$7)&lt;'Launch Readiness'!$E$6,0,INDEX('P&amp;L 5yr'!$C$18:$G$18,1,ROUNDUP((AK$6-'Launch Readiness'!$B$7)/12,0))/MAX(1,INDEX('Launch Readiness'!$B$26:$F$26,1,ROUNDUP((AK$6-'Launch Readiness'!$B$7)/12,0))))),0)</f>
        <v>115659</v>
      </c>
      <c r="AL12" s="67">
        <f>ROUND(IF(AL$6&lt;='Launch Readiness'!$B$7,0,IF((AL$6-'Launch Readiness'!$B$7)&lt;'Launch Readiness'!$E$6,0,INDEX('P&amp;L 5yr'!$C$18:$G$18,1,ROUNDUP((AL$6-'Launch Readiness'!$B$7)/12,0))/MAX(1,INDEX('Launch Readiness'!$B$26:$F$26,1,ROUNDUP((AL$6-'Launch Readiness'!$B$7)/12,0))))),0)</f>
        <v>115659</v>
      </c>
      <c r="AM12" s="67">
        <f>ROUND(IF(AM$6&lt;='Launch Readiness'!$B$7,0,IF((AM$6-'Launch Readiness'!$B$7)&lt;'Launch Readiness'!$E$6,0,INDEX('P&amp;L 5yr'!$C$18:$G$18,1,ROUNDUP((AM$6-'Launch Readiness'!$B$7)/12,0))/MAX(1,INDEX('Launch Readiness'!$B$26:$F$26,1,ROUNDUP((AM$6-'Launch Readiness'!$B$7)/12,0))))),0)</f>
        <v>745224</v>
      </c>
      <c r="AN12" s="67">
        <f>ROUND(IF(AN$6&lt;='Launch Readiness'!$B$7,0,IF((AN$6-'Launch Readiness'!$B$7)&lt;'Launch Readiness'!$E$6,0,INDEX('P&amp;L 5yr'!$C$18:$G$18,1,ROUNDUP((AN$6-'Launch Readiness'!$B$7)/12,0))/MAX(1,INDEX('Launch Readiness'!$B$26:$F$26,1,ROUNDUP((AN$6-'Launch Readiness'!$B$7)/12,0))))),0)</f>
        <v>745224</v>
      </c>
      <c r="AO12" s="67">
        <f>ROUND(IF(AO$6&lt;='Launch Readiness'!$B$7,0,IF((AO$6-'Launch Readiness'!$B$7)&lt;'Launch Readiness'!$E$6,0,INDEX('P&amp;L 5yr'!$C$18:$G$18,1,ROUNDUP((AO$6-'Launch Readiness'!$B$7)/12,0))/MAX(1,INDEX('Launch Readiness'!$B$26:$F$26,1,ROUNDUP((AO$6-'Launch Readiness'!$B$7)/12,0))))),0)</f>
        <v>745224</v>
      </c>
      <c r="AP12" s="67">
        <f>ROUND(IF(AP$6&lt;='Launch Readiness'!$B$7,0,IF((AP$6-'Launch Readiness'!$B$7)&lt;'Launch Readiness'!$E$6,0,INDEX('P&amp;L 5yr'!$C$18:$G$18,1,ROUNDUP((AP$6-'Launch Readiness'!$B$7)/12,0))/MAX(1,INDEX('Launch Readiness'!$B$26:$F$26,1,ROUNDUP((AP$6-'Launch Readiness'!$B$7)/12,0))))),0)</f>
        <v>745224</v>
      </c>
      <c r="AQ12" s="67">
        <f>ROUND(IF(AQ$6&lt;='Launch Readiness'!$B$7,0,IF((AQ$6-'Launch Readiness'!$B$7)&lt;'Launch Readiness'!$E$6,0,INDEX('P&amp;L 5yr'!$C$18:$G$18,1,ROUNDUP((AQ$6-'Launch Readiness'!$B$7)/12,0))/MAX(1,INDEX('Launch Readiness'!$B$26:$F$26,1,ROUNDUP((AQ$6-'Launch Readiness'!$B$7)/12,0))))),0)</f>
        <v>745224</v>
      </c>
      <c r="AR12" s="67">
        <f>ROUND(IF(AR$6&lt;='Launch Readiness'!$B$7,0,IF((AR$6-'Launch Readiness'!$B$7)&lt;'Launch Readiness'!$E$6,0,INDEX('P&amp;L 5yr'!$C$18:$G$18,1,ROUNDUP((AR$6-'Launch Readiness'!$B$7)/12,0))/MAX(1,INDEX('Launch Readiness'!$B$26:$F$26,1,ROUNDUP((AR$6-'Launch Readiness'!$B$7)/12,0))))),0)</f>
        <v>745224</v>
      </c>
      <c r="AS12" s="67">
        <f>ROUND(IF(AS$6&lt;='Launch Readiness'!$B$7,0,IF((AS$6-'Launch Readiness'!$B$7)&lt;'Launch Readiness'!$E$6,0,INDEX('P&amp;L 5yr'!$C$18:$G$18,1,ROUNDUP((AS$6-'Launch Readiness'!$B$7)/12,0))/MAX(1,INDEX('Launch Readiness'!$B$26:$F$26,1,ROUNDUP((AS$6-'Launch Readiness'!$B$7)/12,0))))),0)</f>
        <v>745224</v>
      </c>
      <c r="AT12" s="67">
        <f>ROUND(IF(AT$6&lt;='Launch Readiness'!$B$7,0,IF((AT$6-'Launch Readiness'!$B$7)&lt;'Launch Readiness'!$E$6,0,INDEX('P&amp;L 5yr'!$C$18:$G$18,1,ROUNDUP((AT$6-'Launch Readiness'!$B$7)/12,0))/MAX(1,INDEX('Launch Readiness'!$B$26:$F$26,1,ROUNDUP((AT$6-'Launch Readiness'!$B$7)/12,0))))),0)</f>
        <v>745224</v>
      </c>
      <c r="AU12" s="67">
        <f>ROUND(IF(AU$6&lt;='Launch Readiness'!$B$7,0,IF((AU$6-'Launch Readiness'!$B$7)&lt;'Launch Readiness'!$E$6,0,INDEX('P&amp;L 5yr'!$C$18:$G$18,1,ROUNDUP((AU$6-'Launch Readiness'!$B$7)/12,0))/MAX(1,INDEX('Launch Readiness'!$B$26:$F$26,1,ROUNDUP((AU$6-'Launch Readiness'!$B$7)/12,0))))),0)</f>
        <v>745224</v>
      </c>
      <c r="AV12" s="67">
        <f>ROUND(IF(AV$6&lt;='Launch Readiness'!$B$7,0,IF((AV$6-'Launch Readiness'!$B$7)&lt;'Launch Readiness'!$E$6,0,INDEX('P&amp;L 5yr'!$C$18:$G$18,1,ROUNDUP((AV$6-'Launch Readiness'!$B$7)/12,0))/MAX(1,INDEX('Launch Readiness'!$B$26:$F$26,1,ROUNDUP((AV$6-'Launch Readiness'!$B$7)/12,0))))),0)</f>
        <v>745224</v>
      </c>
      <c r="AW12" s="67">
        <f>ROUND(IF(AW$6&lt;='Launch Readiness'!$B$7,0,IF((AW$6-'Launch Readiness'!$B$7)&lt;'Launch Readiness'!$E$6,0,INDEX('P&amp;L 5yr'!$C$18:$G$18,1,ROUNDUP((AW$6-'Launch Readiness'!$B$7)/12,0))/MAX(1,INDEX('Launch Readiness'!$B$26:$F$26,1,ROUNDUP((AW$6-'Launch Readiness'!$B$7)/12,0))))),0)</f>
        <v>745224</v>
      </c>
      <c r="AX12" s="67">
        <f>ROUND(IF(AX$6&lt;='Launch Readiness'!$B$7,0,IF((AX$6-'Launch Readiness'!$B$7)&lt;'Launch Readiness'!$E$6,0,INDEX('P&amp;L 5yr'!$C$18:$G$18,1,ROUNDUP((AX$6-'Launch Readiness'!$B$7)/12,0))/MAX(1,INDEX('Launch Readiness'!$B$26:$F$26,1,ROUNDUP((AX$6-'Launch Readiness'!$B$7)/12,0))))),0)</f>
        <v>745224</v>
      </c>
      <c r="AY12" s="67">
        <f>ROUND(IF(AY$6&lt;='Launch Readiness'!$B$7,0,IF((AY$6-'Launch Readiness'!$B$7)&lt;'Launch Readiness'!$E$6,0,INDEX('P&amp;L 5yr'!$C$18:$G$18,1,ROUNDUP((AY$6-'Launch Readiness'!$B$7)/12,0))/MAX(1,INDEX('Launch Readiness'!$B$26:$F$26,1,ROUNDUP((AY$6-'Launch Readiness'!$B$7)/12,0))))),0)</f>
        <v>1486051</v>
      </c>
      <c r="AZ12" s="67">
        <f>ROUND(IF(AZ$6&lt;='Launch Readiness'!$B$7,0,IF((AZ$6-'Launch Readiness'!$B$7)&lt;'Launch Readiness'!$E$6,0,INDEX('P&amp;L 5yr'!$C$18:$G$18,1,ROUNDUP((AZ$6-'Launch Readiness'!$B$7)/12,0))/MAX(1,INDEX('Launch Readiness'!$B$26:$F$26,1,ROUNDUP((AZ$6-'Launch Readiness'!$B$7)/12,0))))),0)</f>
        <v>1486051</v>
      </c>
      <c r="BA12" s="67">
        <f>ROUND(IF(BA$6&lt;='Launch Readiness'!$B$7,0,IF((BA$6-'Launch Readiness'!$B$7)&lt;'Launch Readiness'!$E$6,0,INDEX('P&amp;L 5yr'!$C$18:$G$18,1,ROUNDUP((BA$6-'Launch Readiness'!$B$7)/12,0))/MAX(1,INDEX('Launch Readiness'!$B$26:$F$26,1,ROUNDUP((BA$6-'Launch Readiness'!$B$7)/12,0))))),0)</f>
        <v>1486051</v>
      </c>
      <c r="BB12" s="67">
        <f>ROUND(IF(BB$6&lt;='Launch Readiness'!$B$7,0,IF((BB$6-'Launch Readiness'!$B$7)&lt;'Launch Readiness'!$E$6,0,INDEX('P&amp;L 5yr'!$C$18:$G$18,1,ROUNDUP((BB$6-'Launch Readiness'!$B$7)/12,0))/MAX(1,INDEX('Launch Readiness'!$B$26:$F$26,1,ROUNDUP((BB$6-'Launch Readiness'!$B$7)/12,0))))),0)</f>
        <v>1486051</v>
      </c>
      <c r="BC12" s="67">
        <f>ROUND(IF(BC$6&lt;='Launch Readiness'!$B$7,0,IF((BC$6-'Launch Readiness'!$B$7)&lt;'Launch Readiness'!$E$6,0,INDEX('P&amp;L 5yr'!$C$18:$G$18,1,ROUNDUP((BC$6-'Launch Readiness'!$B$7)/12,0))/MAX(1,INDEX('Launch Readiness'!$B$26:$F$26,1,ROUNDUP((BC$6-'Launch Readiness'!$B$7)/12,0))))),0)</f>
        <v>1486051</v>
      </c>
      <c r="BD12" s="67">
        <f>ROUND(IF(BD$6&lt;='Launch Readiness'!$B$7,0,IF((BD$6-'Launch Readiness'!$B$7)&lt;'Launch Readiness'!$E$6,0,INDEX('P&amp;L 5yr'!$C$18:$G$18,1,ROUNDUP((BD$6-'Launch Readiness'!$B$7)/12,0))/MAX(1,INDEX('Launch Readiness'!$B$26:$F$26,1,ROUNDUP((BD$6-'Launch Readiness'!$B$7)/12,0))))),0)</f>
        <v>1486051</v>
      </c>
      <c r="BE12" s="67">
        <f>ROUND(IF(BE$6&lt;='Launch Readiness'!$B$7,0,IF((BE$6-'Launch Readiness'!$B$7)&lt;'Launch Readiness'!$E$6,0,INDEX('P&amp;L 5yr'!$C$18:$G$18,1,ROUNDUP((BE$6-'Launch Readiness'!$B$7)/12,0))/MAX(1,INDEX('Launch Readiness'!$B$26:$F$26,1,ROUNDUP((BE$6-'Launch Readiness'!$B$7)/12,0))))),0)</f>
        <v>1486051</v>
      </c>
      <c r="BF12" s="67">
        <f>ROUND(IF(BF$6&lt;='Launch Readiness'!$B$7,0,IF((BF$6-'Launch Readiness'!$B$7)&lt;'Launch Readiness'!$E$6,0,INDEX('P&amp;L 5yr'!$C$18:$G$18,1,ROUNDUP((BF$6-'Launch Readiness'!$B$7)/12,0))/MAX(1,INDEX('Launch Readiness'!$B$26:$F$26,1,ROUNDUP((BF$6-'Launch Readiness'!$B$7)/12,0))))),0)</f>
        <v>1486051</v>
      </c>
      <c r="BG12" s="67">
        <f>ROUND(IF(BG$6&lt;='Launch Readiness'!$B$7,0,IF((BG$6-'Launch Readiness'!$B$7)&lt;'Launch Readiness'!$E$6,0,INDEX('P&amp;L 5yr'!$C$18:$G$18,1,ROUNDUP((BG$6-'Launch Readiness'!$B$7)/12,0))/MAX(1,INDEX('Launch Readiness'!$B$26:$F$26,1,ROUNDUP((BG$6-'Launch Readiness'!$B$7)/12,0))))),0)</f>
        <v>1486051</v>
      </c>
      <c r="BH12" s="67">
        <f>ROUND(IF(BH$6&lt;='Launch Readiness'!$B$7,0,IF((BH$6-'Launch Readiness'!$B$7)&lt;'Launch Readiness'!$E$6,0,INDEX('P&amp;L 5yr'!$C$18:$G$18,1,ROUNDUP((BH$6-'Launch Readiness'!$B$7)/12,0))/MAX(1,INDEX('Launch Readiness'!$B$26:$F$26,1,ROUNDUP((BH$6-'Launch Readiness'!$B$7)/12,0))))),0)</f>
        <v>1486051</v>
      </c>
      <c r="BI12" s="67">
        <f>ROUND(IF(BI$6&lt;='Launch Readiness'!$B$7,0,IF((BI$6-'Launch Readiness'!$B$7)&lt;'Launch Readiness'!$E$6,0,INDEX('P&amp;L 5yr'!$C$18:$G$18,1,ROUNDUP((BI$6-'Launch Readiness'!$B$7)/12,0))/MAX(1,INDEX('Launch Readiness'!$B$26:$F$26,1,ROUNDUP((BI$6-'Launch Readiness'!$B$7)/12,0))))),0)</f>
        <v>1486051</v>
      </c>
      <c r="BK12" s="33" t="s">
        <v>521</v>
      </c>
    </row>
    <row r="13" spans="1:63" ht="15" customHeight="1" x14ac:dyDescent="0.2">
      <c r="A13" s="12" t="s">
        <v>522</v>
      </c>
      <c r="B13" s="67">
        <f>ROUND(-IF(B$6&lt;'Launch Readiness'!$E$6,0,INDEX('P&amp;L 5yr'!$C$29:$G$29,1,B$7)/MAX(1,INDEX('Launch Readiness'!$B$26:$F$26,1,B$7))),0)</f>
        <v>0</v>
      </c>
      <c r="C13" s="67">
        <f>ROUND(-IF(C$6&lt;'Launch Readiness'!$E$6,0,INDEX('P&amp;L 5yr'!$C$29:$G$29,1,C$7)/MAX(1,INDEX('Launch Readiness'!$B$26:$F$26,1,C$7))),0)</f>
        <v>0</v>
      </c>
      <c r="D13" s="67">
        <f>ROUND(-IF(D$6&lt;'Launch Readiness'!$E$6,0,INDEX('P&amp;L 5yr'!$C$29:$G$29,1,D$7)/MAX(1,INDEX('Launch Readiness'!$B$26:$F$26,1,D$7))),0)</f>
        <v>0</v>
      </c>
      <c r="E13" s="67">
        <f>ROUND(-IF(E$6&lt;'Launch Readiness'!$E$6,0,INDEX('P&amp;L 5yr'!$C$29:$G$29,1,E$7)/MAX(1,INDEX('Launch Readiness'!$B$26:$F$26,1,E$7))),0)</f>
        <v>0</v>
      </c>
      <c r="F13" s="67">
        <f>ROUND(-IF(F$6&lt;'Launch Readiness'!$E$6,0,INDEX('P&amp;L 5yr'!$C$29:$G$29,1,F$7)/MAX(1,INDEX('Launch Readiness'!$B$26:$F$26,1,F$7))),0)</f>
        <v>0</v>
      </c>
      <c r="G13" s="67">
        <f>ROUND(-IF(G$6&lt;'Launch Readiness'!$E$6,0,INDEX('P&amp;L 5yr'!$C$29:$G$29,1,G$7)/MAX(1,INDEX('Launch Readiness'!$B$26:$F$26,1,G$7))),0)</f>
        <v>0</v>
      </c>
      <c r="H13" s="67">
        <f>ROUND(-IF(H$6&lt;'Launch Readiness'!$E$6,0,INDEX('P&amp;L 5yr'!$C$29:$G$29,1,H$7)/MAX(1,INDEX('Launch Readiness'!$B$26:$F$26,1,H$7))),0)</f>
        <v>0</v>
      </c>
      <c r="I13" s="67">
        <f>ROUND(-IF(I$6&lt;'Launch Readiness'!$E$6,0,INDEX('P&amp;L 5yr'!$C$29:$G$29,1,I$7)/MAX(1,INDEX('Launch Readiness'!$B$26:$F$26,1,I$7))),0)</f>
        <v>0</v>
      </c>
      <c r="J13" s="67">
        <f>ROUND(-IF(J$6&lt;'Launch Readiness'!$E$6,0,INDEX('P&amp;L 5yr'!$C$29:$G$29,1,J$7)/MAX(1,INDEX('Launch Readiness'!$B$26:$F$26,1,J$7))),0)</f>
        <v>0</v>
      </c>
      <c r="K13" s="67">
        <f>ROUND(-IF(K$6&lt;'Launch Readiness'!$E$6,0,INDEX('P&amp;L 5yr'!$C$29:$G$29,1,K$7)/MAX(1,INDEX('Launch Readiness'!$B$26:$F$26,1,K$7))),0)</f>
        <v>0</v>
      </c>
      <c r="L13" s="67">
        <f>ROUND(-IF(L$6&lt;'Launch Readiness'!$E$6,0,INDEX('P&amp;L 5yr'!$C$29:$G$29,1,L$7)/MAX(1,INDEX('Launch Readiness'!$B$26:$F$26,1,L$7))),0)</f>
        <v>0</v>
      </c>
      <c r="M13" s="67">
        <f>ROUND(-IF(M$6&lt;'Launch Readiness'!$E$6,0,INDEX('P&amp;L 5yr'!$C$29:$G$29,1,M$7)/MAX(1,INDEX('Launch Readiness'!$B$26:$F$26,1,M$7))),0)</f>
        <v>-707</v>
      </c>
      <c r="N13" s="67">
        <f>ROUND(-IF(N$6&lt;'Launch Readiness'!$E$6,0,INDEX('P&amp;L 5yr'!$C$29:$G$29,1,N$7)/MAX(1,INDEX('Launch Readiness'!$B$26:$F$26,1,N$7))),0)</f>
        <v>-8060</v>
      </c>
      <c r="O13" s="67">
        <f>ROUND(-IF(O$6&lt;'Launch Readiness'!$E$6,0,INDEX('P&amp;L 5yr'!$C$29:$G$29,1,O$7)/MAX(1,INDEX('Launch Readiness'!$B$26:$F$26,1,O$7))),0)</f>
        <v>-8060</v>
      </c>
      <c r="P13" s="67">
        <f>ROUND(-IF(P$6&lt;'Launch Readiness'!$E$6,0,INDEX('P&amp;L 5yr'!$C$29:$G$29,1,P$7)/MAX(1,INDEX('Launch Readiness'!$B$26:$F$26,1,P$7))),0)</f>
        <v>-8060</v>
      </c>
      <c r="Q13" s="67">
        <f>ROUND(-IF(Q$6&lt;'Launch Readiness'!$E$6,0,INDEX('P&amp;L 5yr'!$C$29:$G$29,1,Q$7)/MAX(1,INDEX('Launch Readiness'!$B$26:$F$26,1,Q$7))),0)</f>
        <v>-8060</v>
      </c>
      <c r="R13" s="67">
        <f>ROUND(-IF(R$6&lt;'Launch Readiness'!$E$6,0,INDEX('P&amp;L 5yr'!$C$29:$G$29,1,R$7)/MAX(1,INDEX('Launch Readiness'!$B$26:$F$26,1,R$7))),0)</f>
        <v>-8060</v>
      </c>
      <c r="S13" s="67">
        <f>ROUND(-IF(S$6&lt;'Launch Readiness'!$E$6,0,INDEX('P&amp;L 5yr'!$C$29:$G$29,1,S$7)/MAX(1,INDEX('Launch Readiness'!$B$26:$F$26,1,S$7))),0)</f>
        <v>-8060</v>
      </c>
      <c r="T13" s="67">
        <f>ROUND(-IF(T$6&lt;'Launch Readiness'!$E$6,0,INDEX('P&amp;L 5yr'!$C$29:$G$29,1,T$7)/MAX(1,INDEX('Launch Readiness'!$B$26:$F$26,1,T$7))),0)</f>
        <v>-8060</v>
      </c>
      <c r="U13" s="67">
        <f>ROUND(-IF(U$6&lt;'Launch Readiness'!$E$6,0,INDEX('P&amp;L 5yr'!$C$29:$G$29,1,U$7)/MAX(1,INDEX('Launch Readiness'!$B$26:$F$26,1,U$7))),0)</f>
        <v>-8060</v>
      </c>
      <c r="V13" s="67">
        <f>ROUND(-IF(V$6&lt;'Launch Readiness'!$E$6,0,INDEX('P&amp;L 5yr'!$C$29:$G$29,1,V$7)/MAX(1,INDEX('Launch Readiness'!$B$26:$F$26,1,V$7))),0)</f>
        <v>-8060</v>
      </c>
      <c r="W13" s="67">
        <f>ROUND(-IF(W$6&lt;'Launch Readiness'!$E$6,0,INDEX('P&amp;L 5yr'!$C$29:$G$29,1,W$7)/MAX(1,INDEX('Launch Readiness'!$B$26:$F$26,1,W$7))),0)</f>
        <v>-8060</v>
      </c>
      <c r="X13" s="67">
        <f>ROUND(-IF(X$6&lt;'Launch Readiness'!$E$6,0,INDEX('P&amp;L 5yr'!$C$29:$G$29,1,X$7)/MAX(1,INDEX('Launch Readiness'!$B$26:$F$26,1,X$7))),0)</f>
        <v>-8060</v>
      </c>
      <c r="Y13" s="67">
        <f>ROUND(-IF(Y$6&lt;'Launch Readiness'!$E$6,0,INDEX('P&amp;L 5yr'!$C$29:$G$29,1,Y$7)/MAX(1,INDEX('Launch Readiness'!$B$26:$F$26,1,Y$7))),0)</f>
        <v>-8060</v>
      </c>
      <c r="Z13" s="67">
        <f>ROUND(-IF(Z$6&lt;'Launch Readiness'!$E$6,0,INDEX('P&amp;L 5yr'!$C$29:$G$29,1,Z$7)/MAX(1,INDEX('Launch Readiness'!$B$26:$F$26,1,Z$7))),0)</f>
        <v>-26187</v>
      </c>
      <c r="AA13" s="67">
        <f>ROUND(-IF(AA$6&lt;'Launch Readiness'!$E$6,0,INDEX('P&amp;L 5yr'!$C$29:$G$29,1,AA$7)/MAX(1,INDEX('Launch Readiness'!$B$26:$F$26,1,AA$7))),0)</f>
        <v>-26187</v>
      </c>
      <c r="AB13" s="67">
        <f>ROUND(-IF(AB$6&lt;'Launch Readiness'!$E$6,0,INDEX('P&amp;L 5yr'!$C$29:$G$29,1,AB$7)/MAX(1,INDEX('Launch Readiness'!$B$26:$F$26,1,AB$7))),0)</f>
        <v>-26187</v>
      </c>
      <c r="AC13" s="67">
        <f>ROUND(-IF(AC$6&lt;'Launch Readiness'!$E$6,0,INDEX('P&amp;L 5yr'!$C$29:$G$29,1,AC$7)/MAX(1,INDEX('Launch Readiness'!$B$26:$F$26,1,AC$7))),0)</f>
        <v>-26187</v>
      </c>
      <c r="AD13" s="67">
        <f>ROUND(-IF(AD$6&lt;'Launch Readiness'!$E$6,0,INDEX('P&amp;L 5yr'!$C$29:$G$29,1,AD$7)/MAX(1,INDEX('Launch Readiness'!$B$26:$F$26,1,AD$7))),0)</f>
        <v>-26187</v>
      </c>
      <c r="AE13" s="67">
        <f>ROUND(-IF(AE$6&lt;'Launch Readiness'!$E$6,0,INDEX('P&amp;L 5yr'!$C$29:$G$29,1,AE$7)/MAX(1,INDEX('Launch Readiness'!$B$26:$F$26,1,AE$7))),0)</f>
        <v>-26187</v>
      </c>
      <c r="AF13" s="67">
        <f>ROUND(-IF(AF$6&lt;'Launch Readiness'!$E$6,0,INDEX('P&amp;L 5yr'!$C$29:$G$29,1,AF$7)/MAX(1,INDEX('Launch Readiness'!$B$26:$F$26,1,AF$7))),0)</f>
        <v>-26187</v>
      </c>
      <c r="AG13" s="67">
        <f>ROUND(-IF(AG$6&lt;'Launch Readiness'!$E$6,0,INDEX('P&amp;L 5yr'!$C$29:$G$29,1,AG$7)/MAX(1,INDEX('Launch Readiness'!$B$26:$F$26,1,AG$7))),0)</f>
        <v>-26187</v>
      </c>
      <c r="AH13" s="67">
        <f>ROUND(-IF(AH$6&lt;'Launch Readiness'!$E$6,0,INDEX('P&amp;L 5yr'!$C$29:$G$29,1,AH$7)/MAX(1,INDEX('Launch Readiness'!$B$26:$F$26,1,AH$7))),0)</f>
        <v>-26187</v>
      </c>
      <c r="AI13" s="67">
        <f>ROUND(-IF(AI$6&lt;'Launch Readiness'!$E$6,0,INDEX('P&amp;L 5yr'!$C$29:$G$29,1,AI$7)/MAX(1,INDEX('Launch Readiness'!$B$26:$F$26,1,AI$7))),0)</f>
        <v>-26187</v>
      </c>
      <c r="AJ13" s="67">
        <f>ROUND(-IF(AJ$6&lt;'Launch Readiness'!$E$6,0,INDEX('P&amp;L 5yr'!$C$29:$G$29,1,AJ$7)/MAX(1,INDEX('Launch Readiness'!$B$26:$F$26,1,AJ$7))),0)</f>
        <v>-26187</v>
      </c>
      <c r="AK13" s="67">
        <f>ROUND(-IF(AK$6&lt;'Launch Readiness'!$E$6,0,INDEX('P&amp;L 5yr'!$C$29:$G$29,1,AK$7)/MAX(1,INDEX('Launch Readiness'!$B$26:$F$26,1,AK$7))),0)</f>
        <v>-26187</v>
      </c>
      <c r="AL13" s="67">
        <f>ROUND(-IF(AL$6&lt;'Launch Readiness'!$E$6,0,INDEX('P&amp;L 5yr'!$C$29:$G$29,1,AL$7)/MAX(1,INDEX('Launch Readiness'!$B$26:$F$26,1,AL$7))),0)</f>
        <v>-165244</v>
      </c>
      <c r="AM13" s="67">
        <f>ROUND(-IF(AM$6&lt;'Launch Readiness'!$E$6,0,INDEX('P&amp;L 5yr'!$C$29:$G$29,1,AM$7)/MAX(1,INDEX('Launch Readiness'!$B$26:$F$26,1,AM$7))),0)</f>
        <v>-165244</v>
      </c>
      <c r="AN13" s="67">
        <f>ROUND(-IF(AN$6&lt;'Launch Readiness'!$E$6,0,INDEX('P&amp;L 5yr'!$C$29:$G$29,1,AN$7)/MAX(1,INDEX('Launch Readiness'!$B$26:$F$26,1,AN$7))),0)</f>
        <v>-165244</v>
      </c>
      <c r="AO13" s="67">
        <f>ROUND(-IF(AO$6&lt;'Launch Readiness'!$E$6,0,INDEX('P&amp;L 5yr'!$C$29:$G$29,1,AO$7)/MAX(1,INDEX('Launch Readiness'!$B$26:$F$26,1,AO$7))),0)</f>
        <v>-165244</v>
      </c>
      <c r="AP13" s="67">
        <f>ROUND(-IF(AP$6&lt;'Launch Readiness'!$E$6,0,INDEX('P&amp;L 5yr'!$C$29:$G$29,1,AP$7)/MAX(1,INDEX('Launch Readiness'!$B$26:$F$26,1,AP$7))),0)</f>
        <v>-165244</v>
      </c>
      <c r="AQ13" s="67">
        <f>ROUND(-IF(AQ$6&lt;'Launch Readiness'!$E$6,0,INDEX('P&amp;L 5yr'!$C$29:$G$29,1,AQ$7)/MAX(1,INDEX('Launch Readiness'!$B$26:$F$26,1,AQ$7))),0)</f>
        <v>-165244</v>
      </c>
      <c r="AR13" s="67">
        <f>ROUND(-IF(AR$6&lt;'Launch Readiness'!$E$6,0,INDEX('P&amp;L 5yr'!$C$29:$G$29,1,AR$7)/MAX(1,INDEX('Launch Readiness'!$B$26:$F$26,1,AR$7))),0)</f>
        <v>-165244</v>
      </c>
      <c r="AS13" s="67">
        <f>ROUND(-IF(AS$6&lt;'Launch Readiness'!$E$6,0,INDEX('P&amp;L 5yr'!$C$29:$G$29,1,AS$7)/MAX(1,INDEX('Launch Readiness'!$B$26:$F$26,1,AS$7))),0)</f>
        <v>-165244</v>
      </c>
      <c r="AT13" s="67">
        <f>ROUND(-IF(AT$6&lt;'Launch Readiness'!$E$6,0,INDEX('P&amp;L 5yr'!$C$29:$G$29,1,AT$7)/MAX(1,INDEX('Launch Readiness'!$B$26:$F$26,1,AT$7))),0)</f>
        <v>-165244</v>
      </c>
      <c r="AU13" s="67">
        <f>ROUND(-IF(AU$6&lt;'Launch Readiness'!$E$6,0,INDEX('P&amp;L 5yr'!$C$29:$G$29,1,AU$7)/MAX(1,INDEX('Launch Readiness'!$B$26:$F$26,1,AU$7))),0)</f>
        <v>-165244</v>
      </c>
      <c r="AV13" s="67">
        <f>ROUND(-IF(AV$6&lt;'Launch Readiness'!$E$6,0,INDEX('P&amp;L 5yr'!$C$29:$G$29,1,AV$7)/MAX(1,INDEX('Launch Readiness'!$B$26:$F$26,1,AV$7))),0)</f>
        <v>-165244</v>
      </c>
      <c r="AW13" s="67">
        <f>ROUND(-IF(AW$6&lt;'Launch Readiness'!$E$6,0,INDEX('P&amp;L 5yr'!$C$29:$G$29,1,AW$7)/MAX(1,INDEX('Launch Readiness'!$B$26:$F$26,1,AW$7))),0)</f>
        <v>-165244</v>
      </c>
      <c r="AX13" s="67">
        <f>ROUND(-IF(AX$6&lt;'Launch Readiness'!$E$6,0,INDEX('P&amp;L 5yr'!$C$29:$G$29,1,AX$7)/MAX(1,INDEX('Launch Readiness'!$B$26:$F$26,1,AX$7))),0)</f>
        <v>-317739</v>
      </c>
      <c r="AY13" s="67">
        <f>ROUND(-IF(AY$6&lt;'Launch Readiness'!$E$6,0,INDEX('P&amp;L 5yr'!$C$29:$G$29,1,AY$7)/MAX(1,INDEX('Launch Readiness'!$B$26:$F$26,1,AY$7))),0)</f>
        <v>-317739</v>
      </c>
      <c r="AZ13" s="67">
        <f>ROUND(-IF(AZ$6&lt;'Launch Readiness'!$E$6,0,INDEX('P&amp;L 5yr'!$C$29:$G$29,1,AZ$7)/MAX(1,INDEX('Launch Readiness'!$B$26:$F$26,1,AZ$7))),0)</f>
        <v>-317739</v>
      </c>
      <c r="BA13" s="67">
        <f>ROUND(-IF(BA$6&lt;'Launch Readiness'!$E$6,0,INDEX('P&amp;L 5yr'!$C$29:$G$29,1,BA$7)/MAX(1,INDEX('Launch Readiness'!$B$26:$F$26,1,BA$7))),0)</f>
        <v>-317739</v>
      </c>
      <c r="BB13" s="67">
        <f>ROUND(-IF(BB$6&lt;'Launch Readiness'!$E$6,0,INDEX('P&amp;L 5yr'!$C$29:$G$29,1,BB$7)/MAX(1,INDEX('Launch Readiness'!$B$26:$F$26,1,BB$7))),0)</f>
        <v>-317739</v>
      </c>
      <c r="BC13" s="67">
        <f>ROUND(-IF(BC$6&lt;'Launch Readiness'!$E$6,0,INDEX('P&amp;L 5yr'!$C$29:$G$29,1,BC$7)/MAX(1,INDEX('Launch Readiness'!$B$26:$F$26,1,BC$7))),0)</f>
        <v>-317739</v>
      </c>
      <c r="BD13" s="67">
        <f>ROUND(-IF(BD$6&lt;'Launch Readiness'!$E$6,0,INDEX('P&amp;L 5yr'!$C$29:$G$29,1,BD$7)/MAX(1,INDEX('Launch Readiness'!$B$26:$F$26,1,BD$7))),0)</f>
        <v>-317739</v>
      </c>
      <c r="BE13" s="67">
        <f>ROUND(-IF(BE$6&lt;'Launch Readiness'!$E$6,0,INDEX('P&amp;L 5yr'!$C$29:$G$29,1,BE$7)/MAX(1,INDEX('Launch Readiness'!$B$26:$F$26,1,BE$7))),0)</f>
        <v>-317739</v>
      </c>
      <c r="BF13" s="67">
        <f>ROUND(-IF(BF$6&lt;'Launch Readiness'!$E$6,0,INDEX('P&amp;L 5yr'!$C$29:$G$29,1,BF$7)/MAX(1,INDEX('Launch Readiness'!$B$26:$F$26,1,BF$7))),0)</f>
        <v>-317739</v>
      </c>
      <c r="BG13" s="67">
        <f>ROUND(-IF(BG$6&lt;'Launch Readiness'!$E$6,0,INDEX('P&amp;L 5yr'!$C$29:$G$29,1,BG$7)/MAX(1,INDEX('Launch Readiness'!$B$26:$F$26,1,BG$7))),0)</f>
        <v>-317739</v>
      </c>
      <c r="BH13" s="67">
        <f>ROUND(-IF(BH$6&lt;'Launch Readiness'!$E$6,0,INDEX('P&amp;L 5yr'!$C$29:$G$29,1,BH$7)/MAX(1,INDEX('Launch Readiness'!$B$26:$F$26,1,BH$7))),0)</f>
        <v>-317739</v>
      </c>
      <c r="BI13" s="67">
        <f>ROUND(-IF(BI$6&lt;'Launch Readiness'!$E$6,0,INDEX('P&amp;L 5yr'!$C$29:$G$29,1,BI$7)/MAX(1,INDEX('Launch Readiness'!$B$26:$F$26,1,BI$7))),0)</f>
        <v>-317739</v>
      </c>
      <c r="BK13" s="33" t="s">
        <v>523</v>
      </c>
    </row>
    <row r="14" spans="1:63" ht="15" customHeight="1" x14ac:dyDescent="0.2">
      <c r="A14" s="24" t="s">
        <v>524</v>
      </c>
      <c r="B14" s="92">
        <f t="shared" ref="B14:AG14" si="6">ROUND(SUM(B12:B13),0)</f>
        <v>0</v>
      </c>
      <c r="C14" s="92">
        <f t="shared" si="6"/>
        <v>0</v>
      </c>
      <c r="D14" s="92">
        <f t="shared" si="6"/>
        <v>0</v>
      </c>
      <c r="E14" s="92">
        <f t="shared" si="6"/>
        <v>0</v>
      </c>
      <c r="F14" s="92">
        <f t="shared" si="6"/>
        <v>0</v>
      </c>
      <c r="G14" s="92">
        <f t="shared" si="6"/>
        <v>0</v>
      </c>
      <c r="H14" s="92">
        <f t="shared" si="6"/>
        <v>0</v>
      </c>
      <c r="I14" s="92">
        <f t="shared" si="6"/>
        <v>0</v>
      </c>
      <c r="J14" s="92">
        <f t="shared" si="6"/>
        <v>0</v>
      </c>
      <c r="K14" s="92">
        <f t="shared" si="6"/>
        <v>0</v>
      </c>
      <c r="L14" s="92">
        <f t="shared" si="6"/>
        <v>0</v>
      </c>
      <c r="M14" s="92">
        <f t="shared" si="6"/>
        <v>-707</v>
      </c>
      <c r="N14" s="92">
        <f t="shared" si="6"/>
        <v>-5611</v>
      </c>
      <c r="O14" s="92">
        <f t="shared" si="6"/>
        <v>25652</v>
      </c>
      <c r="P14" s="92">
        <f t="shared" si="6"/>
        <v>25652</v>
      </c>
      <c r="Q14" s="92">
        <f t="shared" si="6"/>
        <v>25652</v>
      </c>
      <c r="R14" s="92">
        <f t="shared" si="6"/>
        <v>25652</v>
      </c>
      <c r="S14" s="92">
        <f t="shared" si="6"/>
        <v>25652</v>
      </c>
      <c r="T14" s="92">
        <f t="shared" si="6"/>
        <v>25652</v>
      </c>
      <c r="U14" s="92">
        <f t="shared" si="6"/>
        <v>25652</v>
      </c>
      <c r="V14" s="92">
        <f t="shared" si="6"/>
        <v>25652</v>
      </c>
      <c r="W14" s="92">
        <f t="shared" si="6"/>
        <v>25652</v>
      </c>
      <c r="X14" s="92">
        <f t="shared" si="6"/>
        <v>25652</v>
      </c>
      <c r="Y14" s="92">
        <f t="shared" si="6"/>
        <v>25652</v>
      </c>
      <c r="Z14" s="92">
        <f t="shared" si="6"/>
        <v>7525</v>
      </c>
      <c r="AA14" s="92">
        <f t="shared" si="6"/>
        <v>89472</v>
      </c>
      <c r="AB14" s="92">
        <f t="shared" si="6"/>
        <v>89472</v>
      </c>
      <c r="AC14" s="92">
        <f t="shared" si="6"/>
        <v>89472</v>
      </c>
      <c r="AD14" s="92">
        <f t="shared" si="6"/>
        <v>89472</v>
      </c>
      <c r="AE14" s="92">
        <f t="shared" si="6"/>
        <v>89472</v>
      </c>
      <c r="AF14" s="92">
        <f t="shared" si="6"/>
        <v>89472</v>
      </c>
      <c r="AG14" s="92">
        <f t="shared" si="6"/>
        <v>89472</v>
      </c>
      <c r="AH14" s="92">
        <f t="shared" ref="AH14:BI14" si="7">ROUND(SUM(AH12:AH13),0)</f>
        <v>89472</v>
      </c>
      <c r="AI14" s="92">
        <f t="shared" si="7"/>
        <v>89472</v>
      </c>
      <c r="AJ14" s="92">
        <f t="shared" si="7"/>
        <v>89472</v>
      </c>
      <c r="AK14" s="92">
        <f t="shared" si="7"/>
        <v>89472</v>
      </c>
      <c r="AL14" s="92">
        <f t="shared" si="7"/>
        <v>-49585</v>
      </c>
      <c r="AM14" s="92">
        <f t="shared" si="7"/>
        <v>579980</v>
      </c>
      <c r="AN14" s="92">
        <f t="shared" si="7"/>
        <v>579980</v>
      </c>
      <c r="AO14" s="92">
        <f t="shared" si="7"/>
        <v>579980</v>
      </c>
      <c r="AP14" s="92">
        <f t="shared" si="7"/>
        <v>579980</v>
      </c>
      <c r="AQ14" s="92">
        <f t="shared" si="7"/>
        <v>579980</v>
      </c>
      <c r="AR14" s="92">
        <f t="shared" si="7"/>
        <v>579980</v>
      </c>
      <c r="AS14" s="92">
        <f t="shared" si="7"/>
        <v>579980</v>
      </c>
      <c r="AT14" s="92">
        <f t="shared" si="7"/>
        <v>579980</v>
      </c>
      <c r="AU14" s="92">
        <f t="shared" si="7"/>
        <v>579980</v>
      </c>
      <c r="AV14" s="92">
        <f t="shared" si="7"/>
        <v>579980</v>
      </c>
      <c r="AW14" s="92">
        <f t="shared" si="7"/>
        <v>579980</v>
      </c>
      <c r="AX14" s="92">
        <f t="shared" si="7"/>
        <v>427485</v>
      </c>
      <c r="AY14" s="92">
        <f t="shared" si="7"/>
        <v>1168312</v>
      </c>
      <c r="AZ14" s="92">
        <f t="shared" si="7"/>
        <v>1168312</v>
      </c>
      <c r="BA14" s="92">
        <f t="shared" si="7"/>
        <v>1168312</v>
      </c>
      <c r="BB14" s="92">
        <f t="shared" si="7"/>
        <v>1168312</v>
      </c>
      <c r="BC14" s="92">
        <f t="shared" si="7"/>
        <v>1168312</v>
      </c>
      <c r="BD14" s="92">
        <f t="shared" si="7"/>
        <v>1168312</v>
      </c>
      <c r="BE14" s="92">
        <f t="shared" si="7"/>
        <v>1168312</v>
      </c>
      <c r="BF14" s="92">
        <f t="shared" si="7"/>
        <v>1168312</v>
      </c>
      <c r="BG14" s="92">
        <f t="shared" si="7"/>
        <v>1168312</v>
      </c>
      <c r="BH14" s="92">
        <f t="shared" si="7"/>
        <v>1168312</v>
      </c>
      <c r="BI14" s="92">
        <f t="shared" si="7"/>
        <v>1168312</v>
      </c>
    </row>
    <row r="15" spans="1:63" ht="15" customHeight="1" x14ac:dyDescent="0.2">
      <c r="A15" s="12" t="s">
        <v>525</v>
      </c>
      <c r="B15" s="67">
        <f>ROUND((-INDEX('P&amp;L 5yr'!$C$42:$G$42,1,B$7)/12),0)</f>
        <v>-40329</v>
      </c>
      <c r="C15" s="67">
        <f>ROUND((-INDEX('P&amp;L 5yr'!$C$42:$G$42,1,C$7)/12),0)</f>
        <v>-40329</v>
      </c>
      <c r="D15" s="67">
        <f>ROUND((-INDEX('P&amp;L 5yr'!$C$42:$G$42,1,D$7)/12),0)</f>
        <v>-40329</v>
      </c>
      <c r="E15" s="67">
        <f>ROUND((-INDEX('P&amp;L 5yr'!$C$42:$G$42,1,E$7)/12),0)</f>
        <v>-40329</v>
      </c>
      <c r="F15" s="67">
        <f>ROUND((-INDEX('P&amp;L 5yr'!$C$42:$G$42,1,F$7)/12),0)</f>
        <v>-40329</v>
      </c>
      <c r="G15" s="67">
        <f>ROUND((-INDEX('P&amp;L 5yr'!$C$42:$G$42,1,G$7)/12),0)</f>
        <v>-40329</v>
      </c>
      <c r="H15" s="67">
        <f>ROUND((-INDEX('P&amp;L 5yr'!$C$42:$G$42,1,H$7)/12),0)</f>
        <v>-40329</v>
      </c>
      <c r="I15" s="67">
        <f>ROUND((-INDEX('P&amp;L 5yr'!$C$42:$G$42,1,I$7)/12),0)</f>
        <v>-40329</v>
      </c>
      <c r="J15" s="67">
        <f>ROUND((-INDEX('P&amp;L 5yr'!$C$42:$G$42,1,J$7)/12),0)</f>
        <v>-40329</v>
      </c>
      <c r="K15" s="67">
        <f>ROUND((-INDEX('P&amp;L 5yr'!$C$42:$G$42,1,K$7)/12),0)</f>
        <v>-40329</v>
      </c>
      <c r="L15" s="67">
        <f>ROUND((-INDEX('P&amp;L 5yr'!$C$42:$G$42,1,L$7)/12),0)</f>
        <v>-40329</v>
      </c>
      <c r="M15" s="67">
        <f>ROUND((-INDEX('P&amp;L 5yr'!$C$42:$G$42,1,M$7)/12),0)</f>
        <v>-40329</v>
      </c>
      <c r="N15" s="67">
        <f>ROUND((-INDEX('P&amp;L 5yr'!$C$42:$G$42,1,N$7)/12),0)</f>
        <v>-66492</v>
      </c>
      <c r="O15" s="67">
        <f>ROUND((-INDEX('P&amp;L 5yr'!$C$42:$G$42,1,O$7)/12),0)</f>
        <v>-66492</v>
      </c>
      <c r="P15" s="67">
        <f>ROUND((-INDEX('P&amp;L 5yr'!$C$42:$G$42,1,P$7)/12),0)</f>
        <v>-66492</v>
      </c>
      <c r="Q15" s="67">
        <f>ROUND((-INDEX('P&amp;L 5yr'!$C$42:$G$42,1,Q$7)/12),0)</f>
        <v>-66492</v>
      </c>
      <c r="R15" s="67">
        <f>ROUND((-INDEX('P&amp;L 5yr'!$C$42:$G$42,1,R$7)/12),0)</f>
        <v>-66492</v>
      </c>
      <c r="S15" s="67">
        <f>ROUND((-INDEX('P&amp;L 5yr'!$C$42:$G$42,1,S$7)/12),0)</f>
        <v>-66492</v>
      </c>
      <c r="T15" s="67">
        <f>ROUND((-INDEX('P&amp;L 5yr'!$C$42:$G$42,1,T$7)/12),0)</f>
        <v>-66492</v>
      </c>
      <c r="U15" s="67">
        <f>ROUND((-INDEX('P&amp;L 5yr'!$C$42:$G$42,1,U$7)/12),0)</f>
        <v>-66492</v>
      </c>
      <c r="V15" s="67">
        <f>ROUND((-INDEX('P&amp;L 5yr'!$C$42:$G$42,1,V$7)/12),0)</f>
        <v>-66492</v>
      </c>
      <c r="W15" s="67">
        <f>ROUND((-INDEX('P&amp;L 5yr'!$C$42:$G$42,1,W$7)/12),0)</f>
        <v>-66492</v>
      </c>
      <c r="X15" s="67">
        <f>ROUND((-INDEX('P&amp;L 5yr'!$C$42:$G$42,1,X$7)/12),0)</f>
        <v>-66492</v>
      </c>
      <c r="Y15" s="67">
        <f>ROUND((-INDEX('P&amp;L 5yr'!$C$42:$G$42,1,Y$7)/12),0)</f>
        <v>-66492</v>
      </c>
      <c r="Z15" s="67">
        <f>ROUND((-INDEX('P&amp;L 5yr'!$C$42:$G$42,1,Z$7)/12),0)</f>
        <v>-84604</v>
      </c>
      <c r="AA15" s="67">
        <f>ROUND((-INDEX('P&amp;L 5yr'!$C$42:$G$42,1,AA$7)/12),0)</f>
        <v>-84604</v>
      </c>
      <c r="AB15" s="67">
        <f>ROUND((-INDEX('P&amp;L 5yr'!$C$42:$G$42,1,AB$7)/12),0)</f>
        <v>-84604</v>
      </c>
      <c r="AC15" s="67">
        <f>ROUND((-INDEX('P&amp;L 5yr'!$C$42:$G$42,1,AC$7)/12),0)</f>
        <v>-84604</v>
      </c>
      <c r="AD15" s="67">
        <f>ROUND((-INDEX('P&amp;L 5yr'!$C$42:$G$42,1,AD$7)/12),0)</f>
        <v>-84604</v>
      </c>
      <c r="AE15" s="67">
        <f>ROUND((-INDEX('P&amp;L 5yr'!$C$42:$G$42,1,AE$7)/12),0)</f>
        <v>-84604</v>
      </c>
      <c r="AF15" s="67">
        <f>ROUND((-INDEX('P&amp;L 5yr'!$C$42:$G$42,1,AF$7)/12),0)</f>
        <v>-84604</v>
      </c>
      <c r="AG15" s="67">
        <f>ROUND((-INDEX('P&amp;L 5yr'!$C$42:$G$42,1,AG$7)/12),0)</f>
        <v>-84604</v>
      </c>
      <c r="AH15" s="67">
        <f>ROUND((-INDEX('P&amp;L 5yr'!$C$42:$G$42,1,AH$7)/12),0)</f>
        <v>-84604</v>
      </c>
      <c r="AI15" s="67">
        <f>ROUND((-INDEX('P&amp;L 5yr'!$C$42:$G$42,1,AI$7)/12),0)</f>
        <v>-84604</v>
      </c>
      <c r="AJ15" s="67">
        <f>ROUND((-INDEX('P&amp;L 5yr'!$C$42:$G$42,1,AJ$7)/12),0)</f>
        <v>-84604</v>
      </c>
      <c r="AK15" s="67">
        <f>ROUND((-INDEX('P&amp;L 5yr'!$C$42:$G$42,1,AK$7)/12),0)</f>
        <v>-84604</v>
      </c>
      <c r="AL15" s="67">
        <f>ROUND((-INDEX('P&amp;L 5yr'!$C$42:$G$42,1,AL$7)/12),0)</f>
        <v>-117779</v>
      </c>
      <c r="AM15" s="67">
        <f>ROUND((-INDEX('P&amp;L 5yr'!$C$42:$G$42,1,AM$7)/12),0)</f>
        <v>-117779</v>
      </c>
      <c r="AN15" s="67">
        <f>ROUND((-INDEX('P&amp;L 5yr'!$C$42:$G$42,1,AN$7)/12),0)</f>
        <v>-117779</v>
      </c>
      <c r="AO15" s="67">
        <f>ROUND((-INDEX('P&amp;L 5yr'!$C$42:$G$42,1,AO$7)/12),0)</f>
        <v>-117779</v>
      </c>
      <c r="AP15" s="67">
        <f>ROUND((-INDEX('P&amp;L 5yr'!$C$42:$G$42,1,AP$7)/12),0)</f>
        <v>-117779</v>
      </c>
      <c r="AQ15" s="67">
        <f>ROUND((-INDEX('P&amp;L 5yr'!$C$42:$G$42,1,AQ$7)/12),0)</f>
        <v>-117779</v>
      </c>
      <c r="AR15" s="67">
        <f>ROUND((-INDEX('P&amp;L 5yr'!$C$42:$G$42,1,AR$7)/12),0)</f>
        <v>-117779</v>
      </c>
      <c r="AS15" s="67">
        <f>ROUND((-INDEX('P&amp;L 5yr'!$C$42:$G$42,1,AS$7)/12),0)</f>
        <v>-117779</v>
      </c>
      <c r="AT15" s="67">
        <f>ROUND((-INDEX('P&amp;L 5yr'!$C$42:$G$42,1,AT$7)/12),0)</f>
        <v>-117779</v>
      </c>
      <c r="AU15" s="67">
        <f>ROUND((-INDEX('P&amp;L 5yr'!$C$42:$G$42,1,AU$7)/12),0)</f>
        <v>-117779</v>
      </c>
      <c r="AV15" s="67">
        <f>ROUND((-INDEX('P&amp;L 5yr'!$C$42:$G$42,1,AV$7)/12),0)</f>
        <v>-117779</v>
      </c>
      <c r="AW15" s="67">
        <f>ROUND((-INDEX('P&amp;L 5yr'!$C$42:$G$42,1,AW$7)/12),0)</f>
        <v>-117779</v>
      </c>
      <c r="AX15" s="67">
        <f>ROUND((-INDEX('P&amp;L 5yr'!$C$42:$G$42,1,AX$7)/12),0)</f>
        <v>-135892</v>
      </c>
      <c r="AY15" s="67">
        <f>ROUND((-INDEX('P&amp;L 5yr'!$C$42:$G$42,1,AY$7)/12),0)</f>
        <v>-135892</v>
      </c>
      <c r="AZ15" s="67">
        <f>ROUND((-INDEX('P&amp;L 5yr'!$C$42:$G$42,1,AZ$7)/12),0)</f>
        <v>-135892</v>
      </c>
      <c r="BA15" s="67">
        <f>ROUND((-INDEX('P&amp;L 5yr'!$C$42:$G$42,1,BA$7)/12),0)</f>
        <v>-135892</v>
      </c>
      <c r="BB15" s="67">
        <f>ROUND((-INDEX('P&amp;L 5yr'!$C$42:$G$42,1,BB$7)/12),0)</f>
        <v>-135892</v>
      </c>
      <c r="BC15" s="67">
        <f>ROUND((-INDEX('P&amp;L 5yr'!$C$42:$G$42,1,BC$7)/12),0)</f>
        <v>-135892</v>
      </c>
      <c r="BD15" s="67">
        <f>ROUND((-INDEX('P&amp;L 5yr'!$C$42:$G$42,1,BD$7)/12),0)</f>
        <v>-135892</v>
      </c>
      <c r="BE15" s="67">
        <f>ROUND((-INDEX('P&amp;L 5yr'!$C$42:$G$42,1,BE$7)/12),0)</f>
        <v>-135892</v>
      </c>
      <c r="BF15" s="67">
        <f>ROUND((-INDEX('P&amp;L 5yr'!$C$42:$G$42,1,BF$7)/12),0)</f>
        <v>-135892</v>
      </c>
      <c r="BG15" s="67">
        <f>ROUND((-INDEX('P&amp;L 5yr'!$C$42:$G$42,1,BG$7)/12),0)</f>
        <v>-135892</v>
      </c>
      <c r="BH15" s="67">
        <f>ROUND((-INDEX('P&amp;L 5yr'!$C$42:$G$42,1,BH$7)/12),0)</f>
        <v>-135892</v>
      </c>
      <c r="BI15" s="67">
        <f>ROUND((-INDEX('P&amp;L 5yr'!$C$42:$G$42,1,BI$7)/12),0)</f>
        <v>-135892</v>
      </c>
      <c r="BK15" s="33" t="s">
        <v>1547</v>
      </c>
    </row>
    <row r="16" spans="1:63" ht="15" customHeight="1" x14ac:dyDescent="0.2">
      <c r="A16" s="12" t="s">
        <v>526</v>
      </c>
      <c r="B16" s="67">
        <f>ROUND(-((INDEX('P&amp;L 5yr'!$C$56:$G$56,1,B$7)-'Launch Readiness'!$E$9*INDEX('Launch Readiness'!$B$34:$F$34,1,B$7)-'Launch Readiness'!$E$9*'Launch Readiness'!$B$10*INDEX('Launch Readiness'!$B$30:$F$30,1,B$7)-'Launch Readiness'!$E$16*INDEX('Launch Readiness'!$B$32:$F$32,1,B$7))/12+IF(AND(B$6&gt;='Launch Readiness'!$E$6,B$6&lt;'Launch Readiness'!$E$14),'Launch Readiness'!$E$9/12,0)+IF(AND(B$6&gt;='Launch Readiness'!$B$11,B$6&lt;'Launch Readiness'!$E$6),'Launch Readiness'!$E$9*'Launch Readiness'!$B$10/12,0)+IF(B$6&gt;='Launch Readiness'!$E$14,'Launch Readiness'!$E$16/12,0)),0)</f>
        <v>-21253</v>
      </c>
      <c r="C16" s="67">
        <f>ROUND(-((INDEX('P&amp;L 5yr'!$C$56:$G$56,1,C$7)-'Launch Readiness'!$E$9*INDEX('Launch Readiness'!$B$34:$F$34,1,C$7)-'Launch Readiness'!$E$9*'Launch Readiness'!$B$10*INDEX('Launch Readiness'!$B$30:$F$30,1,C$7)-'Launch Readiness'!$E$16*INDEX('Launch Readiness'!$B$32:$F$32,1,C$7))/12+IF(AND(C$6&gt;='Launch Readiness'!$E$6,C$6&lt;'Launch Readiness'!$E$14),'Launch Readiness'!$E$9/12,0)+IF(AND(C$6&gt;='Launch Readiness'!$B$11,C$6&lt;'Launch Readiness'!$E$6),'Launch Readiness'!$E$9*'Launch Readiness'!$B$10/12,0)+IF(C$6&gt;='Launch Readiness'!$E$14,'Launch Readiness'!$E$16/12,0)),0)</f>
        <v>-23207</v>
      </c>
      <c r="D16" s="67">
        <f>ROUND(-((INDEX('P&amp;L 5yr'!$C$56:$G$56,1,D$7)-'Launch Readiness'!$E$9*INDEX('Launch Readiness'!$B$34:$F$34,1,D$7)-'Launch Readiness'!$E$9*'Launch Readiness'!$B$10*INDEX('Launch Readiness'!$B$30:$F$30,1,D$7)-'Launch Readiness'!$E$16*INDEX('Launch Readiness'!$B$32:$F$32,1,D$7))/12+IF(AND(D$6&gt;='Launch Readiness'!$E$6,D$6&lt;'Launch Readiness'!$E$14),'Launch Readiness'!$E$9/12,0)+IF(AND(D$6&gt;='Launch Readiness'!$B$11,D$6&lt;'Launch Readiness'!$E$6),'Launch Readiness'!$E$9*'Launch Readiness'!$B$10/12,0)+IF(D$6&gt;='Launch Readiness'!$E$14,'Launch Readiness'!$E$16/12,0)),0)</f>
        <v>-23207</v>
      </c>
      <c r="E16" s="67">
        <f>ROUND(-((INDEX('P&amp;L 5yr'!$C$56:$G$56,1,E$7)-'Launch Readiness'!$E$9*INDEX('Launch Readiness'!$B$34:$F$34,1,E$7)-'Launch Readiness'!$E$9*'Launch Readiness'!$B$10*INDEX('Launch Readiness'!$B$30:$F$30,1,E$7)-'Launch Readiness'!$E$16*INDEX('Launch Readiness'!$B$32:$F$32,1,E$7))/12+IF(AND(E$6&gt;='Launch Readiness'!$E$6,E$6&lt;'Launch Readiness'!$E$14),'Launch Readiness'!$E$9/12,0)+IF(AND(E$6&gt;='Launch Readiness'!$B$11,E$6&lt;'Launch Readiness'!$E$6),'Launch Readiness'!$E$9*'Launch Readiness'!$B$10/12,0)+IF(E$6&gt;='Launch Readiness'!$E$14,'Launch Readiness'!$E$16/12,0)),0)</f>
        <v>-23207</v>
      </c>
      <c r="F16" s="67">
        <f>ROUND(-((INDEX('P&amp;L 5yr'!$C$56:$G$56,1,F$7)-'Launch Readiness'!$E$9*INDEX('Launch Readiness'!$B$34:$F$34,1,F$7)-'Launch Readiness'!$E$9*'Launch Readiness'!$B$10*INDEX('Launch Readiness'!$B$30:$F$30,1,F$7)-'Launch Readiness'!$E$16*INDEX('Launch Readiness'!$B$32:$F$32,1,F$7))/12+IF(AND(F$6&gt;='Launch Readiness'!$E$6,F$6&lt;'Launch Readiness'!$E$14),'Launch Readiness'!$E$9/12,0)+IF(AND(F$6&gt;='Launch Readiness'!$B$11,F$6&lt;'Launch Readiness'!$E$6),'Launch Readiness'!$E$9*'Launch Readiness'!$B$10/12,0)+IF(F$6&gt;='Launch Readiness'!$E$14,'Launch Readiness'!$E$16/12,0)),0)</f>
        <v>-23207</v>
      </c>
      <c r="G16" s="67">
        <f>ROUND(-((INDEX('P&amp;L 5yr'!$C$56:$G$56,1,G$7)-'Launch Readiness'!$E$9*INDEX('Launch Readiness'!$B$34:$F$34,1,G$7)-'Launch Readiness'!$E$9*'Launch Readiness'!$B$10*INDEX('Launch Readiness'!$B$30:$F$30,1,G$7)-'Launch Readiness'!$E$16*INDEX('Launch Readiness'!$B$32:$F$32,1,G$7))/12+IF(AND(G$6&gt;='Launch Readiness'!$E$6,G$6&lt;'Launch Readiness'!$E$14),'Launch Readiness'!$E$9/12,0)+IF(AND(G$6&gt;='Launch Readiness'!$B$11,G$6&lt;'Launch Readiness'!$E$6),'Launch Readiness'!$E$9*'Launch Readiness'!$B$10/12,0)+IF(G$6&gt;='Launch Readiness'!$E$14,'Launch Readiness'!$E$16/12,0)),0)</f>
        <v>-23207</v>
      </c>
      <c r="H16" s="67">
        <f>ROUND(-((INDEX('P&amp;L 5yr'!$C$56:$G$56,1,H$7)-'Launch Readiness'!$E$9*INDEX('Launch Readiness'!$B$34:$F$34,1,H$7)-'Launch Readiness'!$E$9*'Launch Readiness'!$B$10*INDEX('Launch Readiness'!$B$30:$F$30,1,H$7)-'Launch Readiness'!$E$16*INDEX('Launch Readiness'!$B$32:$F$32,1,H$7))/12+IF(AND(H$6&gt;='Launch Readiness'!$E$6,H$6&lt;'Launch Readiness'!$E$14),'Launch Readiness'!$E$9/12,0)+IF(AND(H$6&gt;='Launch Readiness'!$B$11,H$6&lt;'Launch Readiness'!$E$6),'Launch Readiness'!$E$9*'Launch Readiness'!$B$10/12,0)+IF(H$6&gt;='Launch Readiness'!$E$14,'Launch Readiness'!$E$16/12,0)),0)</f>
        <v>-23207</v>
      </c>
      <c r="I16" s="67">
        <f>ROUND(-((INDEX('P&amp;L 5yr'!$C$56:$G$56,1,I$7)-'Launch Readiness'!$E$9*INDEX('Launch Readiness'!$B$34:$F$34,1,I$7)-'Launch Readiness'!$E$9*'Launch Readiness'!$B$10*INDEX('Launch Readiness'!$B$30:$F$30,1,I$7)-'Launch Readiness'!$E$16*INDEX('Launch Readiness'!$B$32:$F$32,1,I$7))/12+IF(AND(I$6&gt;='Launch Readiness'!$E$6,I$6&lt;'Launch Readiness'!$E$14),'Launch Readiness'!$E$9/12,0)+IF(AND(I$6&gt;='Launch Readiness'!$B$11,I$6&lt;'Launch Readiness'!$E$6),'Launch Readiness'!$E$9*'Launch Readiness'!$B$10/12,0)+IF(I$6&gt;='Launch Readiness'!$E$14,'Launch Readiness'!$E$16/12,0)),0)</f>
        <v>-23207</v>
      </c>
      <c r="J16" s="67">
        <f>ROUND(-((INDEX('P&amp;L 5yr'!$C$56:$G$56,1,J$7)-'Launch Readiness'!$E$9*INDEX('Launch Readiness'!$B$34:$F$34,1,J$7)-'Launch Readiness'!$E$9*'Launch Readiness'!$B$10*INDEX('Launch Readiness'!$B$30:$F$30,1,J$7)-'Launch Readiness'!$E$16*INDEX('Launch Readiness'!$B$32:$F$32,1,J$7))/12+IF(AND(J$6&gt;='Launch Readiness'!$E$6,J$6&lt;'Launch Readiness'!$E$14),'Launch Readiness'!$E$9/12,0)+IF(AND(J$6&gt;='Launch Readiness'!$B$11,J$6&lt;'Launch Readiness'!$E$6),'Launch Readiness'!$E$9*'Launch Readiness'!$B$10/12,0)+IF(J$6&gt;='Launch Readiness'!$E$14,'Launch Readiness'!$E$16/12,0)),0)</f>
        <v>-23207</v>
      </c>
      <c r="K16" s="67">
        <f>ROUND(-((INDEX('P&amp;L 5yr'!$C$56:$G$56,1,K$7)-'Launch Readiness'!$E$9*INDEX('Launch Readiness'!$B$34:$F$34,1,K$7)-'Launch Readiness'!$E$9*'Launch Readiness'!$B$10*INDEX('Launch Readiness'!$B$30:$F$30,1,K$7)-'Launch Readiness'!$E$16*INDEX('Launch Readiness'!$B$32:$F$32,1,K$7))/12+IF(AND(K$6&gt;='Launch Readiness'!$E$6,K$6&lt;'Launch Readiness'!$E$14),'Launch Readiness'!$E$9/12,0)+IF(AND(K$6&gt;='Launch Readiness'!$B$11,K$6&lt;'Launch Readiness'!$E$6),'Launch Readiness'!$E$9*'Launch Readiness'!$B$10/12,0)+IF(K$6&gt;='Launch Readiness'!$E$14,'Launch Readiness'!$E$16/12,0)),0)</f>
        <v>-23207</v>
      </c>
      <c r="L16" s="67">
        <f>ROUND(-((INDEX('P&amp;L 5yr'!$C$56:$G$56,1,L$7)-'Launch Readiness'!$E$9*INDEX('Launch Readiness'!$B$34:$F$34,1,L$7)-'Launch Readiness'!$E$9*'Launch Readiness'!$B$10*INDEX('Launch Readiness'!$B$30:$F$30,1,L$7)-'Launch Readiness'!$E$16*INDEX('Launch Readiness'!$B$32:$F$32,1,L$7))/12+IF(AND(L$6&gt;='Launch Readiness'!$E$6,L$6&lt;'Launch Readiness'!$E$14),'Launch Readiness'!$E$9/12,0)+IF(AND(L$6&gt;='Launch Readiness'!$B$11,L$6&lt;'Launch Readiness'!$E$6),'Launch Readiness'!$E$9*'Launch Readiness'!$B$10/12,0)+IF(L$6&gt;='Launch Readiness'!$E$14,'Launch Readiness'!$E$16/12,0)),0)</f>
        <v>-23207</v>
      </c>
      <c r="M16" s="67">
        <f>ROUND(-((INDEX('P&amp;L 5yr'!$C$56:$G$56,1,M$7)-'Launch Readiness'!$E$9*INDEX('Launch Readiness'!$B$34:$F$34,1,M$7)-'Launch Readiness'!$E$9*'Launch Readiness'!$B$10*INDEX('Launch Readiness'!$B$30:$F$30,1,M$7)-'Launch Readiness'!$E$16*INDEX('Launch Readiness'!$B$32:$F$32,1,M$7))/12+IF(AND(M$6&gt;='Launch Readiness'!$E$6,M$6&lt;'Launch Readiness'!$E$14),'Launch Readiness'!$E$9/12,0)+IF(AND(M$6&gt;='Launch Readiness'!$B$11,M$6&lt;'Launch Readiness'!$E$6),'Launch Readiness'!$E$9*'Launch Readiness'!$B$10/12,0)+IF(M$6&gt;='Launch Readiness'!$E$14,'Launch Readiness'!$E$16/12,0)),0)</f>
        <v>-26836</v>
      </c>
      <c r="N16" s="67">
        <f>ROUND(-((INDEX('P&amp;L 5yr'!$C$56:$G$56,1,N$7)-'Launch Readiness'!$E$9*INDEX('Launch Readiness'!$B$34:$F$34,1,N$7)-'Launch Readiness'!$E$9*'Launch Readiness'!$B$10*INDEX('Launch Readiness'!$B$30:$F$30,1,N$7)-'Launch Readiness'!$E$16*INDEX('Launch Readiness'!$B$32:$F$32,1,N$7))/12+IF(AND(N$6&gt;='Launch Readiness'!$E$6,N$6&lt;'Launch Readiness'!$E$14),'Launch Readiness'!$E$9/12,0)+IF(AND(N$6&gt;='Launch Readiness'!$B$11,N$6&lt;'Launch Readiness'!$E$6),'Launch Readiness'!$E$9*'Launch Readiness'!$B$10/12,0)+IF(N$6&gt;='Launch Readiness'!$E$14,'Launch Readiness'!$E$16/12,0)),0)</f>
        <v>-28682</v>
      </c>
      <c r="O16" s="67">
        <f>ROUND(-((INDEX('P&amp;L 5yr'!$C$56:$G$56,1,O$7)-'Launch Readiness'!$E$9*INDEX('Launch Readiness'!$B$34:$F$34,1,O$7)-'Launch Readiness'!$E$9*'Launch Readiness'!$B$10*INDEX('Launch Readiness'!$B$30:$F$30,1,O$7)-'Launch Readiness'!$E$16*INDEX('Launch Readiness'!$B$32:$F$32,1,O$7))/12+IF(AND(O$6&gt;='Launch Readiness'!$E$6,O$6&lt;'Launch Readiness'!$E$14),'Launch Readiness'!$E$9/12,0)+IF(AND(O$6&gt;='Launch Readiness'!$B$11,O$6&lt;'Launch Readiness'!$E$6),'Launch Readiness'!$E$9*'Launch Readiness'!$B$10/12,0)+IF(O$6&gt;='Launch Readiness'!$E$14,'Launch Readiness'!$E$16/12,0)),0)</f>
        <v>-28682</v>
      </c>
      <c r="P16" s="67">
        <f>ROUND(-((INDEX('P&amp;L 5yr'!$C$56:$G$56,1,P$7)-'Launch Readiness'!$E$9*INDEX('Launch Readiness'!$B$34:$F$34,1,P$7)-'Launch Readiness'!$E$9*'Launch Readiness'!$B$10*INDEX('Launch Readiness'!$B$30:$F$30,1,P$7)-'Launch Readiness'!$E$16*INDEX('Launch Readiness'!$B$32:$F$32,1,P$7))/12+IF(AND(P$6&gt;='Launch Readiness'!$E$6,P$6&lt;'Launch Readiness'!$E$14),'Launch Readiness'!$E$9/12,0)+IF(AND(P$6&gt;='Launch Readiness'!$B$11,P$6&lt;'Launch Readiness'!$E$6),'Launch Readiness'!$E$9*'Launch Readiness'!$B$10/12,0)+IF(P$6&gt;='Launch Readiness'!$E$14,'Launch Readiness'!$E$16/12,0)),0)</f>
        <v>-28682</v>
      </c>
      <c r="Q16" s="67">
        <f>ROUND(-((INDEX('P&amp;L 5yr'!$C$56:$G$56,1,Q$7)-'Launch Readiness'!$E$9*INDEX('Launch Readiness'!$B$34:$F$34,1,Q$7)-'Launch Readiness'!$E$9*'Launch Readiness'!$B$10*INDEX('Launch Readiness'!$B$30:$F$30,1,Q$7)-'Launch Readiness'!$E$16*INDEX('Launch Readiness'!$B$32:$F$32,1,Q$7))/12+IF(AND(Q$6&gt;='Launch Readiness'!$E$6,Q$6&lt;'Launch Readiness'!$E$14),'Launch Readiness'!$E$9/12,0)+IF(AND(Q$6&gt;='Launch Readiness'!$B$11,Q$6&lt;'Launch Readiness'!$E$6),'Launch Readiness'!$E$9*'Launch Readiness'!$B$10/12,0)+IF(Q$6&gt;='Launch Readiness'!$E$14,'Launch Readiness'!$E$16/12,0)),0)</f>
        <v>-28682</v>
      </c>
      <c r="R16" s="67">
        <f>ROUND(-((INDEX('P&amp;L 5yr'!$C$56:$G$56,1,R$7)-'Launch Readiness'!$E$9*INDEX('Launch Readiness'!$B$34:$F$34,1,R$7)-'Launch Readiness'!$E$9*'Launch Readiness'!$B$10*INDEX('Launch Readiness'!$B$30:$F$30,1,R$7)-'Launch Readiness'!$E$16*INDEX('Launch Readiness'!$B$32:$F$32,1,R$7))/12+IF(AND(R$6&gt;='Launch Readiness'!$E$6,R$6&lt;'Launch Readiness'!$E$14),'Launch Readiness'!$E$9/12,0)+IF(AND(R$6&gt;='Launch Readiness'!$B$11,R$6&lt;'Launch Readiness'!$E$6),'Launch Readiness'!$E$9*'Launch Readiness'!$B$10/12,0)+IF(R$6&gt;='Launch Readiness'!$E$14,'Launch Readiness'!$E$16/12,0)),0)</f>
        <v>-28682</v>
      </c>
      <c r="S16" s="67">
        <f>ROUND(-((INDEX('P&amp;L 5yr'!$C$56:$G$56,1,S$7)-'Launch Readiness'!$E$9*INDEX('Launch Readiness'!$B$34:$F$34,1,S$7)-'Launch Readiness'!$E$9*'Launch Readiness'!$B$10*INDEX('Launch Readiness'!$B$30:$F$30,1,S$7)-'Launch Readiness'!$E$16*INDEX('Launch Readiness'!$B$32:$F$32,1,S$7))/12+IF(AND(S$6&gt;='Launch Readiness'!$E$6,S$6&lt;'Launch Readiness'!$E$14),'Launch Readiness'!$E$9/12,0)+IF(AND(S$6&gt;='Launch Readiness'!$B$11,S$6&lt;'Launch Readiness'!$E$6),'Launch Readiness'!$E$9*'Launch Readiness'!$B$10/12,0)+IF(S$6&gt;='Launch Readiness'!$E$14,'Launch Readiness'!$E$16/12,0)),0)</f>
        <v>-28682</v>
      </c>
      <c r="T16" s="67">
        <f>ROUND(-((INDEX('P&amp;L 5yr'!$C$56:$G$56,1,T$7)-'Launch Readiness'!$E$9*INDEX('Launch Readiness'!$B$34:$F$34,1,T$7)-'Launch Readiness'!$E$9*'Launch Readiness'!$B$10*INDEX('Launch Readiness'!$B$30:$F$30,1,T$7)-'Launch Readiness'!$E$16*INDEX('Launch Readiness'!$B$32:$F$32,1,T$7))/12+IF(AND(T$6&gt;='Launch Readiness'!$E$6,T$6&lt;'Launch Readiness'!$E$14),'Launch Readiness'!$E$9/12,0)+IF(AND(T$6&gt;='Launch Readiness'!$B$11,T$6&lt;'Launch Readiness'!$E$6),'Launch Readiness'!$E$9*'Launch Readiness'!$B$10/12,0)+IF(T$6&gt;='Launch Readiness'!$E$14,'Launch Readiness'!$E$16/12,0)),0)</f>
        <v>-28682</v>
      </c>
      <c r="U16" s="67">
        <f>ROUND(-((INDEX('P&amp;L 5yr'!$C$56:$G$56,1,U$7)-'Launch Readiness'!$E$9*INDEX('Launch Readiness'!$B$34:$F$34,1,U$7)-'Launch Readiness'!$E$9*'Launch Readiness'!$B$10*INDEX('Launch Readiness'!$B$30:$F$30,1,U$7)-'Launch Readiness'!$E$16*INDEX('Launch Readiness'!$B$32:$F$32,1,U$7))/12+IF(AND(U$6&gt;='Launch Readiness'!$E$6,U$6&lt;'Launch Readiness'!$E$14),'Launch Readiness'!$E$9/12,0)+IF(AND(U$6&gt;='Launch Readiness'!$B$11,U$6&lt;'Launch Readiness'!$E$6),'Launch Readiness'!$E$9*'Launch Readiness'!$B$10/12,0)+IF(U$6&gt;='Launch Readiness'!$E$14,'Launch Readiness'!$E$16/12,0)),0)</f>
        <v>-28682</v>
      </c>
      <c r="V16" s="67">
        <f>ROUND(-((INDEX('P&amp;L 5yr'!$C$56:$G$56,1,V$7)-'Launch Readiness'!$E$9*INDEX('Launch Readiness'!$B$34:$F$34,1,V$7)-'Launch Readiness'!$E$9*'Launch Readiness'!$B$10*INDEX('Launch Readiness'!$B$30:$F$30,1,V$7)-'Launch Readiness'!$E$16*INDEX('Launch Readiness'!$B$32:$F$32,1,V$7))/12+IF(AND(V$6&gt;='Launch Readiness'!$E$6,V$6&lt;'Launch Readiness'!$E$14),'Launch Readiness'!$E$9/12,0)+IF(AND(V$6&gt;='Launch Readiness'!$B$11,V$6&lt;'Launch Readiness'!$E$6),'Launch Readiness'!$E$9*'Launch Readiness'!$B$10/12,0)+IF(V$6&gt;='Launch Readiness'!$E$14,'Launch Readiness'!$E$16/12,0)),0)</f>
        <v>-28682</v>
      </c>
      <c r="W16" s="67">
        <f>ROUND(-((INDEX('P&amp;L 5yr'!$C$56:$G$56,1,W$7)-'Launch Readiness'!$E$9*INDEX('Launch Readiness'!$B$34:$F$34,1,W$7)-'Launch Readiness'!$E$9*'Launch Readiness'!$B$10*INDEX('Launch Readiness'!$B$30:$F$30,1,W$7)-'Launch Readiness'!$E$16*INDEX('Launch Readiness'!$B$32:$F$32,1,W$7))/12+IF(AND(W$6&gt;='Launch Readiness'!$E$6,W$6&lt;'Launch Readiness'!$E$14),'Launch Readiness'!$E$9/12,0)+IF(AND(W$6&gt;='Launch Readiness'!$B$11,W$6&lt;'Launch Readiness'!$E$6),'Launch Readiness'!$E$9*'Launch Readiness'!$B$10/12,0)+IF(W$6&gt;='Launch Readiness'!$E$14,'Launch Readiness'!$E$16/12,0)),0)</f>
        <v>-28682</v>
      </c>
      <c r="X16" s="67">
        <f>ROUND(-((INDEX('P&amp;L 5yr'!$C$56:$G$56,1,X$7)-'Launch Readiness'!$E$9*INDEX('Launch Readiness'!$B$34:$F$34,1,X$7)-'Launch Readiness'!$E$9*'Launch Readiness'!$B$10*INDEX('Launch Readiness'!$B$30:$F$30,1,X$7)-'Launch Readiness'!$E$16*INDEX('Launch Readiness'!$B$32:$F$32,1,X$7))/12+IF(AND(X$6&gt;='Launch Readiness'!$E$6,X$6&lt;'Launch Readiness'!$E$14),'Launch Readiness'!$E$9/12,0)+IF(AND(X$6&gt;='Launch Readiness'!$B$11,X$6&lt;'Launch Readiness'!$E$6),'Launch Readiness'!$E$9*'Launch Readiness'!$B$10/12,0)+IF(X$6&gt;='Launch Readiness'!$E$14,'Launch Readiness'!$E$16/12,0)),0)</f>
        <v>-28682</v>
      </c>
      <c r="Y16" s="67">
        <f>ROUND(-((INDEX('P&amp;L 5yr'!$C$56:$G$56,1,Y$7)-'Launch Readiness'!$E$9*INDEX('Launch Readiness'!$B$34:$F$34,1,Y$7)-'Launch Readiness'!$E$9*'Launch Readiness'!$B$10*INDEX('Launch Readiness'!$B$30:$F$30,1,Y$7)-'Launch Readiness'!$E$16*INDEX('Launch Readiness'!$B$32:$F$32,1,Y$7))/12+IF(AND(Y$6&gt;='Launch Readiness'!$E$6,Y$6&lt;'Launch Readiness'!$E$14),'Launch Readiness'!$E$9/12,0)+IF(AND(Y$6&gt;='Launch Readiness'!$B$11,Y$6&lt;'Launch Readiness'!$E$6),'Launch Readiness'!$E$9*'Launch Readiness'!$B$10/12,0)+IF(Y$6&gt;='Launch Readiness'!$E$14,'Launch Readiness'!$E$16/12,0)),0)</f>
        <v>-28682</v>
      </c>
      <c r="Z16" s="67">
        <f>ROUND(-((INDEX('P&amp;L 5yr'!$C$56:$G$56,1,Z$7)-'Launch Readiness'!$E$9*INDEX('Launch Readiness'!$B$34:$F$34,1,Z$7)-'Launch Readiness'!$E$9*'Launch Readiness'!$B$10*INDEX('Launch Readiness'!$B$30:$F$30,1,Z$7)-'Launch Readiness'!$E$16*INDEX('Launch Readiness'!$B$32:$F$32,1,Z$7))/12+IF(AND(Z$6&gt;='Launch Readiness'!$E$6,Z$6&lt;'Launch Readiness'!$E$14),'Launch Readiness'!$E$9/12,0)+IF(AND(Z$6&gt;='Launch Readiness'!$B$11,Z$6&lt;'Launch Readiness'!$E$6),'Launch Readiness'!$E$9*'Launch Readiness'!$B$10/12,0)+IF(Z$6&gt;='Launch Readiness'!$E$14,'Launch Readiness'!$E$16/12,0)),0)</f>
        <v>-34698</v>
      </c>
      <c r="AA16" s="67">
        <f>ROUND(-((INDEX('P&amp;L 5yr'!$C$56:$G$56,1,AA$7)-'Launch Readiness'!$E$9*INDEX('Launch Readiness'!$B$34:$F$34,1,AA$7)-'Launch Readiness'!$E$9*'Launch Readiness'!$B$10*INDEX('Launch Readiness'!$B$30:$F$30,1,AA$7)-'Launch Readiness'!$E$16*INDEX('Launch Readiness'!$B$32:$F$32,1,AA$7))/12+IF(AND(AA$6&gt;='Launch Readiness'!$E$6,AA$6&lt;'Launch Readiness'!$E$14),'Launch Readiness'!$E$9/12,0)+IF(AND(AA$6&gt;='Launch Readiness'!$B$11,AA$6&lt;'Launch Readiness'!$E$6),'Launch Readiness'!$E$9*'Launch Readiness'!$B$10/12,0)+IF(AA$6&gt;='Launch Readiness'!$E$14,'Launch Readiness'!$E$16/12,0)),0)</f>
        <v>-34698</v>
      </c>
      <c r="AB16" s="67">
        <f>ROUND(-((INDEX('P&amp;L 5yr'!$C$56:$G$56,1,AB$7)-'Launch Readiness'!$E$9*INDEX('Launch Readiness'!$B$34:$F$34,1,AB$7)-'Launch Readiness'!$E$9*'Launch Readiness'!$B$10*INDEX('Launch Readiness'!$B$30:$F$30,1,AB$7)-'Launch Readiness'!$E$16*INDEX('Launch Readiness'!$B$32:$F$32,1,AB$7))/12+IF(AND(AB$6&gt;='Launch Readiness'!$E$6,AB$6&lt;'Launch Readiness'!$E$14),'Launch Readiness'!$E$9/12,0)+IF(AND(AB$6&gt;='Launch Readiness'!$B$11,AB$6&lt;'Launch Readiness'!$E$6),'Launch Readiness'!$E$9*'Launch Readiness'!$B$10/12,0)+IF(AB$6&gt;='Launch Readiness'!$E$14,'Launch Readiness'!$E$16/12,0)),0)</f>
        <v>-34698</v>
      </c>
      <c r="AC16" s="67">
        <f>ROUND(-((INDEX('P&amp;L 5yr'!$C$56:$G$56,1,AC$7)-'Launch Readiness'!$E$9*INDEX('Launch Readiness'!$B$34:$F$34,1,AC$7)-'Launch Readiness'!$E$9*'Launch Readiness'!$B$10*INDEX('Launch Readiness'!$B$30:$F$30,1,AC$7)-'Launch Readiness'!$E$16*INDEX('Launch Readiness'!$B$32:$F$32,1,AC$7))/12+IF(AND(AC$6&gt;='Launch Readiness'!$E$6,AC$6&lt;'Launch Readiness'!$E$14),'Launch Readiness'!$E$9/12,0)+IF(AND(AC$6&gt;='Launch Readiness'!$B$11,AC$6&lt;'Launch Readiness'!$E$6),'Launch Readiness'!$E$9*'Launch Readiness'!$B$10/12,0)+IF(AC$6&gt;='Launch Readiness'!$E$14,'Launch Readiness'!$E$16/12,0)),0)</f>
        <v>-34698</v>
      </c>
      <c r="AD16" s="67">
        <f>ROUND(-((INDEX('P&amp;L 5yr'!$C$56:$G$56,1,AD$7)-'Launch Readiness'!$E$9*INDEX('Launch Readiness'!$B$34:$F$34,1,AD$7)-'Launch Readiness'!$E$9*'Launch Readiness'!$B$10*INDEX('Launch Readiness'!$B$30:$F$30,1,AD$7)-'Launch Readiness'!$E$16*INDEX('Launch Readiness'!$B$32:$F$32,1,AD$7))/12+IF(AND(AD$6&gt;='Launch Readiness'!$E$6,AD$6&lt;'Launch Readiness'!$E$14),'Launch Readiness'!$E$9/12,0)+IF(AND(AD$6&gt;='Launch Readiness'!$B$11,AD$6&lt;'Launch Readiness'!$E$6),'Launch Readiness'!$E$9*'Launch Readiness'!$B$10/12,0)+IF(AD$6&gt;='Launch Readiness'!$E$14,'Launch Readiness'!$E$16/12,0)),0)</f>
        <v>-34698</v>
      </c>
      <c r="AE16" s="67">
        <f>ROUND(-((INDEX('P&amp;L 5yr'!$C$56:$G$56,1,AE$7)-'Launch Readiness'!$E$9*INDEX('Launch Readiness'!$B$34:$F$34,1,AE$7)-'Launch Readiness'!$E$9*'Launch Readiness'!$B$10*INDEX('Launch Readiness'!$B$30:$F$30,1,AE$7)-'Launch Readiness'!$E$16*INDEX('Launch Readiness'!$B$32:$F$32,1,AE$7))/12+IF(AND(AE$6&gt;='Launch Readiness'!$E$6,AE$6&lt;'Launch Readiness'!$E$14),'Launch Readiness'!$E$9/12,0)+IF(AND(AE$6&gt;='Launch Readiness'!$B$11,AE$6&lt;'Launch Readiness'!$E$6),'Launch Readiness'!$E$9*'Launch Readiness'!$B$10/12,0)+IF(AE$6&gt;='Launch Readiness'!$E$14,'Launch Readiness'!$E$16/12,0)),0)</f>
        <v>-37624</v>
      </c>
      <c r="AF16" s="67">
        <f>ROUND(-((INDEX('P&amp;L 5yr'!$C$56:$G$56,1,AF$7)-'Launch Readiness'!$E$9*INDEX('Launch Readiness'!$B$34:$F$34,1,AF$7)-'Launch Readiness'!$E$9*'Launch Readiness'!$B$10*INDEX('Launch Readiness'!$B$30:$F$30,1,AF$7)-'Launch Readiness'!$E$16*INDEX('Launch Readiness'!$B$32:$F$32,1,AF$7))/12+IF(AND(AF$6&gt;='Launch Readiness'!$E$6,AF$6&lt;'Launch Readiness'!$E$14),'Launch Readiness'!$E$9/12,0)+IF(AND(AF$6&gt;='Launch Readiness'!$B$11,AF$6&lt;'Launch Readiness'!$E$6),'Launch Readiness'!$E$9*'Launch Readiness'!$B$10/12,0)+IF(AF$6&gt;='Launch Readiness'!$E$14,'Launch Readiness'!$E$16/12,0)),0)</f>
        <v>-37624</v>
      </c>
      <c r="AG16" s="67">
        <f>ROUND(-((INDEX('P&amp;L 5yr'!$C$56:$G$56,1,AG$7)-'Launch Readiness'!$E$9*INDEX('Launch Readiness'!$B$34:$F$34,1,AG$7)-'Launch Readiness'!$E$9*'Launch Readiness'!$B$10*INDEX('Launch Readiness'!$B$30:$F$30,1,AG$7)-'Launch Readiness'!$E$16*INDEX('Launch Readiness'!$B$32:$F$32,1,AG$7))/12+IF(AND(AG$6&gt;='Launch Readiness'!$E$6,AG$6&lt;'Launch Readiness'!$E$14),'Launch Readiness'!$E$9/12,0)+IF(AND(AG$6&gt;='Launch Readiness'!$B$11,AG$6&lt;'Launch Readiness'!$E$6),'Launch Readiness'!$E$9*'Launch Readiness'!$B$10/12,0)+IF(AG$6&gt;='Launch Readiness'!$E$14,'Launch Readiness'!$E$16/12,0)),0)</f>
        <v>-37624</v>
      </c>
      <c r="AH16" s="67">
        <f>ROUND(-((INDEX('P&amp;L 5yr'!$C$56:$G$56,1,AH$7)-'Launch Readiness'!$E$9*INDEX('Launch Readiness'!$B$34:$F$34,1,AH$7)-'Launch Readiness'!$E$9*'Launch Readiness'!$B$10*INDEX('Launch Readiness'!$B$30:$F$30,1,AH$7)-'Launch Readiness'!$E$16*INDEX('Launch Readiness'!$B$32:$F$32,1,AH$7))/12+IF(AND(AH$6&gt;='Launch Readiness'!$E$6,AH$6&lt;'Launch Readiness'!$E$14),'Launch Readiness'!$E$9/12,0)+IF(AND(AH$6&gt;='Launch Readiness'!$B$11,AH$6&lt;'Launch Readiness'!$E$6),'Launch Readiness'!$E$9*'Launch Readiness'!$B$10/12,0)+IF(AH$6&gt;='Launch Readiness'!$E$14,'Launch Readiness'!$E$16/12,0)),0)</f>
        <v>-37624</v>
      </c>
      <c r="AI16" s="67">
        <f>ROUND(-((INDEX('P&amp;L 5yr'!$C$56:$G$56,1,AI$7)-'Launch Readiness'!$E$9*INDEX('Launch Readiness'!$B$34:$F$34,1,AI$7)-'Launch Readiness'!$E$9*'Launch Readiness'!$B$10*INDEX('Launch Readiness'!$B$30:$F$30,1,AI$7)-'Launch Readiness'!$E$16*INDEX('Launch Readiness'!$B$32:$F$32,1,AI$7))/12+IF(AND(AI$6&gt;='Launch Readiness'!$E$6,AI$6&lt;'Launch Readiness'!$E$14),'Launch Readiness'!$E$9/12,0)+IF(AND(AI$6&gt;='Launch Readiness'!$B$11,AI$6&lt;'Launch Readiness'!$E$6),'Launch Readiness'!$E$9*'Launch Readiness'!$B$10/12,0)+IF(AI$6&gt;='Launch Readiness'!$E$14,'Launch Readiness'!$E$16/12,0)),0)</f>
        <v>-37624</v>
      </c>
      <c r="AJ16" s="67">
        <f>ROUND(-((INDEX('P&amp;L 5yr'!$C$56:$G$56,1,AJ$7)-'Launch Readiness'!$E$9*INDEX('Launch Readiness'!$B$34:$F$34,1,AJ$7)-'Launch Readiness'!$E$9*'Launch Readiness'!$B$10*INDEX('Launch Readiness'!$B$30:$F$30,1,AJ$7)-'Launch Readiness'!$E$16*INDEX('Launch Readiness'!$B$32:$F$32,1,AJ$7))/12+IF(AND(AJ$6&gt;='Launch Readiness'!$E$6,AJ$6&lt;'Launch Readiness'!$E$14),'Launch Readiness'!$E$9/12,0)+IF(AND(AJ$6&gt;='Launch Readiness'!$B$11,AJ$6&lt;'Launch Readiness'!$E$6),'Launch Readiness'!$E$9*'Launch Readiness'!$B$10/12,0)+IF(AJ$6&gt;='Launch Readiness'!$E$14,'Launch Readiness'!$E$16/12,0)),0)</f>
        <v>-37624</v>
      </c>
      <c r="AK16" s="67">
        <f>ROUND(-((INDEX('P&amp;L 5yr'!$C$56:$G$56,1,AK$7)-'Launch Readiness'!$E$9*INDEX('Launch Readiness'!$B$34:$F$34,1,AK$7)-'Launch Readiness'!$E$9*'Launch Readiness'!$B$10*INDEX('Launch Readiness'!$B$30:$F$30,1,AK$7)-'Launch Readiness'!$E$16*INDEX('Launch Readiness'!$B$32:$F$32,1,AK$7))/12+IF(AND(AK$6&gt;='Launch Readiness'!$E$6,AK$6&lt;'Launch Readiness'!$E$14),'Launch Readiness'!$E$9/12,0)+IF(AND(AK$6&gt;='Launch Readiness'!$B$11,AK$6&lt;'Launch Readiness'!$E$6),'Launch Readiness'!$E$9*'Launch Readiness'!$B$10/12,0)+IF(AK$6&gt;='Launch Readiness'!$E$14,'Launch Readiness'!$E$16/12,0)),0)</f>
        <v>-37624</v>
      </c>
      <c r="AL16" s="67">
        <f>ROUND(-((INDEX('P&amp;L 5yr'!$C$56:$G$56,1,AL$7)-'Launch Readiness'!$E$9*INDEX('Launch Readiness'!$B$34:$F$34,1,AL$7)-'Launch Readiness'!$E$9*'Launch Readiness'!$B$10*INDEX('Launch Readiness'!$B$30:$F$30,1,AL$7)-'Launch Readiness'!$E$16*INDEX('Launch Readiness'!$B$32:$F$32,1,AL$7))/12+IF(AND(AL$6&gt;='Launch Readiness'!$E$6,AL$6&lt;'Launch Readiness'!$E$14),'Launch Readiness'!$E$9/12,0)+IF(AND(AL$6&gt;='Launch Readiness'!$B$11,AL$6&lt;'Launch Readiness'!$E$6),'Launch Readiness'!$E$9*'Launch Readiness'!$B$10/12,0)+IF(AL$6&gt;='Launch Readiness'!$E$14,'Launch Readiness'!$E$16/12,0)),0)</f>
        <v>-45366</v>
      </c>
      <c r="AM16" s="67">
        <f>ROUND(-((INDEX('P&amp;L 5yr'!$C$56:$G$56,1,AM$7)-'Launch Readiness'!$E$9*INDEX('Launch Readiness'!$B$34:$F$34,1,AM$7)-'Launch Readiness'!$E$9*'Launch Readiness'!$B$10*INDEX('Launch Readiness'!$B$30:$F$30,1,AM$7)-'Launch Readiness'!$E$16*INDEX('Launch Readiness'!$B$32:$F$32,1,AM$7))/12+IF(AND(AM$6&gt;='Launch Readiness'!$E$6,AM$6&lt;'Launch Readiness'!$E$14),'Launch Readiness'!$E$9/12,0)+IF(AND(AM$6&gt;='Launch Readiness'!$B$11,AM$6&lt;'Launch Readiness'!$E$6),'Launch Readiness'!$E$9*'Launch Readiness'!$B$10/12,0)+IF(AM$6&gt;='Launch Readiness'!$E$14,'Launch Readiness'!$E$16/12,0)),0)</f>
        <v>-45366</v>
      </c>
      <c r="AN16" s="67">
        <f>ROUND(-((INDEX('P&amp;L 5yr'!$C$56:$G$56,1,AN$7)-'Launch Readiness'!$E$9*INDEX('Launch Readiness'!$B$34:$F$34,1,AN$7)-'Launch Readiness'!$E$9*'Launch Readiness'!$B$10*INDEX('Launch Readiness'!$B$30:$F$30,1,AN$7)-'Launch Readiness'!$E$16*INDEX('Launch Readiness'!$B$32:$F$32,1,AN$7))/12+IF(AND(AN$6&gt;='Launch Readiness'!$E$6,AN$6&lt;'Launch Readiness'!$E$14),'Launch Readiness'!$E$9/12,0)+IF(AND(AN$6&gt;='Launch Readiness'!$B$11,AN$6&lt;'Launch Readiness'!$E$6),'Launch Readiness'!$E$9*'Launch Readiness'!$B$10/12,0)+IF(AN$6&gt;='Launch Readiness'!$E$14,'Launch Readiness'!$E$16/12,0)),0)</f>
        <v>-45366</v>
      </c>
      <c r="AO16" s="67">
        <f>ROUND(-((INDEX('P&amp;L 5yr'!$C$56:$G$56,1,AO$7)-'Launch Readiness'!$E$9*INDEX('Launch Readiness'!$B$34:$F$34,1,AO$7)-'Launch Readiness'!$E$9*'Launch Readiness'!$B$10*INDEX('Launch Readiness'!$B$30:$F$30,1,AO$7)-'Launch Readiness'!$E$16*INDEX('Launch Readiness'!$B$32:$F$32,1,AO$7))/12+IF(AND(AO$6&gt;='Launch Readiness'!$E$6,AO$6&lt;'Launch Readiness'!$E$14),'Launch Readiness'!$E$9/12,0)+IF(AND(AO$6&gt;='Launch Readiness'!$B$11,AO$6&lt;'Launch Readiness'!$E$6),'Launch Readiness'!$E$9*'Launch Readiness'!$B$10/12,0)+IF(AO$6&gt;='Launch Readiness'!$E$14,'Launch Readiness'!$E$16/12,0)),0)</f>
        <v>-45366</v>
      </c>
      <c r="AP16" s="67">
        <f>ROUND(-((INDEX('P&amp;L 5yr'!$C$56:$G$56,1,AP$7)-'Launch Readiness'!$E$9*INDEX('Launch Readiness'!$B$34:$F$34,1,AP$7)-'Launch Readiness'!$E$9*'Launch Readiness'!$B$10*INDEX('Launch Readiness'!$B$30:$F$30,1,AP$7)-'Launch Readiness'!$E$16*INDEX('Launch Readiness'!$B$32:$F$32,1,AP$7))/12+IF(AND(AP$6&gt;='Launch Readiness'!$E$6,AP$6&lt;'Launch Readiness'!$E$14),'Launch Readiness'!$E$9/12,0)+IF(AND(AP$6&gt;='Launch Readiness'!$B$11,AP$6&lt;'Launch Readiness'!$E$6),'Launch Readiness'!$E$9*'Launch Readiness'!$B$10/12,0)+IF(AP$6&gt;='Launch Readiness'!$E$14,'Launch Readiness'!$E$16/12,0)),0)</f>
        <v>-45366</v>
      </c>
      <c r="AQ16" s="67">
        <f>ROUND(-((INDEX('P&amp;L 5yr'!$C$56:$G$56,1,AQ$7)-'Launch Readiness'!$E$9*INDEX('Launch Readiness'!$B$34:$F$34,1,AQ$7)-'Launch Readiness'!$E$9*'Launch Readiness'!$B$10*INDEX('Launch Readiness'!$B$30:$F$30,1,AQ$7)-'Launch Readiness'!$E$16*INDEX('Launch Readiness'!$B$32:$F$32,1,AQ$7))/12+IF(AND(AQ$6&gt;='Launch Readiness'!$E$6,AQ$6&lt;'Launch Readiness'!$E$14),'Launch Readiness'!$E$9/12,0)+IF(AND(AQ$6&gt;='Launch Readiness'!$B$11,AQ$6&lt;'Launch Readiness'!$E$6),'Launch Readiness'!$E$9*'Launch Readiness'!$B$10/12,0)+IF(AQ$6&gt;='Launch Readiness'!$E$14,'Launch Readiness'!$E$16/12,0)),0)</f>
        <v>-45366</v>
      </c>
      <c r="AR16" s="67">
        <f>ROUND(-((INDEX('P&amp;L 5yr'!$C$56:$G$56,1,AR$7)-'Launch Readiness'!$E$9*INDEX('Launch Readiness'!$B$34:$F$34,1,AR$7)-'Launch Readiness'!$E$9*'Launch Readiness'!$B$10*INDEX('Launch Readiness'!$B$30:$F$30,1,AR$7)-'Launch Readiness'!$E$16*INDEX('Launch Readiness'!$B$32:$F$32,1,AR$7))/12+IF(AND(AR$6&gt;='Launch Readiness'!$E$6,AR$6&lt;'Launch Readiness'!$E$14),'Launch Readiness'!$E$9/12,0)+IF(AND(AR$6&gt;='Launch Readiness'!$B$11,AR$6&lt;'Launch Readiness'!$E$6),'Launch Readiness'!$E$9*'Launch Readiness'!$B$10/12,0)+IF(AR$6&gt;='Launch Readiness'!$E$14,'Launch Readiness'!$E$16/12,0)),0)</f>
        <v>-45366</v>
      </c>
      <c r="AS16" s="67">
        <f>ROUND(-((INDEX('P&amp;L 5yr'!$C$56:$G$56,1,AS$7)-'Launch Readiness'!$E$9*INDEX('Launch Readiness'!$B$34:$F$34,1,AS$7)-'Launch Readiness'!$E$9*'Launch Readiness'!$B$10*INDEX('Launch Readiness'!$B$30:$F$30,1,AS$7)-'Launch Readiness'!$E$16*INDEX('Launch Readiness'!$B$32:$F$32,1,AS$7))/12+IF(AND(AS$6&gt;='Launch Readiness'!$E$6,AS$6&lt;'Launch Readiness'!$E$14),'Launch Readiness'!$E$9/12,0)+IF(AND(AS$6&gt;='Launch Readiness'!$B$11,AS$6&lt;'Launch Readiness'!$E$6),'Launch Readiness'!$E$9*'Launch Readiness'!$B$10/12,0)+IF(AS$6&gt;='Launch Readiness'!$E$14,'Launch Readiness'!$E$16/12,0)),0)</f>
        <v>-45366</v>
      </c>
      <c r="AT16" s="67">
        <f>ROUND(-((INDEX('P&amp;L 5yr'!$C$56:$G$56,1,AT$7)-'Launch Readiness'!$E$9*INDEX('Launch Readiness'!$B$34:$F$34,1,AT$7)-'Launch Readiness'!$E$9*'Launch Readiness'!$B$10*INDEX('Launch Readiness'!$B$30:$F$30,1,AT$7)-'Launch Readiness'!$E$16*INDEX('Launch Readiness'!$B$32:$F$32,1,AT$7))/12+IF(AND(AT$6&gt;='Launch Readiness'!$E$6,AT$6&lt;'Launch Readiness'!$E$14),'Launch Readiness'!$E$9/12,0)+IF(AND(AT$6&gt;='Launch Readiness'!$B$11,AT$6&lt;'Launch Readiness'!$E$6),'Launch Readiness'!$E$9*'Launch Readiness'!$B$10/12,0)+IF(AT$6&gt;='Launch Readiness'!$E$14,'Launch Readiness'!$E$16/12,0)),0)</f>
        <v>-45366</v>
      </c>
      <c r="AU16" s="67">
        <f>ROUND(-((INDEX('P&amp;L 5yr'!$C$56:$G$56,1,AU$7)-'Launch Readiness'!$E$9*INDEX('Launch Readiness'!$B$34:$F$34,1,AU$7)-'Launch Readiness'!$E$9*'Launch Readiness'!$B$10*INDEX('Launch Readiness'!$B$30:$F$30,1,AU$7)-'Launch Readiness'!$E$16*INDEX('Launch Readiness'!$B$32:$F$32,1,AU$7))/12+IF(AND(AU$6&gt;='Launch Readiness'!$E$6,AU$6&lt;'Launch Readiness'!$E$14),'Launch Readiness'!$E$9/12,0)+IF(AND(AU$6&gt;='Launch Readiness'!$B$11,AU$6&lt;'Launch Readiness'!$E$6),'Launch Readiness'!$E$9*'Launch Readiness'!$B$10/12,0)+IF(AU$6&gt;='Launch Readiness'!$E$14,'Launch Readiness'!$E$16/12,0)),0)</f>
        <v>-45366</v>
      </c>
      <c r="AV16" s="67">
        <f>ROUND(-((INDEX('P&amp;L 5yr'!$C$56:$G$56,1,AV$7)-'Launch Readiness'!$E$9*INDEX('Launch Readiness'!$B$34:$F$34,1,AV$7)-'Launch Readiness'!$E$9*'Launch Readiness'!$B$10*INDEX('Launch Readiness'!$B$30:$F$30,1,AV$7)-'Launch Readiness'!$E$16*INDEX('Launch Readiness'!$B$32:$F$32,1,AV$7))/12+IF(AND(AV$6&gt;='Launch Readiness'!$E$6,AV$6&lt;'Launch Readiness'!$E$14),'Launch Readiness'!$E$9/12,0)+IF(AND(AV$6&gt;='Launch Readiness'!$B$11,AV$6&lt;'Launch Readiness'!$E$6),'Launch Readiness'!$E$9*'Launch Readiness'!$B$10/12,0)+IF(AV$6&gt;='Launch Readiness'!$E$14,'Launch Readiness'!$E$16/12,0)),0)</f>
        <v>-45366</v>
      </c>
      <c r="AW16" s="67">
        <f>ROUND(-((INDEX('P&amp;L 5yr'!$C$56:$G$56,1,AW$7)-'Launch Readiness'!$E$9*INDEX('Launch Readiness'!$B$34:$F$34,1,AW$7)-'Launch Readiness'!$E$9*'Launch Readiness'!$B$10*INDEX('Launch Readiness'!$B$30:$F$30,1,AW$7)-'Launch Readiness'!$E$16*INDEX('Launch Readiness'!$B$32:$F$32,1,AW$7))/12+IF(AND(AW$6&gt;='Launch Readiness'!$E$6,AW$6&lt;'Launch Readiness'!$E$14),'Launch Readiness'!$E$9/12,0)+IF(AND(AW$6&gt;='Launch Readiness'!$B$11,AW$6&lt;'Launch Readiness'!$E$6),'Launch Readiness'!$E$9*'Launch Readiness'!$B$10/12,0)+IF(AW$6&gt;='Launch Readiness'!$E$14,'Launch Readiness'!$E$16/12,0)),0)</f>
        <v>-45366</v>
      </c>
      <c r="AX16" s="67">
        <f>ROUND(-((INDEX('P&amp;L 5yr'!$C$56:$G$56,1,AX$7)-'Launch Readiness'!$E$9*INDEX('Launch Readiness'!$B$34:$F$34,1,AX$7)-'Launch Readiness'!$E$9*'Launch Readiness'!$B$10*INDEX('Launch Readiness'!$B$30:$F$30,1,AX$7)-'Launch Readiness'!$E$16*INDEX('Launch Readiness'!$B$32:$F$32,1,AX$7))/12+IF(AND(AX$6&gt;='Launch Readiness'!$E$6,AX$6&lt;'Launch Readiness'!$E$14),'Launch Readiness'!$E$9/12,0)+IF(AND(AX$6&gt;='Launch Readiness'!$B$11,AX$6&lt;'Launch Readiness'!$E$6),'Launch Readiness'!$E$9*'Launch Readiness'!$B$10/12,0)+IF(AX$6&gt;='Launch Readiness'!$E$14,'Launch Readiness'!$E$16/12,0)),0)</f>
        <v>-53003</v>
      </c>
      <c r="AY16" s="67">
        <f>ROUND(-((INDEX('P&amp;L 5yr'!$C$56:$G$56,1,AY$7)-'Launch Readiness'!$E$9*INDEX('Launch Readiness'!$B$34:$F$34,1,AY$7)-'Launch Readiness'!$E$9*'Launch Readiness'!$B$10*INDEX('Launch Readiness'!$B$30:$F$30,1,AY$7)-'Launch Readiness'!$E$16*INDEX('Launch Readiness'!$B$32:$F$32,1,AY$7))/12+IF(AND(AY$6&gt;='Launch Readiness'!$E$6,AY$6&lt;'Launch Readiness'!$E$14),'Launch Readiness'!$E$9/12,0)+IF(AND(AY$6&gt;='Launch Readiness'!$B$11,AY$6&lt;'Launch Readiness'!$E$6),'Launch Readiness'!$E$9*'Launch Readiness'!$B$10/12,0)+IF(AY$6&gt;='Launch Readiness'!$E$14,'Launch Readiness'!$E$16/12,0)),0)</f>
        <v>-53003</v>
      </c>
      <c r="AZ16" s="67">
        <f>ROUND(-((INDEX('P&amp;L 5yr'!$C$56:$G$56,1,AZ$7)-'Launch Readiness'!$E$9*INDEX('Launch Readiness'!$B$34:$F$34,1,AZ$7)-'Launch Readiness'!$E$9*'Launch Readiness'!$B$10*INDEX('Launch Readiness'!$B$30:$F$30,1,AZ$7)-'Launch Readiness'!$E$16*INDEX('Launch Readiness'!$B$32:$F$32,1,AZ$7))/12+IF(AND(AZ$6&gt;='Launch Readiness'!$E$6,AZ$6&lt;'Launch Readiness'!$E$14),'Launch Readiness'!$E$9/12,0)+IF(AND(AZ$6&gt;='Launch Readiness'!$B$11,AZ$6&lt;'Launch Readiness'!$E$6),'Launch Readiness'!$E$9*'Launch Readiness'!$B$10/12,0)+IF(AZ$6&gt;='Launch Readiness'!$E$14,'Launch Readiness'!$E$16/12,0)),0)</f>
        <v>-53003</v>
      </c>
      <c r="BA16" s="67">
        <f>ROUND(-((INDEX('P&amp;L 5yr'!$C$56:$G$56,1,BA$7)-'Launch Readiness'!$E$9*INDEX('Launch Readiness'!$B$34:$F$34,1,BA$7)-'Launch Readiness'!$E$9*'Launch Readiness'!$B$10*INDEX('Launch Readiness'!$B$30:$F$30,1,BA$7)-'Launch Readiness'!$E$16*INDEX('Launch Readiness'!$B$32:$F$32,1,BA$7))/12+IF(AND(BA$6&gt;='Launch Readiness'!$E$6,BA$6&lt;'Launch Readiness'!$E$14),'Launch Readiness'!$E$9/12,0)+IF(AND(BA$6&gt;='Launch Readiness'!$B$11,BA$6&lt;'Launch Readiness'!$E$6),'Launch Readiness'!$E$9*'Launch Readiness'!$B$10/12,0)+IF(BA$6&gt;='Launch Readiness'!$E$14,'Launch Readiness'!$E$16/12,0)),0)</f>
        <v>-53003</v>
      </c>
      <c r="BB16" s="67">
        <f>ROUND(-((INDEX('P&amp;L 5yr'!$C$56:$G$56,1,BB$7)-'Launch Readiness'!$E$9*INDEX('Launch Readiness'!$B$34:$F$34,1,BB$7)-'Launch Readiness'!$E$9*'Launch Readiness'!$B$10*INDEX('Launch Readiness'!$B$30:$F$30,1,BB$7)-'Launch Readiness'!$E$16*INDEX('Launch Readiness'!$B$32:$F$32,1,BB$7))/12+IF(AND(BB$6&gt;='Launch Readiness'!$E$6,BB$6&lt;'Launch Readiness'!$E$14),'Launch Readiness'!$E$9/12,0)+IF(AND(BB$6&gt;='Launch Readiness'!$B$11,BB$6&lt;'Launch Readiness'!$E$6),'Launch Readiness'!$E$9*'Launch Readiness'!$B$10/12,0)+IF(BB$6&gt;='Launch Readiness'!$E$14,'Launch Readiness'!$E$16/12,0)),0)</f>
        <v>-53003</v>
      </c>
      <c r="BC16" s="67">
        <f>ROUND(-((INDEX('P&amp;L 5yr'!$C$56:$G$56,1,BC$7)-'Launch Readiness'!$E$9*INDEX('Launch Readiness'!$B$34:$F$34,1,BC$7)-'Launch Readiness'!$E$9*'Launch Readiness'!$B$10*INDEX('Launch Readiness'!$B$30:$F$30,1,BC$7)-'Launch Readiness'!$E$16*INDEX('Launch Readiness'!$B$32:$F$32,1,BC$7))/12+IF(AND(BC$6&gt;='Launch Readiness'!$E$6,BC$6&lt;'Launch Readiness'!$E$14),'Launch Readiness'!$E$9/12,0)+IF(AND(BC$6&gt;='Launch Readiness'!$B$11,BC$6&lt;'Launch Readiness'!$E$6),'Launch Readiness'!$E$9*'Launch Readiness'!$B$10/12,0)+IF(BC$6&gt;='Launch Readiness'!$E$14,'Launch Readiness'!$E$16/12,0)),0)</f>
        <v>-53003</v>
      </c>
      <c r="BD16" s="67">
        <f>ROUND(-((INDEX('P&amp;L 5yr'!$C$56:$G$56,1,BD$7)-'Launch Readiness'!$E$9*INDEX('Launch Readiness'!$B$34:$F$34,1,BD$7)-'Launch Readiness'!$E$9*'Launch Readiness'!$B$10*INDEX('Launch Readiness'!$B$30:$F$30,1,BD$7)-'Launch Readiness'!$E$16*INDEX('Launch Readiness'!$B$32:$F$32,1,BD$7))/12+IF(AND(BD$6&gt;='Launch Readiness'!$E$6,BD$6&lt;'Launch Readiness'!$E$14),'Launch Readiness'!$E$9/12,0)+IF(AND(BD$6&gt;='Launch Readiness'!$B$11,BD$6&lt;'Launch Readiness'!$E$6),'Launch Readiness'!$E$9*'Launch Readiness'!$B$10/12,0)+IF(BD$6&gt;='Launch Readiness'!$E$14,'Launch Readiness'!$E$16/12,0)),0)</f>
        <v>-53003</v>
      </c>
      <c r="BE16" s="67">
        <f>ROUND(-((INDEX('P&amp;L 5yr'!$C$56:$G$56,1,BE$7)-'Launch Readiness'!$E$9*INDEX('Launch Readiness'!$B$34:$F$34,1,BE$7)-'Launch Readiness'!$E$9*'Launch Readiness'!$B$10*INDEX('Launch Readiness'!$B$30:$F$30,1,BE$7)-'Launch Readiness'!$E$16*INDEX('Launch Readiness'!$B$32:$F$32,1,BE$7))/12+IF(AND(BE$6&gt;='Launch Readiness'!$E$6,BE$6&lt;'Launch Readiness'!$E$14),'Launch Readiness'!$E$9/12,0)+IF(AND(BE$6&gt;='Launch Readiness'!$B$11,BE$6&lt;'Launch Readiness'!$E$6),'Launch Readiness'!$E$9*'Launch Readiness'!$B$10/12,0)+IF(BE$6&gt;='Launch Readiness'!$E$14,'Launch Readiness'!$E$16/12,0)),0)</f>
        <v>-53003</v>
      </c>
      <c r="BF16" s="67">
        <f>ROUND(-((INDEX('P&amp;L 5yr'!$C$56:$G$56,1,BF$7)-'Launch Readiness'!$E$9*INDEX('Launch Readiness'!$B$34:$F$34,1,BF$7)-'Launch Readiness'!$E$9*'Launch Readiness'!$B$10*INDEX('Launch Readiness'!$B$30:$F$30,1,BF$7)-'Launch Readiness'!$E$16*INDEX('Launch Readiness'!$B$32:$F$32,1,BF$7))/12+IF(AND(BF$6&gt;='Launch Readiness'!$E$6,BF$6&lt;'Launch Readiness'!$E$14),'Launch Readiness'!$E$9/12,0)+IF(AND(BF$6&gt;='Launch Readiness'!$B$11,BF$6&lt;'Launch Readiness'!$E$6),'Launch Readiness'!$E$9*'Launch Readiness'!$B$10/12,0)+IF(BF$6&gt;='Launch Readiness'!$E$14,'Launch Readiness'!$E$16/12,0)),0)</f>
        <v>-53003</v>
      </c>
      <c r="BG16" s="67">
        <f>ROUND(-((INDEX('P&amp;L 5yr'!$C$56:$G$56,1,BG$7)-'Launch Readiness'!$E$9*INDEX('Launch Readiness'!$B$34:$F$34,1,BG$7)-'Launch Readiness'!$E$9*'Launch Readiness'!$B$10*INDEX('Launch Readiness'!$B$30:$F$30,1,BG$7)-'Launch Readiness'!$E$16*INDEX('Launch Readiness'!$B$32:$F$32,1,BG$7))/12+IF(AND(BG$6&gt;='Launch Readiness'!$E$6,BG$6&lt;'Launch Readiness'!$E$14),'Launch Readiness'!$E$9/12,0)+IF(AND(BG$6&gt;='Launch Readiness'!$B$11,BG$6&lt;'Launch Readiness'!$E$6),'Launch Readiness'!$E$9*'Launch Readiness'!$B$10/12,0)+IF(BG$6&gt;='Launch Readiness'!$E$14,'Launch Readiness'!$E$16/12,0)),0)</f>
        <v>-53003</v>
      </c>
      <c r="BH16" s="67">
        <f>ROUND(-((INDEX('P&amp;L 5yr'!$C$56:$G$56,1,BH$7)-'Launch Readiness'!$E$9*INDEX('Launch Readiness'!$B$34:$F$34,1,BH$7)-'Launch Readiness'!$E$9*'Launch Readiness'!$B$10*INDEX('Launch Readiness'!$B$30:$F$30,1,BH$7)-'Launch Readiness'!$E$16*INDEX('Launch Readiness'!$B$32:$F$32,1,BH$7))/12+IF(AND(BH$6&gt;='Launch Readiness'!$E$6,BH$6&lt;'Launch Readiness'!$E$14),'Launch Readiness'!$E$9/12,0)+IF(AND(BH$6&gt;='Launch Readiness'!$B$11,BH$6&lt;'Launch Readiness'!$E$6),'Launch Readiness'!$E$9*'Launch Readiness'!$B$10/12,0)+IF(BH$6&gt;='Launch Readiness'!$E$14,'Launch Readiness'!$E$16/12,0)),0)</f>
        <v>-53003</v>
      </c>
      <c r="BI16" s="67">
        <f>ROUND(-((INDEX('P&amp;L 5yr'!$C$56:$G$56,1,BI$7)-'Launch Readiness'!$E$9*INDEX('Launch Readiness'!$B$34:$F$34,1,BI$7)-'Launch Readiness'!$E$9*'Launch Readiness'!$B$10*INDEX('Launch Readiness'!$B$30:$F$30,1,BI$7)-'Launch Readiness'!$E$16*INDEX('Launch Readiness'!$B$32:$F$32,1,BI$7))/12+IF(AND(BI$6&gt;='Launch Readiness'!$E$6,BI$6&lt;'Launch Readiness'!$E$14),'Launch Readiness'!$E$9/12,0)+IF(AND(BI$6&gt;='Launch Readiness'!$B$11,BI$6&lt;'Launch Readiness'!$E$6),'Launch Readiness'!$E$9*'Launch Readiness'!$B$10/12,0)+IF(BI$6&gt;='Launch Readiness'!$E$14,'Launch Readiness'!$E$16/12,0)),0)</f>
        <v>-53003</v>
      </c>
      <c r="BK16" s="33" t="s">
        <v>1548</v>
      </c>
    </row>
    <row r="17" spans="1:63" ht="15" customHeight="1" x14ac:dyDescent="0.2">
      <c r="A17" s="12" t="s">
        <v>527</v>
      </c>
      <c r="B17" s="67">
        <f>ROUND(-(IF(B$6&lt;=6,'Startup 6mo'!$F$44/6,0)+IF(B$6&lt;'Launch Readiness'!$E$6,'Launch Readiness'!$E$8/MAX(1,'Launch Readiness'!$E$7),0)+IF(B$6='Launch Readiness'!$G$14,'Launch Readiness'!$E$15,0)),0)</f>
        <v>-46023</v>
      </c>
      <c r="C17" s="67">
        <f>ROUND(-(IF(C$6&lt;=6,'Startup 6mo'!$F$44/6,0)+IF(C$6&lt;'Launch Readiness'!$E$6,'Launch Readiness'!$E$8/MAX(1,'Launch Readiness'!$E$7),0)+IF(C$6='Launch Readiness'!$G$14,'Launch Readiness'!$E$15,0)),0)</f>
        <v>-46023</v>
      </c>
      <c r="D17" s="67">
        <f>ROUND(-(IF(D$6&lt;=6,'Startup 6mo'!$F$44/6,0)+IF(D$6&lt;'Launch Readiness'!$E$6,'Launch Readiness'!$E$8/MAX(1,'Launch Readiness'!$E$7),0)+IF(D$6='Launch Readiness'!$G$14,'Launch Readiness'!$E$15,0)),0)</f>
        <v>-46023</v>
      </c>
      <c r="E17" s="67">
        <f>ROUND(-(IF(E$6&lt;=6,'Startup 6mo'!$F$44/6,0)+IF(E$6&lt;'Launch Readiness'!$E$6,'Launch Readiness'!$E$8/MAX(1,'Launch Readiness'!$E$7),0)+IF(E$6='Launch Readiness'!$G$14,'Launch Readiness'!$E$15,0)),0)</f>
        <v>-46023</v>
      </c>
      <c r="F17" s="67">
        <f>ROUND(-(IF(F$6&lt;=6,'Startup 6mo'!$F$44/6,0)+IF(F$6&lt;'Launch Readiness'!$E$6,'Launch Readiness'!$E$8/MAX(1,'Launch Readiness'!$E$7),0)+IF(F$6='Launch Readiness'!$G$14,'Launch Readiness'!$E$15,0)),0)</f>
        <v>-46023</v>
      </c>
      <c r="G17" s="67">
        <f>ROUND(-(IF(G$6&lt;=6,'Startup 6mo'!$F$44/6,0)+IF(G$6&lt;'Launch Readiness'!$E$6,'Launch Readiness'!$E$8/MAX(1,'Launch Readiness'!$E$7),0)+IF(G$6='Launch Readiness'!$G$14,'Launch Readiness'!$E$15,0)),0)</f>
        <v>-46023</v>
      </c>
      <c r="H17" s="67">
        <f>ROUND(-(IF(H$6&lt;=6,'Startup 6mo'!$F$44/6,0)+IF(H$6&lt;'Launch Readiness'!$E$6,'Launch Readiness'!$E$8/MAX(1,'Launch Readiness'!$E$7),0)+IF(H$6='Launch Readiness'!$G$14,'Launch Readiness'!$E$15,0)),0)</f>
        <v>-5455</v>
      </c>
      <c r="I17" s="67">
        <f>ROUND(-(IF(I$6&lt;=6,'Startup 6mo'!$F$44/6,0)+IF(I$6&lt;'Launch Readiness'!$E$6,'Launch Readiness'!$E$8/MAX(1,'Launch Readiness'!$E$7),0)+IF(I$6='Launch Readiness'!$G$14,'Launch Readiness'!$E$15,0)),0)</f>
        <v>-5455</v>
      </c>
      <c r="J17" s="67">
        <f>ROUND(-(IF(J$6&lt;=6,'Startup 6mo'!$F$44/6,0)+IF(J$6&lt;'Launch Readiness'!$E$6,'Launch Readiness'!$E$8/MAX(1,'Launch Readiness'!$E$7),0)+IF(J$6='Launch Readiness'!$G$14,'Launch Readiness'!$E$15,0)),0)</f>
        <v>-5455</v>
      </c>
      <c r="K17" s="67">
        <f>ROUND(-(IF(K$6&lt;=6,'Startup 6mo'!$F$44/6,0)+IF(K$6&lt;'Launch Readiness'!$E$6,'Launch Readiness'!$E$8/MAX(1,'Launch Readiness'!$E$7),0)+IF(K$6='Launch Readiness'!$G$14,'Launch Readiness'!$E$15,0)),0)</f>
        <v>-5455</v>
      </c>
      <c r="L17" s="67">
        <f>ROUND(-(IF(L$6&lt;=6,'Startup 6mo'!$F$44/6,0)+IF(L$6&lt;'Launch Readiness'!$E$6,'Launch Readiness'!$E$8/MAX(1,'Launch Readiness'!$E$7),0)+IF(L$6='Launch Readiness'!$G$14,'Launch Readiness'!$E$15,0)),0)</f>
        <v>-5455</v>
      </c>
      <c r="M17" s="67">
        <f>ROUND(-(IF(M$6&lt;=6,'Startup 6mo'!$F$44/6,0)+IF(M$6&lt;'Launch Readiness'!$E$6,'Launch Readiness'!$E$8/MAX(1,'Launch Readiness'!$E$7),0)+IF(M$6='Launch Readiness'!$G$14,'Launch Readiness'!$E$15,0)),0)</f>
        <v>0</v>
      </c>
      <c r="N17" s="67">
        <f>ROUND(-(IF(N$6&lt;=6,'Startup 6mo'!$F$44/6,0)+IF(N$6&lt;'Launch Readiness'!$E$6,'Launch Readiness'!$E$8/MAX(1,'Launch Readiness'!$E$7),0)+IF(N$6='Launch Readiness'!$G$14,'Launch Readiness'!$E$15,0)),0)</f>
        <v>0</v>
      </c>
      <c r="O17" s="67">
        <f>ROUND(-(IF(O$6&lt;=6,'Startup 6mo'!$F$44/6,0)+IF(O$6&lt;'Launch Readiness'!$E$6,'Launch Readiness'!$E$8/MAX(1,'Launch Readiness'!$E$7),0)+IF(O$6='Launch Readiness'!$G$14,'Launch Readiness'!$E$15,0)),0)</f>
        <v>0</v>
      </c>
      <c r="P17" s="67">
        <f>ROUND(-(IF(P$6&lt;=6,'Startup 6mo'!$F$44/6,0)+IF(P$6&lt;'Launch Readiness'!$E$6,'Launch Readiness'!$E$8/MAX(1,'Launch Readiness'!$E$7),0)+IF(P$6='Launch Readiness'!$G$14,'Launch Readiness'!$E$15,0)),0)</f>
        <v>0</v>
      </c>
      <c r="Q17" s="67">
        <f>ROUND(-(IF(Q$6&lt;=6,'Startup 6mo'!$F$44/6,0)+IF(Q$6&lt;'Launch Readiness'!$E$6,'Launch Readiness'!$E$8/MAX(1,'Launch Readiness'!$E$7),0)+IF(Q$6='Launch Readiness'!$G$14,'Launch Readiness'!$E$15,0)),0)</f>
        <v>0</v>
      </c>
      <c r="R17" s="67">
        <f>ROUND(-(IF(R$6&lt;=6,'Startup 6mo'!$F$44/6,0)+IF(R$6&lt;'Launch Readiness'!$E$6,'Launch Readiness'!$E$8/MAX(1,'Launch Readiness'!$E$7),0)+IF(R$6='Launch Readiness'!$G$14,'Launch Readiness'!$E$15,0)),0)</f>
        <v>0</v>
      </c>
      <c r="S17" s="67">
        <f>ROUND(-(IF(S$6&lt;=6,'Startup 6mo'!$F$44/6,0)+IF(S$6&lt;'Launch Readiness'!$E$6,'Launch Readiness'!$E$8/MAX(1,'Launch Readiness'!$E$7),0)+IF(S$6='Launch Readiness'!$G$14,'Launch Readiness'!$E$15,0)),0)</f>
        <v>-42546</v>
      </c>
      <c r="T17" s="67">
        <f>ROUND(-(IF(T$6&lt;=6,'Startup 6mo'!$F$44/6,0)+IF(T$6&lt;'Launch Readiness'!$E$6,'Launch Readiness'!$E$8/MAX(1,'Launch Readiness'!$E$7),0)+IF(T$6='Launch Readiness'!$G$14,'Launch Readiness'!$E$15,0)),0)</f>
        <v>0</v>
      </c>
      <c r="U17" s="67">
        <f>ROUND(-(IF(U$6&lt;=6,'Startup 6mo'!$F$44/6,0)+IF(U$6&lt;'Launch Readiness'!$E$6,'Launch Readiness'!$E$8/MAX(1,'Launch Readiness'!$E$7),0)+IF(U$6='Launch Readiness'!$G$14,'Launch Readiness'!$E$15,0)),0)</f>
        <v>0</v>
      </c>
      <c r="V17" s="67">
        <f>ROUND(-(IF(V$6&lt;=6,'Startup 6mo'!$F$44/6,0)+IF(V$6&lt;'Launch Readiness'!$E$6,'Launch Readiness'!$E$8/MAX(1,'Launch Readiness'!$E$7),0)+IF(V$6='Launch Readiness'!$G$14,'Launch Readiness'!$E$15,0)),0)</f>
        <v>0</v>
      </c>
      <c r="W17" s="67">
        <f>ROUND(-(IF(W$6&lt;=6,'Startup 6mo'!$F$44/6,0)+IF(W$6&lt;'Launch Readiness'!$E$6,'Launch Readiness'!$E$8/MAX(1,'Launch Readiness'!$E$7),0)+IF(W$6='Launch Readiness'!$G$14,'Launch Readiness'!$E$15,0)),0)</f>
        <v>0</v>
      </c>
      <c r="X17" s="67">
        <f>ROUND(-(IF(X$6&lt;=6,'Startup 6mo'!$F$44/6,0)+IF(X$6&lt;'Launch Readiness'!$E$6,'Launch Readiness'!$E$8/MAX(1,'Launch Readiness'!$E$7),0)+IF(X$6='Launch Readiness'!$G$14,'Launch Readiness'!$E$15,0)),0)</f>
        <v>0</v>
      </c>
      <c r="Y17" s="67">
        <f>ROUND(-(IF(Y$6&lt;=6,'Startup 6mo'!$F$44/6,0)+IF(Y$6&lt;'Launch Readiness'!$E$6,'Launch Readiness'!$E$8/MAX(1,'Launch Readiness'!$E$7),0)+IF(Y$6='Launch Readiness'!$G$14,'Launch Readiness'!$E$15,0)),0)</f>
        <v>0</v>
      </c>
      <c r="Z17" s="67">
        <f>ROUND(-(IF(Z$6&lt;=6,'Startup 6mo'!$F$44/6,0)+IF(Z$6&lt;'Launch Readiness'!$E$6,'Launch Readiness'!$E$8/MAX(1,'Launch Readiness'!$E$7),0)+IF(Z$6='Launch Readiness'!$G$14,'Launch Readiness'!$E$15,0)),0)</f>
        <v>0</v>
      </c>
      <c r="AA17" s="67">
        <f>ROUND(-(IF(AA$6&lt;=6,'Startup 6mo'!$F$44/6,0)+IF(AA$6&lt;'Launch Readiness'!$E$6,'Launch Readiness'!$E$8/MAX(1,'Launch Readiness'!$E$7),0)+IF(AA$6='Launch Readiness'!$G$14,'Launch Readiness'!$E$15,0)),0)</f>
        <v>0</v>
      </c>
      <c r="AB17" s="67">
        <f>ROUND(-(IF(AB$6&lt;=6,'Startup 6mo'!$F$44/6,0)+IF(AB$6&lt;'Launch Readiness'!$E$6,'Launch Readiness'!$E$8/MAX(1,'Launch Readiness'!$E$7),0)+IF(AB$6='Launch Readiness'!$G$14,'Launch Readiness'!$E$15,0)),0)</f>
        <v>0</v>
      </c>
      <c r="AC17" s="67">
        <f>ROUND(-(IF(AC$6&lt;=6,'Startup 6mo'!$F$44/6,0)+IF(AC$6&lt;'Launch Readiness'!$E$6,'Launch Readiness'!$E$8/MAX(1,'Launch Readiness'!$E$7),0)+IF(AC$6='Launch Readiness'!$G$14,'Launch Readiness'!$E$15,0)),0)</f>
        <v>0</v>
      </c>
      <c r="AD17" s="67">
        <f>ROUND(-(IF(AD$6&lt;=6,'Startup 6mo'!$F$44/6,0)+IF(AD$6&lt;'Launch Readiness'!$E$6,'Launch Readiness'!$E$8/MAX(1,'Launch Readiness'!$E$7),0)+IF(AD$6='Launch Readiness'!$G$14,'Launch Readiness'!$E$15,0)),0)</f>
        <v>0</v>
      </c>
      <c r="AE17" s="67">
        <f>ROUND(-(IF(AE$6&lt;=6,'Startup 6mo'!$F$44/6,0)+IF(AE$6&lt;'Launch Readiness'!$E$6,'Launch Readiness'!$E$8/MAX(1,'Launch Readiness'!$E$7),0)+IF(AE$6='Launch Readiness'!$G$14,'Launch Readiness'!$E$15,0)),0)</f>
        <v>0</v>
      </c>
      <c r="AF17" s="67">
        <f>ROUND(-(IF(AF$6&lt;=6,'Startup 6mo'!$F$44/6,0)+IF(AF$6&lt;'Launch Readiness'!$E$6,'Launch Readiness'!$E$8/MAX(1,'Launch Readiness'!$E$7),0)+IF(AF$6='Launch Readiness'!$G$14,'Launch Readiness'!$E$15,0)),0)</f>
        <v>0</v>
      </c>
      <c r="AG17" s="67">
        <f>ROUND(-(IF(AG$6&lt;=6,'Startup 6mo'!$F$44/6,0)+IF(AG$6&lt;'Launch Readiness'!$E$6,'Launch Readiness'!$E$8/MAX(1,'Launch Readiness'!$E$7),0)+IF(AG$6='Launch Readiness'!$G$14,'Launch Readiness'!$E$15,0)),0)</f>
        <v>0</v>
      </c>
      <c r="AH17" s="67">
        <f>ROUND(-(IF(AH$6&lt;=6,'Startup 6mo'!$F$44/6,0)+IF(AH$6&lt;'Launch Readiness'!$E$6,'Launch Readiness'!$E$8/MAX(1,'Launch Readiness'!$E$7),0)+IF(AH$6='Launch Readiness'!$G$14,'Launch Readiness'!$E$15,0)),0)</f>
        <v>0</v>
      </c>
      <c r="AI17" s="67">
        <f>ROUND(-(IF(AI$6&lt;=6,'Startup 6mo'!$F$44/6,0)+IF(AI$6&lt;'Launch Readiness'!$E$6,'Launch Readiness'!$E$8/MAX(1,'Launch Readiness'!$E$7),0)+IF(AI$6='Launch Readiness'!$G$14,'Launch Readiness'!$E$15,0)),0)</f>
        <v>0</v>
      </c>
      <c r="AJ17" s="67">
        <f>ROUND(-(IF(AJ$6&lt;=6,'Startup 6mo'!$F$44/6,0)+IF(AJ$6&lt;'Launch Readiness'!$E$6,'Launch Readiness'!$E$8/MAX(1,'Launch Readiness'!$E$7),0)+IF(AJ$6='Launch Readiness'!$G$14,'Launch Readiness'!$E$15,0)),0)</f>
        <v>0</v>
      </c>
      <c r="AK17" s="67">
        <f>ROUND(-(IF(AK$6&lt;=6,'Startup 6mo'!$F$44/6,0)+IF(AK$6&lt;'Launch Readiness'!$E$6,'Launch Readiness'!$E$8/MAX(1,'Launch Readiness'!$E$7),0)+IF(AK$6='Launch Readiness'!$G$14,'Launch Readiness'!$E$15,0)),0)</f>
        <v>0</v>
      </c>
      <c r="AL17" s="67">
        <f>ROUND(-(IF(AL$6&lt;=6,'Startup 6mo'!$F$44/6,0)+IF(AL$6&lt;'Launch Readiness'!$E$6,'Launch Readiness'!$E$8/MAX(1,'Launch Readiness'!$E$7),0)+IF(AL$6='Launch Readiness'!$G$14,'Launch Readiness'!$E$15,0)),0)</f>
        <v>0</v>
      </c>
      <c r="AM17" s="67">
        <f>ROUND(-(IF(AM$6&lt;=6,'Startup 6mo'!$F$44/6,0)+IF(AM$6&lt;'Launch Readiness'!$E$6,'Launch Readiness'!$E$8/MAX(1,'Launch Readiness'!$E$7),0)+IF(AM$6='Launch Readiness'!$G$14,'Launch Readiness'!$E$15,0)),0)</f>
        <v>0</v>
      </c>
      <c r="AN17" s="67">
        <f>ROUND(-(IF(AN$6&lt;=6,'Startup 6mo'!$F$44/6,0)+IF(AN$6&lt;'Launch Readiness'!$E$6,'Launch Readiness'!$E$8/MAX(1,'Launch Readiness'!$E$7),0)+IF(AN$6='Launch Readiness'!$G$14,'Launch Readiness'!$E$15,0)),0)</f>
        <v>0</v>
      </c>
      <c r="AO17" s="67">
        <f>ROUND(-(IF(AO$6&lt;=6,'Startup 6mo'!$F$44/6,0)+IF(AO$6&lt;'Launch Readiness'!$E$6,'Launch Readiness'!$E$8/MAX(1,'Launch Readiness'!$E$7),0)+IF(AO$6='Launch Readiness'!$G$14,'Launch Readiness'!$E$15,0)),0)</f>
        <v>0</v>
      </c>
      <c r="AP17" s="67">
        <f>ROUND(-(IF(AP$6&lt;=6,'Startup 6mo'!$F$44/6,0)+IF(AP$6&lt;'Launch Readiness'!$E$6,'Launch Readiness'!$E$8/MAX(1,'Launch Readiness'!$E$7),0)+IF(AP$6='Launch Readiness'!$G$14,'Launch Readiness'!$E$15,0)),0)</f>
        <v>0</v>
      </c>
      <c r="AQ17" s="67">
        <f>ROUND(-(IF(AQ$6&lt;=6,'Startup 6mo'!$F$44/6,0)+IF(AQ$6&lt;'Launch Readiness'!$E$6,'Launch Readiness'!$E$8/MAX(1,'Launch Readiness'!$E$7),0)+IF(AQ$6='Launch Readiness'!$G$14,'Launch Readiness'!$E$15,0)),0)</f>
        <v>0</v>
      </c>
      <c r="AR17" s="67">
        <f>ROUND(-(IF(AR$6&lt;=6,'Startup 6mo'!$F$44/6,0)+IF(AR$6&lt;'Launch Readiness'!$E$6,'Launch Readiness'!$E$8/MAX(1,'Launch Readiness'!$E$7),0)+IF(AR$6='Launch Readiness'!$G$14,'Launch Readiness'!$E$15,0)),0)</f>
        <v>0</v>
      </c>
      <c r="AS17" s="67">
        <f>ROUND(-(IF(AS$6&lt;=6,'Startup 6mo'!$F$44/6,0)+IF(AS$6&lt;'Launch Readiness'!$E$6,'Launch Readiness'!$E$8/MAX(1,'Launch Readiness'!$E$7),0)+IF(AS$6='Launch Readiness'!$G$14,'Launch Readiness'!$E$15,0)),0)</f>
        <v>0</v>
      </c>
      <c r="AT17" s="67">
        <f>ROUND(-(IF(AT$6&lt;=6,'Startup 6mo'!$F$44/6,0)+IF(AT$6&lt;'Launch Readiness'!$E$6,'Launch Readiness'!$E$8/MAX(1,'Launch Readiness'!$E$7),0)+IF(AT$6='Launch Readiness'!$G$14,'Launch Readiness'!$E$15,0)),0)</f>
        <v>0</v>
      </c>
      <c r="AU17" s="67">
        <f>ROUND(-(IF(AU$6&lt;=6,'Startup 6mo'!$F$44/6,0)+IF(AU$6&lt;'Launch Readiness'!$E$6,'Launch Readiness'!$E$8/MAX(1,'Launch Readiness'!$E$7),0)+IF(AU$6='Launch Readiness'!$G$14,'Launch Readiness'!$E$15,0)),0)</f>
        <v>0</v>
      </c>
      <c r="AV17" s="67">
        <f>ROUND(-(IF(AV$6&lt;=6,'Startup 6mo'!$F$44/6,0)+IF(AV$6&lt;'Launch Readiness'!$E$6,'Launch Readiness'!$E$8/MAX(1,'Launch Readiness'!$E$7),0)+IF(AV$6='Launch Readiness'!$G$14,'Launch Readiness'!$E$15,0)),0)</f>
        <v>0</v>
      </c>
      <c r="AW17" s="67">
        <f>ROUND(-(IF(AW$6&lt;=6,'Startup 6mo'!$F$44/6,0)+IF(AW$6&lt;'Launch Readiness'!$E$6,'Launch Readiness'!$E$8/MAX(1,'Launch Readiness'!$E$7),0)+IF(AW$6='Launch Readiness'!$G$14,'Launch Readiness'!$E$15,0)),0)</f>
        <v>0</v>
      </c>
      <c r="AX17" s="67">
        <f>ROUND(-(IF(AX$6&lt;=6,'Startup 6mo'!$F$44/6,0)+IF(AX$6&lt;'Launch Readiness'!$E$6,'Launch Readiness'!$E$8/MAX(1,'Launch Readiness'!$E$7),0)+IF(AX$6='Launch Readiness'!$G$14,'Launch Readiness'!$E$15,0)),0)</f>
        <v>0</v>
      </c>
      <c r="AY17" s="67">
        <f>ROUND(-(IF(AY$6&lt;=6,'Startup 6mo'!$F$44/6,0)+IF(AY$6&lt;'Launch Readiness'!$E$6,'Launch Readiness'!$E$8/MAX(1,'Launch Readiness'!$E$7),0)+IF(AY$6='Launch Readiness'!$G$14,'Launch Readiness'!$E$15,0)),0)</f>
        <v>0</v>
      </c>
      <c r="AZ17" s="67">
        <f>ROUND(-(IF(AZ$6&lt;=6,'Startup 6mo'!$F$44/6,0)+IF(AZ$6&lt;'Launch Readiness'!$E$6,'Launch Readiness'!$E$8/MAX(1,'Launch Readiness'!$E$7),0)+IF(AZ$6='Launch Readiness'!$G$14,'Launch Readiness'!$E$15,0)),0)</f>
        <v>0</v>
      </c>
      <c r="BA17" s="67">
        <f>ROUND(-(IF(BA$6&lt;=6,'Startup 6mo'!$F$44/6,0)+IF(BA$6&lt;'Launch Readiness'!$E$6,'Launch Readiness'!$E$8/MAX(1,'Launch Readiness'!$E$7),0)+IF(BA$6='Launch Readiness'!$G$14,'Launch Readiness'!$E$15,0)),0)</f>
        <v>0</v>
      </c>
      <c r="BB17" s="67">
        <f>ROUND(-(IF(BB$6&lt;=6,'Startup 6mo'!$F$44/6,0)+IF(BB$6&lt;'Launch Readiness'!$E$6,'Launch Readiness'!$E$8/MAX(1,'Launch Readiness'!$E$7),0)+IF(BB$6='Launch Readiness'!$G$14,'Launch Readiness'!$E$15,0)),0)</f>
        <v>0</v>
      </c>
      <c r="BC17" s="67">
        <f>ROUND(-(IF(BC$6&lt;=6,'Startup 6mo'!$F$44/6,0)+IF(BC$6&lt;'Launch Readiness'!$E$6,'Launch Readiness'!$E$8/MAX(1,'Launch Readiness'!$E$7),0)+IF(BC$6='Launch Readiness'!$G$14,'Launch Readiness'!$E$15,0)),0)</f>
        <v>0</v>
      </c>
      <c r="BD17" s="67">
        <f>ROUND(-(IF(BD$6&lt;=6,'Startup 6mo'!$F$44/6,0)+IF(BD$6&lt;'Launch Readiness'!$E$6,'Launch Readiness'!$E$8/MAX(1,'Launch Readiness'!$E$7),0)+IF(BD$6='Launch Readiness'!$G$14,'Launch Readiness'!$E$15,0)),0)</f>
        <v>0</v>
      </c>
      <c r="BE17" s="67">
        <f>ROUND(-(IF(BE$6&lt;=6,'Startup 6mo'!$F$44/6,0)+IF(BE$6&lt;'Launch Readiness'!$E$6,'Launch Readiness'!$E$8/MAX(1,'Launch Readiness'!$E$7),0)+IF(BE$6='Launch Readiness'!$G$14,'Launch Readiness'!$E$15,0)),0)</f>
        <v>0</v>
      </c>
      <c r="BF17" s="67">
        <f>ROUND(-(IF(BF$6&lt;=6,'Startup 6mo'!$F$44/6,0)+IF(BF$6&lt;'Launch Readiness'!$E$6,'Launch Readiness'!$E$8/MAX(1,'Launch Readiness'!$E$7),0)+IF(BF$6='Launch Readiness'!$G$14,'Launch Readiness'!$E$15,0)),0)</f>
        <v>0</v>
      </c>
      <c r="BG17" s="67">
        <f>ROUND(-(IF(BG$6&lt;=6,'Startup 6mo'!$F$44/6,0)+IF(BG$6&lt;'Launch Readiness'!$E$6,'Launch Readiness'!$E$8/MAX(1,'Launch Readiness'!$E$7),0)+IF(BG$6='Launch Readiness'!$G$14,'Launch Readiness'!$E$15,0)),0)</f>
        <v>0</v>
      </c>
      <c r="BH17" s="67">
        <f>ROUND(-(IF(BH$6&lt;=6,'Startup 6mo'!$F$44/6,0)+IF(BH$6&lt;'Launch Readiness'!$E$6,'Launch Readiness'!$E$8/MAX(1,'Launch Readiness'!$E$7),0)+IF(BH$6='Launch Readiness'!$G$14,'Launch Readiness'!$E$15,0)),0)</f>
        <v>0</v>
      </c>
      <c r="BI17" s="67">
        <f>ROUND(-(IF(BI$6&lt;=6,'Startup 6mo'!$F$44/6,0)+IF(BI$6&lt;'Launch Readiness'!$E$6,'Launch Readiness'!$E$8/MAX(1,'Launch Readiness'!$E$7),0)+IF(BI$6='Launch Readiness'!$G$14,'Launch Readiness'!$E$15,0)),0)</f>
        <v>0</v>
      </c>
      <c r="BK17" s="33" t="s">
        <v>1549</v>
      </c>
    </row>
    <row r="18" spans="1:63" ht="15" customHeight="1" x14ac:dyDescent="0.2">
      <c r="A18" s="12" t="s">
        <v>528</v>
      </c>
      <c r="B18" s="56">
        <f t="shared" ref="B18:AG18" si="8">ROUND(0,0)</f>
        <v>0</v>
      </c>
      <c r="C18" s="56">
        <f t="shared" si="8"/>
        <v>0</v>
      </c>
      <c r="D18" s="56">
        <f t="shared" si="8"/>
        <v>0</v>
      </c>
      <c r="E18" s="56">
        <f t="shared" si="8"/>
        <v>0</v>
      </c>
      <c r="F18" s="56">
        <f t="shared" si="8"/>
        <v>0</v>
      </c>
      <c r="G18" s="56">
        <f t="shared" si="8"/>
        <v>0</v>
      </c>
      <c r="H18" s="56">
        <f t="shared" si="8"/>
        <v>0</v>
      </c>
      <c r="I18" s="56">
        <f t="shared" si="8"/>
        <v>0</v>
      </c>
      <c r="J18" s="56">
        <f t="shared" si="8"/>
        <v>0</v>
      </c>
      <c r="K18" s="56">
        <f t="shared" si="8"/>
        <v>0</v>
      </c>
      <c r="L18" s="56">
        <f t="shared" si="8"/>
        <v>0</v>
      </c>
      <c r="M18" s="56">
        <f t="shared" si="8"/>
        <v>0</v>
      </c>
      <c r="N18" s="56">
        <f t="shared" si="8"/>
        <v>0</v>
      </c>
      <c r="O18" s="56">
        <f t="shared" si="8"/>
        <v>0</v>
      </c>
      <c r="P18" s="56">
        <f t="shared" si="8"/>
        <v>0</v>
      </c>
      <c r="Q18" s="56">
        <f t="shared" si="8"/>
        <v>0</v>
      </c>
      <c r="R18" s="56">
        <f t="shared" si="8"/>
        <v>0</v>
      </c>
      <c r="S18" s="56">
        <f t="shared" si="8"/>
        <v>0</v>
      </c>
      <c r="T18" s="56">
        <f t="shared" si="8"/>
        <v>0</v>
      </c>
      <c r="U18" s="56">
        <f t="shared" si="8"/>
        <v>0</v>
      </c>
      <c r="V18" s="56">
        <f t="shared" si="8"/>
        <v>0</v>
      </c>
      <c r="W18" s="56">
        <f t="shared" si="8"/>
        <v>0</v>
      </c>
      <c r="X18" s="56">
        <f t="shared" si="8"/>
        <v>0</v>
      </c>
      <c r="Y18" s="56">
        <f t="shared" si="8"/>
        <v>0</v>
      </c>
      <c r="Z18" s="56">
        <f t="shared" si="8"/>
        <v>0</v>
      </c>
      <c r="AA18" s="56">
        <f t="shared" si="8"/>
        <v>0</v>
      </c>
      <c r="AB18" s="56">
        <f t="shared" si="8"/>
        <v>0</v>
      </c>
      <c r="AC18" s="56">
        <f t="shared" si="8"/>
        <v>0</v>
      </c>
      <c r="AD18" s="56">
        <f t="shared" si="8"/>
        <v>0</v>
      </c>
      <c r="AE18" s="56">
        <f t="shared" si="8"/>
        <v>0</v>
      </c>
      <c r="AF18" s="56">
        <f t="shared" si="8"/>
        <v>0</v>
      </c>
      <c r="AG18" s="56">
        <f t="shared" si="8"/>
        <v>0</v>
      </c>
      <c r="AH18" s="56">
        <f t="shared" ref="AH18:BI18" si="9">ROUND(0,0)</f>
        <v>0</v>
      </c>
      <c r="AI18" s="56">
        <f t="shared" si="9"/>
        <v>0</v>
      </c>
      <c r="AJ18" s="56">
        <f t="shared" si="9"/>
        <v>0</v>
      </c>
      <c r="AK18" s="56">
        <f t="shared" si="9"/>
        <v>0</v>
      </c>
      <c r="AL18" s="56">
        <f t="shared" si="9"/>
        <v>0</v>
      </c>
      <c r="AM18" s="56">
        <f t="shared" si="9"/>
        <v>0</v>
      </c>
      <c r="AN18" s="56">
        <f t="shared" si="9"/>
        <v>0</v>
      </c>
      <c r="AO18" s="56">
        <f t="shared" si="9"/>
        <v>0</v>
      </c>
      <c r="AP18" s="56">
        <f t="shared" si="9"/>
        <v>0</v>
      </c>
      <c r="AQ18" s="56">
        <f t="shared" si="9"/>
        <v>0</v>
      </c>
      <c r="AR18" s="56">
        <f t="shared" si="9"/>
        <v>0</v>
      </c>
      <c r="AS18" s="56">
        <f t="shared" si="9"/>
        <v>0</v>
      </c>
      <c r="AT18" s="56">
        <f t="shared" si="9"/>
        <v>0</v>
      </c>
      <c r="AU18" s="56">
        <f t="shared" si="9"/>
        <v>0</v>
      </c>
      <c r="AV18" s="56">
        <f t="shared" si="9"/>
        <v>0</v>
      </c>
      <c r="AW18" s="56">
        <f t="shared" si="9"/>
        <v>0</v>
      </c>
      <c r="AX18" s="56">
        <f t="shared" si="9"/>
        <v>0</v>
      </c>
      <c r="AY18" s="56">
        <f t="shared" si="9"/>
        <v>0</v>
      </c>
      <c r="AZ18" s="56">
        <f t="shared" si="9"/>
        <v>0</v>
      </c>
      <c r="BA18" s="56">
        <f t="shared" si="9"/>
        <v>0</v>
      </c>
      <c r="BB18" s="56">
        <f t="shared" si="9"/>
        <v>0</v>
      </c>
      <c r="BC18" s="56">
        <f t="shared" si="9"/>
        <v>0</v>
      </c>
      <c r="BD18" s="56">
        <f t="shared" si="9"/>
        <v>0</v>
      </c>
      <c r="BE18" s="56">
        <f t="shared" si="9"/>
        <v>0</v>
      </c>
      <c r="BF18" s="56">
        <f t="shared" si="9"/>
        <v>0</v>
      </c>
      <c r="BG18" s="56">
        <f t="shared" si="9"/>
        <v>0</v>
      </c>
      <c r="BH18" s="56">
        <f t="shared" si="9"/>
        <v>0</v>
      </c>
      <c r="BI18" s="56">
        <f t="shared" si="9"/>
        <v>0</v>
      </c>
      <c r="BK18" s="33" t="s">
        <v>529</v>
      </c>
    </row>
    <row r="19" spans="1:63" ht="15" customHeight="1" x14ac:dyDescent="0.2">
      <c r="A19" s="24" t="s">
        <v>530</v>
      </c>
      <c r="B19" s="92">
        <f t="shared" ref="B19:AG19" si="10">ROUND(B14+SUM(B15:B18),0)</f>
        <v>-107605</v>
      </c>
      <c r="C19" s="92">
        <f t="shared" si="10"/>
        <v>-109559</v>
      </c>
      <c r="D19" s="92">
        <f t="shared" si="10"/>
        <v>-109559</v>
      </c>
      <c r="E19" s="92">
        <f t="shared" si="10"/>
        <v>-109559</v>
      </c>
      <c r="F19" s="92">
        <f t="shared" si="10"/>
        <v>-109559</v>
      </c>
      <c r="G19" s="92">
        <f t="shared" si="10"/>
        <v>-109559</v>
      </c>
      <c r="H19" s="92">
        <f t="shared" si="10"/>
        <v>-68991</v>
      </c>
      <c r="I19" s="92">
        <f t="shared" si="10"/>
        <v>-68991</v>
      </c>
      <c r="J19" s="92">
        <f t="shared" si="10"/>
        <v>-68991</v>
      </c>
      <c r="K19" s="92">
        <f t="shared" si="10"/>
        <v>-68991</v>
      </c>
      <c r="L19" s="92">
        <f t="shared" si="10"/>
        <v>-68991</v>
      </c>
      <c r="M19" s="92">
        <f t="shared" si="10"/>
        <v>-67872</v>
      </c>
      <c r="N19" s="92">
        <f t="shared" si="10"/>
        <v>-100785</v>
      </c>
      <c r="O19" s="92">
        <f t="shared" si="10"/>
        <v>-69522</v>
      </c>
      <c r="P19" s="92">
        <f t="shared" si="10"/>
        <v>-69522</v>
      </c>
      <c r="Q19" s="92">
        <f t="shared" si="10"/>
        <v>-69522</v>
      </c>
      <c r="R19" s="92">
        <f t="shared" si="10"/>
        <v>-69522</v>
      </c>
      <c r="S19" s="92">
        <f t="shared" si="10"/>
        <v>-112068</v>
      </c>
      <c r="T19" s="92">
        <f t="shared" si="10"/>
        <v>-69522</v>
      </c>
      <c r="U19" s="92">
        <f t="shared" si="10"/>
        <v>-69522</v>
      </c>
      <c r="V19" s="92">
        <f t="shared" si="10"/>
        <v>-69522</v>
      </c>
      <c r="W19" s="92">
        <f t="shared" si="10"/>
        <v>-69522</v>
      </c>
      <c r="X19" s="92">
        <f t="shared" si="10"/>
        <v>-69522</v>
      </c>
      <c r="Y19" s="92">
        <f t="shared" si="10"/>
        <v>-69522</v>
      </c>
      <c r="Z19" s="92">
        <f t="shared" si="10"/>
        <v>-111777</v>
      </c>
      <c r="AA19" s="92">
        <f t="shared" si="10"/>
        <v>-29830</v>
      </c>
      <c r="AB19" s="92">
        <f t="shared" si="10"/>
        <v>-29830</v>
      </c>
      <c r="AC19" s="92">
        <f t="shared" si="10"/>
        <v>-29830</v>
      </c>
      <c r="AD19" s="92">
        <f t="shared" si="10"/>
        <v>-29830</v>
      </c>
      <c r="AE19" s="92">
        <f t="shared" si="10"/>
        <v>-32756</v>
      </c>
      <c r="AF19" s="92">
        <f t="shared" si="10"/>
        <v>-32756</v>
      </c>
      <c r="AG19" s="92">
        <f t="shared" si="10"/>
        <v>-32756</v>
      </c>
      <c r="AH19" s="92">
        <f t="shared" ref="AH19:BI19" si="11">ROUND(AH14+SUM(AH15:AH18),0)</f>
        <v>-32756</v>
      </c>
      <c r="AI19" s="92">
        <f t="shared" si="11"/>
        <v>-32756</v>
      </c>
      <c r="AJ19" s="92">
        <f t="shared" si="11"/>
        <v>-32756</v>
      </c>
      <c r="AK19" s="92">
        <f t="shared" si="11"/>
        <v>-32756</v>
      </c>
      <c r="AL19" s="92">
        <f t="shared" si="11"/>
        <v>-212730</v>
      </c>
      <c r="AM19" s="92">
        <f t="shared" si="11"/>
        <v>416835</v>
      </c>
      <c r="AN19" s="92">
        <f t="shared" si="11"/>
        <v>416835</v>
      </c>
      <c r="AO19" s="92">
        <f t="shared" si="11"/>
        <v>416835</v>
      </c>
      <c r="AP19" s="92">
        <f t="shared" si="11"/>
        <v>416835</v>
      </c>
      <c r="AQ19" s="92">
        <f t="shared" si="11"/>
        <v>416835</v>
      </c>
      <c r="AR19" s="92">
        <f t="shared" si="11"/>
        <v>416835</v>
      </c>
      <c r="AS19" s="92">
        <f t="shared" si="11"/>
        <v>416835</v>
      </c>
      <c r="AT19" s="92">
        <f t="shared" si="11"/>
        <v>416835</v>
      </c>
      <c r="AU19" s="92">
        <f t="shared" si="11"/>
        <v>416835</v>
      </c>
      <c r="AV19" s="92">
        <f t="shared" si="11"/>
        <v>416835</v>
      </c>
      <c r="AW19" s="92">
        <f t="shared" si="11"/>
        <v>416835</v>
      </c>
      <c r="AX19" s="92">
        <f t="shared" si="11"/>
        <v>238590</v>
      </c>
      <c r="AY19" s="92">
        <f t="shared" si="11"/>
        <v>979417</v>
      </c>
      <c r="AZ19" s="92">
        <f t="shared" si="11"/>
        <v>979417</v>
      </c>
      <c r="BA19" s="92">
        <f t="shared" si="11"/>
        <v>979417</v>
      </c>
      <c r="BB19" s="92">
        <f t="shared" si="11"/>
        <v>979417</v>
      </c>
      <c r="BC19" s="92">
        <f t="shared" si="11"/>
        <v>979417</v>
      </c>
      <c r="BD19" s="92">
        <f t="shared" si="11"/>
        <v>979417</v>
      </c>
      <c r="BE19" s="92">
        <f t="shared" si="11"/>
        <v>979417</v>
      </c>
      <c r="BF19" s="92">
        <f t="shared" si="11"/>
        <v>979417</v>
      </c>
      <c r="BG19" s="92">
        <f t="shared" si="11"/>
        <v>979417</v>
      </c>
      <c r="BH19" s="92">
        <f t="shared" si="11"/>
        <v>979417</v>
      </c>
      <c r="BI19" s="92">
        <f t="shared" si="11"/>
        <v>979417</v>
      </c>
    </row>
    <row r="20" spans="1:63" ht="8.1" customHeight="1" x14ac:dyDescent="0.2">
      <c r="A20" s="42"/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2"/>
      <c r="AK20" s="62"/>
      <c r="AL20" s="62"/>
      <c r="AM20" s="62"/>
      <c r="AN20" s="62"/>
      <c r="AO20" s="62"/>
      <c r="AP20" s="62"/>
      <c r="AQ20" s="62"/>
      <c r="AR20" s="62"/>
      <c r="AS20" s="62"/>
      <c r="AT20" s="62"/>
      <c r="AU20" s="62"/>
      <c r="AV20" s="62"/>
      <c r="AW20" s="62"/>
      <c r="AX20" s="62"/>
      <c r="AY20" s="62"/>
      <c r="AZ20" s="62"/>
      <c r="BA20" s="62"/>
      <c r="BB20" s="62"/>
      <c r="BC20" s="62"/>
      <c r="BD20" s="62"/>
      <c r="BE20" s="62"/>
      <c r="BF20" s="62"/>
      <c r="BG20" s="62"/>
      <c r="BH20" s="62"/>
      <c r="BI20" s="62"/>
    </row>
    <row r="21" spans="1:63" ht="18.95" customHeight="1" x14ac:dyDescent="0.2">
      <c r="A21" s="5" t="s">
        <v>531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</row>
    <row r="22" spans="1:63" ht="15" customHeight="1" x14ac:dyDescent="0.2">
      <c r="A22" s="12" t="s">
        <v>532</v>
      </c>
      <c r="B22" s="56">
        <f>0</f>
        <v>0</v>
      </c>
      <c r="C22" s="56">
        <f>0</f>
        <v>0</v>
      </c>
      <c r="D22" s="56">
        <f>0</f>
        <v>0</v>
      </c>
      <c r="E22" s="56">
        <f>0</f>
        <v>0</v>
      </c>
      <c r="F22" s="56">
        <f>0</f>
        <v>0</v>
      </c>
      <c r="G22" s="56">
        <f>0</f>
        <v>0</v>
      </c>
      <c r="H22" s="56">
        <f>0</f>
        <v>0</v>
      </c>
      <c r="I22" s="56">
        <f>0</f>
        <v>0</v>
      </c>
      <c r="J22" s="56">
        <f>0</f>
        <v>0</v>
      </c>
      <c r="K22" s="56">
        <f>0</f>
        <v>0</v>
      </c>
      <c r="L22" s="56">
        <f>0</f>
        <v>0</v>
      </c>
      <c r="M22" s="56">
        <f>0</f>
        <v>0</v>
      </c>
      <c r="N22" s="56">
        <f>0</f>
        <v>0</v>
      </c>
      <c r="O22" s="56">
        <f>0</f>
        <v>0</v>
      </c>
      <c r="P22" s="56">
        <f>0</f>
        <v>0</v>
      </c>
      <c r="Q22" s="56">
        <f>0</f>
        <v>0</v>
      </c>
      <c r="R22" s="56">
        <f>0</f>
        <v>0</v>
      </c>
      <c r="S22" s="56">
        <f>0</f>
        <v>0</v>
      </c>
      <c r="T22" s="56">
        <f>0</f>
        <v>0</v>
      </c>
      <c r="U22" s="56">
        <f>0</f>
        <v>0</v>
      </c>
      <c r="V22" s="56">
        <f>0</f>
        <v>0</v>
      </c>
      <c r="W22" s="56">
        <f>0</f>
        <v>0</v>
      </c>
      <c r="X22" s="56">
        <f>0</f>
        <v>0</v>
      </c>
      <c r="Y22" s="56">
        <f>0</f>
        <v>0</v>
      </c>
      <c r="Z22" s="56">
        <f>0</f>
        <v>0</v>
      </c>
      <c r="AA22" s="56">
        <f>0</f>
        <v>0</v>
      </c>
      <c r="AB22" s="56">
        <f>0</f>
        <v>0</v>
      </c>
      <c r="AC22" s="56">
        <f>0</f>
        <v>0</v>
      </c>
      <c r="AD22" s="56">
        <f>0</f>
        <v>0</v>
      </c>
      <c r="AE22" s="56">
        <f>0</f>
        <v>0</v>
      </c>
      <c r="AF22" s="56">
        <f>0</f>
        <v>0</v>
      </c>
      <c r="AG22" s="56">
        <f>0</f>
        <v>0</v>
      </c>
      <c r="AH22" s="56">
        <f>0</f>
        <v>0</v>
      </c>
      <c r="AI22" s="56">
        <f>0</f>
        <v>0</v>
      </c>
      <c r="AJ22" s="56">
        <f>0</f>
        <v>0</v>
      </c>
      <c r="AK22" s="56">
        <f>0</f>
        <v>0</v>
      </c>
      <c r="AL22" s="56">
        <f>0</f>
        <v>0</v>
      </c>
      <c r="AM22" s="56">
        <f>0</f>
        <v>0</v>
      </c>
      <c r="AN22" s="56">
        <f>0</f>
        <v>0</v>
      </c>
      <c r="AO22" s="56">
        <f>0</f>
        <v>0</v>
      </c>
      <c r="AP22" s="56">
        <f>0</f>
        <v>0</v>
      </c>
      <c r="AQ22" s="56">
        <f>0</f>
        <v>0</v>
      </c>
      <c r="AR22" s="56">
        <f>0</f>
        <v>0</v>
      </c>
      <c r="AS22" s="56">
        <f>0</f>
        <v>0</v>
      </c>
      <c r="AT22" s="56">
        <f>0</f>
        <v>0</v>
      </c>
      <c r="AU22" s="56">
        <f>0</f>
        <v>0</v>
      </c>
      <c r="AV22" s="56">
        <f>0</f>
        <v>0</v>
      </c>
      <c r="AW22" s="56">
        <f>0</f>
        <v>0</v>
      </c>
      <c r="AX22" s="56">
        <f>0</f>
        <v>0</v>
      </c>
      <c r="AY22" s="56">
        <f>0</f>
        <v>0</v>
      </c>
      <c r="AZ22" s="56">
        <f>0</f>
        <v>0</v>
      </c>
      <c r="BA22" s="56">
        <f>0</f>
        <v>0</v>
      </c>
      <c r="BB22" s="56">
        <f>0</f>
        <v>0</v>
      </c>
      <c r="BC22" s="56">
        <f>0</f>
        <v>0</v>
      </c>
      <c r="BD22" s="56">
        <f>0</f>
        <v>0</v>
      </c>
      <c r="BE22" s="56">
        <f>0</f>
        <v>0</v>
      </c>
      <c r="BF22" s="56">
        <f>0</f>
        <v>0</v>
      </c>
      <c r="BG22" s="56">
        <f>0</f>
        <v>0</v>
      </c>
      <c r="BH22" s="56">
        <f>0</f>
        <v>0</v>
      </c>
      <c r="BI22" s="56">
        <f>0</f>
        <v>0</v>
      </c>
    </row>
    <row r="23" spans="1:63" ht="15" customHeight="1" x14ac:dyDescent="0.2">
      <c r="A23" s="24" t="s">
        <v>533</v>
      </c>
      <c r="B23" s="92">
        <f t="shared" ref="B23:AG23" si="12">ROUND(SUM(B21:B22),0)</f>
        <v>0</v>
      </c>
      <c r="C23" s="92">
        <f t="shared" si="12"/>
        <v>0</v>
      </c>
      <c r="D23" s="92">
        <f t="shared" si="12"/>
        <v>0</v>
      </c>
      <c r="E23" s="92">
        <f t="shared" si="12"/>
        <v>0</v>
      </c>
      <c r="F23" s="92">
        <f t="shared" si="12"/>
        <v>0</v>
      </c>
      <c r="G23" s="92">
        <f t="shared" si="12"/>
        <v>0</v>
      </c>
      <c r="H23" s="92">
        <f t="shared" si="12"/>
        <v>0</v>
      </c>
      <c r="I23" s="92">
        <f t="shared" si="12"/>
        <v>0</v>
      </c>
      <c r="J23" s="92">
        <f t="shared" si="12"/>
        <v>0</v>
      </c>
      <c r="K23" s="92">
        <f t="shared" si="12"/>
        <v>0</v>
      </c>
      <c r="L23" s="92">
        <f t="shared" si="12"/>
        <v>0</v>
      </c>
      <c r="M23" s="92">
        <f t="shared" si="12"/>
        <v>0</v>
      </c>
      <c r="N23" s="92">
        <f t="shared" si="12"/>
        <v>0</v>
      </c>
      <c r="O23" s="92">
        <f t="shared" si="12"/>
        <v>0</v>
      </c>
      <c r="P23" s="92">
        <f t="shared" si="12"/>
        <v>0</v>
      </c>
      <c r="Q23" s="92">
        <f t="shared" si="12"/>
        <v>0</v>
      </c>
      <c r="R23" s="92">
        <f t="shared" si="12"/>
        <v>0</v>
      </c>
      <c r="S23" s="92">
        <f t="shared" si="12"/>
        <v>0</v>
      </c>
      <c r="T23" s="92">
        <f t="shared" si="12"/>
        <v>0</v>
      </c>
      <c r="U23" s="92">
        <f t="shared" si="12"/>
        <v>0</v>
      </c>
      <c r="V23" s="92">
        <f t="shared" si="12"/>
        <v>0</v>
      </c>
      <c r="W23" s="92">
        <f t="shared" si="12"/>
        <v>0</v>
      </c>
      <c r="X23" s="92">
        <f t="shared" si="12"/>
        <v>0</v>
      </c>
      <c r="Y23" s="92">
        <f t="shared" si="12"/>
        <v>0</v>
      </c>
      <c r="Z23" s="92">
        <f t="shared" si="12"/>
        <v>0</v>
      </c>
      <c r="AA23" s="92">
        <f t="shared" si="12"/>
        <v>0</v>
      </c>
      <c r="AB23" s="92">
        <f t="shared" si="12"/>
        <v>0</v>
      </c>
      <c r="AC23" s="92">
        <f t="shared" si="12"/>
        <v>0</v>
      </c>
      <c r="AD23" s="92">
        <f t="shared" si="12"/>
        <v>0</v>
      </c>
      <c r="AE23" s="92">
        <f t="shared" si="12"/>
        <v>0</v>
      </c>
      <c r="AF23" s="92">
        <f t="shared" si="12"/>
        <v>0</v>
      </c>
      <c r="AG23" s="92">
        <f t="shared" si="12"/>
        <v>0</v>
      </c>
      <c r="AH23" s="92">
        <f t="shared" ref="AH23:BI23" si="13">ROUND(SUM(AH21:AH22),0)</f>
        <v>0</v>
      </c>
      <c r="AI23" s="92">
        <f t="shared" si="13"/>
        <v>0</v>
      </c>
      <c r="AJ23" s="92">
        <f t="shared" si="13"/>
        <v>0</v>
      </c>
      <c r="AK23" s="92">
        <f t="shared" si="13"/>
        <v>0</v>
      </c>
      <c r="AL23" s="92">
        <f t="shared" si="13"/>
        <v>0</v>
      </c>
      <c r="AM23" s="92">
        <f t="shared" si="13"/>
        <v>0</v>
      </c>
      <c r="AN23" s="92">
        <f t="shared" si="13"/>
        <v>0</v>
      </c>
      <c r="AO23" s="92">
        <f t="shared" si="13"/>
        <v>0</v>
      </c>
      <c r="AP23" s="92">
        <f t="shared" si="13"/>
        <v>0</v>
      </c>
      <c r="AQ23" s="92">
        <f t="shared" si="13"/>
        <v>0</v>
      </c>
      <c r="AR23" s="92">
        <f t="shared" si="13"/>
        <v>0</v>
      </c>
      <c r="AS23" s="92">
        <f t="shared" si="13"/>
        <v>0</v>
      </c>
      <c r="AT23" s="92">
        <f t="shared" si="13"/>
        <v>0</v>
      </c>
      <c r="AU23" s="92">
        <f t="shared" si="13"/>
        <v>0</v>
      </c>
      <c r="AV23" s="92">
        <f t="shared" si="13"/>
        <v>0</v>
      </c>
      <c r="AW23" s="92">
        <f t="shared" si="13"/>
        <v>0</v>
      </c>
      <c r="AX23" s="92">
        <f t="shared" si="13"/>
        <v>0</v>
      </c>
      <c r="AY23" s="92">
        <f t="shared" si="13"/>
        <v>0</v>
      </c>
      <c r="AZ23" s="92">
        <f t="shared" si="13"/>
        <v>0</v>
      </c>
      <c r="BA23" s="92">
        <f t="shared" si="13"/>
        <v>0</v>
      </c>
      <c r="BB23" s="92">
        <f t="shared" si="13"/>
        <v>0</v>
      </c>
      <c r="BC23" s="92">
        <f t="shared" si="13"/>
        <v>0</v>
      </c>
      <c r="BD23" s="92">
        <f t="shared" si="13"/>
        <v>0</v>
      </c>
      <c r="BE23" s="92">
        <f t="shared" si="13"/>
        <v>0</v>
      </c>
      <c r="BF23" s="92">
        <f t="shared" si="13"/>
        <v>0</v>
      </c>
      <c r="BG23" s="92">
        <f t="shared" si="13"/>
        <v>0</v>
      </c>
      <c r="BH23" s="92">
        <f t="shared" si="13"/>
        <v>0</v>
      </c>
      <c r="BI23" s="92">
        <f t="shared" si="13"/>
        <v>0</v>
      </c>
    </row>
    <row r="24" spans="1:63" ht="8.1" customHeight="1" x14ac:dyDescent="0.2">
      <c r="A24" s="42"/>
      <c r="B24" s="62"/>
      <c r="C24" s="62"/>
      <c r="D24" s="62"/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  <c r="AA24" s="62"/>
      <c r="AB24" s="62"/>
      <c r="AC24" s="62"/>
      <c r="AD24" s="62"/>
      <c r="AE24" s="62"/>
      <c r="AF24" s="62"/>
      <c r="AG24" s="62"/>
      <c r="AH24" s="62"/>
      <c r="AI24" s="62"/>
      <c r="AJ24" s="62"/>
      <c r="AK24" s="62"/>
      <c r="AL24" s="62"/>
      <c r="AM24" s="62"/>
      <c r="AN24" s="62"/>
      <c r="AO24" s="62"/>
      <c r="AP24" s="62"/>
      <c r="AQ24" s="62"/>
      <c r="AR24" s="62"/>
      <c r="AS24" s="62"/>
      <c r="AT24" s="62"/>
      <c r="AU24" s="62"/>
      <c r="AV24" s="62"/>
      <c r="AW24" s="62"/>
      <c r="AX24" s="62"/>
      <c r="AY24" s="62"/>
      <c r="AZ24" s="62"/>
      <c r="BA24" s="62"/>
      <c r="BB24" s="62"/>
      <c r="BC24" s="62"/>
      <c r="BD24" s="62"/>
      <c r="BE24" s="62"/>
      <c r="BF24" s="62"/>
      <c r="BG24" s="62"/>
      <c r="BH24" s="62"/>
      <c r="BI24" s="62"/>
    </row>
    <row r="25" spans="1:63" ht="18.95" customHeight="1" x14ac:dyDescent="0.2">
      <c r="A25" s="5" t="s">
        <v>534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</row>
    <row r="26" spans="1:63" ht="15" customHeight="1" x14ac:dyDescent="0.2">
      <c r="A26" s="12" t="s">
        <v>535</v>
      </c>
      <c r="B26" s="67">
        <f>ROUND(IF(B$8=1,IF(B$7=1,'P&amp;L 5yr'!$C$66,MAX(0,INDEX('P&amp;L 5yr'!$C$66:$G$66,1,B$7)-INDEX('P&amp;L 5yr'!$C$66:$G$66,1,B$7-1))),0)+IF(B$6=MAX(1,'Launch Readiness'!$E$6-1),'Launch Readiness'!$E$10,0)+IF(B$6=MAX(1,'Launch Readiness'!$E$14-1),'Launch Readiness'!$E$17,0),0)</f>
        <v>1259254</v>
      </c>
      <c r="C26" s="67">
        <f>ROUND(IF(C$8=1,IF(C$7=1,'P&amp;L 5yr'!$C$66,MAX(0,INDEX('P&amp;L 5yr'!$C$66:$G$66,1,C$7)-INDEX('P&amp;L 5yr'!$C$66:$G$66,1,C$7-1))),0)+IF(C$6=MAX(1,'Launch Readiness'!$E$6-1),'Launch Readiness'!$E$10,0)+IF(C$6=MAX(1,'Launch Readiness'!$E$14-1),'Launch Readiness'!$E$17,0),0)</f>
        <v>0</v>
      </c>
      <c r="D26" s="67">
        <f>ROUND(IF(D$8=1,IF(D$7=1,'P&amp;L 5yr'!$C$66,MAX(0,INDEX('P&amp;L 5yr'!$C$66:$G$66,1,D$7)-INDEX('P&amp;L 5yr'!$C$66:$G$66,1,D$7-1))),0)+IF(D$6=MAX(1,'Launch Readiness'!$E$6-1),'Launch Readiness'!$E$10,0)+IF(D$6=MAX(1,'Launch Readiness'!$E$14-1),'Launch Readiness'!$E$17,0),0)</f>
        <v>0</v>
      </c>
      <c r="E26" s="67">
        <f>ROUND(IF(E$8=1,IF(E$7=1,'P&amp;L 5yr'!$C$66,MAX(0,INDEX('P&amp;L 5yr'!$C$66:$G$66,1,E$7)-INDEX('P&amp;L 5yr'!$C$66:$G$66,1,E$7-1))),0)+IF(E$6=MAX(1,'Launch Readiness'!$E$6-1),'Launch Readiness'!$E$10,0)+IF(E$6=MAX(1,'Launch Readiness'!$E$14-1),'Launch Readiness'!$E$17,0),0)</f>
        <v>0</v>
      </c>
      <c r="F26" s="67">
        <f>ROUND(IF(F$8=1,IF(F$7=1,'P&amp;L 5yr'!$C$66,MAX(0,INDEX('P&amp;L 5yr'!$C$66:$G$66,1,F$7)-INDEX('P&amp;L 5yr'!$C$66:$G$66,1,F$7-1))),0)+IF(F$6=MAX(1,'Launch Readiness'!$E$6-1),'Launch Readiness'!$E$10,0)+IF(F$6=MAX(1,'Launch Readiness'!$E$14-1),'Launch Readiness'!$E$17,0),0)</f>
        <v>0</v>
      </c>
      <c r="G26" s="67">
        <f>ROUND(IF(G$8=1,IF(G$7=1,'P&amp;L 5yr'!$C$66,MAX(0,INDEX('P&amp;L 5yr'!$C$66:$G$66,1,G$7)-INDEX('P&amp;L 5yr'!$C$66:$G$66,1,G$7-1))),0)+IF(G$6=MAX(1,'Launch Readiness'!$E$6-1),'Launch Readiness'!$E$10,0)+IF(G$6=MAX(1,'Launch Readiness'!$E$14-1),'Launch Readiness'!$E$17,0),0)</f>
        <v>0</v>
      </c>
      <c r="H26" s="67">
        <f>ROUND(IF(H$8=1,IF(H$7=1,'P&amp;L 5yr'!$C$66,MAX(0,INDEX('P&amp;L 5yr'!$C$66:$G$66,1,H$7)-INDEX('P&amp;L 5yr'!$C$66:$G$66,1,H$7-1))),0)+IF(H$6=MAX(1,'Launch Readiness'!$E$6-1),'Launch Readiness'!$E$10,0)+IF(H$6=MAX(1,'Launch Readiness'!$E$14-1),'Launch Readiness'!$E$17,0),0)</f>
        <v>0</v>
      </c>
      <c r="I26" s="67">
        <f>ROUND(IF(I$8=1,IF(I$7=1,'P&amp;L 5yr'!$C$66,MAX(0,INDEX('P&amp;L 5yr'!$C$66:$G$66,1,I$7)-INDEX('P&amp;L 5yr'!$C$66:$G$66,1,I$7-1))),0)+IF(I$6=MAX(1,'Launch Readiness'!$E$6-1),'Launch Readiness'!$E$10,0)+IF(I$6=MAX(1,'Launch Readiness'!$E$14-1),'Launch Readiness'!$E$17,0),0)</f>
        <v>0</v>
      </c>
      <c r="J26" s="67">
        <f>ROUND(IF(J$8=1,IF(J$7=1,'P&amp;L 5yr'!$C$66,MAX(0,INDEX('P&amp;L 5yr'!$C$66:$G$66,1,J$7)-INDEX('P&amp;L 5yr'!$C$66:$G$66,1,J$7-1))),0)+IF(J$6=MAX(1,'Launch Readiness'!$E$6-1),'Launch Readiness'!$E$10,0)+IF(J$6=MAX(1,'Launch Readiness'!$E$14-1),'Launch Readiness'!$E$17,0),0)</f>
        <v>0</v>
      </c>
      <c r="K26" s="67">
        <f>ROUND(IF(K$8=1,IF(K$7=1,'P&amp;L 5yr'!$C$66,MAX(0,INDEX('P&amp;L 5yr'!$C$66:$G$66,1,K$7)-INDEX('P&amp;L 5yr'!$C$66:$G$66,1,K$7-1))),0)+IF(K$6=MAX(1,'Launch Readiness'!$E$6-1),'Launch Readiness'!$E$10,0)+IF(K$6=MAX(1,'Launch Readiness'!$E$14-1),'Launch Readiness'!$E$17,0),0)</f>
        <v>0</v>
      </c>
      <c r="L26" s="67">
        <f>ROUND(IF(L$8=1,IF(L$7=1,'P&amp;L 5yr'!$C$66,MAX(0,INDEX('P&amp;L 5yr'!$C$66:$G$66,1,L$7)-INDEX('P&amp;L 5yr'!$C$66:$G$66,1,L$7-1))),0)+IF(L$6=MAX(1,'Launch Readiness'!$E$6-1),'Launch Readiness'!$E$10,0)+IF(L$6=MAX(1,'Launch Readiness'!$E$14-1),'Launch Readiness'!$E$17,0),0)</f>
        <v>0</v>
      </c>
      <c r="M26" s="67">
        <f>ROUND(IF(M$8=1,IF(M$7=1,'P&amp;L 5yr'!$C$66,MAX(0,INDEX('P&amp;L 5yr'!$C$66:$G$66,1,M$7)-INDEX('P&amp;L 5yr'!$C$66:$G$66,1,M$7-1))),0)+IF(M$6=MAX(1,'Launch Readiness'!$E$6-1),'Launch Readiness'!$E$10,0)+IF(M$6=MAX(1,'Launch Readiness'!$E$14-1),'Launch Readiness'!$E$17,0),0)</f>
        <v>0</v>
      </c>
      <c r="N26" s="67">
        <f>ROUND(IF(N$8=1,IF(N$7=1,'P&amp;L 5yr'!$C$66,MAX(0,INDEX('P&amp;L 5yr'!$C$66:$G$66,1,N$7)-INDEX('P&amp;L 5yr'!$C$66:$G$66,1,N$7-1))),0)+IF(N$6=MAX(1,'Launch Readiness'!$E$6-1),'Launch Readiness'!$E$10,0)+IF(N$6=MAX(1,'Launch Readiness'!$E$14-1),'Launch Readiness'!$E$17,0),0)</f>
        <v>908073</v>
      </c>
      <c r="O26" s="67">
        <f>ROUND(IF(O$8=1,IF(O$7=1,'P&amp;L 5yr'!$C$66,MAX(0,INDEX('P&amp;L 5yr'!$C$66:$G$66,1,O$7)-INDEX('P&amp;L 5yr'!$C$66:$G$66,1,O$7-1))),0)+IF(O$6=MAX(1,'Launch Readiness'!$E$6-1),'Launch Readiness'!$E$10,0)+IF(O$6=MAX(1,'Launch Readiness'!$E$14-1),'Launch Readiness'!$E$17,0),0)</f>
        <v>0</v>
      </c>
      <c r="P26" s="67">
        <f>ROUND(IF(P$8=1,IF(P$7=1,'P&amp;L 5yr'!$C$66,MAX(0,INDEX('P&amp;L 5yr'!$C$66:$G$66,1,P$7)-INDEX('P&amp;L 5yr'!$C$66:$G$66,1,P$7-1))),0)+IF(P$6=MAX(1,'Launch Readiness'!$E$6-1),'Launch Readiness'!$E$10,0)+IF(P$6=MAX(1,'Launch Readiness'!$E$14-1),'Launch Readiness'!$E$17,0),0)</f>
        <v>0</v>
      </c>
      <c r="Q26" s="67">
        <f>ROUND(IF(Q$8=1,IF(Q$7=1,'P&amp;L 5yr'!$C$66,MAX(0,INDEX('P&amp;L 5yr'!$C$66:$G$66,1,Q$7)-INDEX('P&amp;L 5yr'!$C$66:$G$66,1,Q$7-1))),0)+IF(Q$6=MAX(1,'Launch Readiness'!$E$6-1),'Launch Readiness'!$E$10,0)+IF(Q$6=MAX(1,'Launch Readiness'!$E$14-1),'Launch Readiness'!$E$17,0),0)</f>
        <v>0</v>
      </c>
      <c r="R26" s="67">
        <f>ROUND(IF(R$8=1,IF(R$7=1,'P&amp;L 5yr'!$C$66,MAX(0,INDEX('P&amp;L 5yr'!$C$66:$G$66,1,R$7)-INDEX('P&amp;L 5yr'!$C$66:$G$66,1,R$7-1))),0)+IF(R$6=MAX(1,'Launch Readiness'!$E$6-1),'Launch Readiness'!$E$10,0)+IF(R$6=MAX(1,'Launch Readiness'!$E$14-1),'Launch Readiness'!$E$17,0),0)</f>
        <v>0</v>
      </c>
      <c r="S26" s="67">
        <f>ROUND(IF(S$8=1,IF(S$7=1,'P&amp;L 5yr'!$C$66,MAX(0,INDEX('P&amp;L 5yr'!$C$66:$G$66,1,S$7)-INDEX('P&amp;L 5yr'!$C$66:$G$66,1,S$7-1))),0)+IF(S$6=MAX(1,'Launch Readiness'!$E$6-1),'Launch Readiness'!$E$10,0)+IF(S$6=MAX(1,'Launch Readiness'!$E$14-1),'Launch Readiness'!$E$17,0),0)</f>
        <v>0</v>
      </c>
      <c r="T26" s="67">
        <f>ROUND(IF(T$8=1,IF(T$7=1,'P&amp;L 5yr'!$C$66,MAX(0,INDEX('P&amp;L 5yr'!$C$66:$G$66,1,T$7)-INDEX('P&amp;L 5yr'!$C$66:$G$66,1,T$7-1))),0)+IF(T$6=MAX(1,'Launch Readiness'!$E$6-1),'Launch Readiness'!$E$10,0)+IF(T$6=MAX(1,'Launch Readiness'!$E$14-1),'Launch Readiness'!$E$17,0),0)</f>
        <v>0</v>
      </c>
      <c r="U26" s="67">
        <f>ROUND(IF(U$8=1,IF(U$7=1,'P&amp;L 5yr'!$C$66,MAX(0,INDEX('P&amp;L 5yr'!$C$66:$G$66,1,U$7)-INDEX('P&amp;L 5yr'!$C$66:$G$66,1,U$7-1))),0)+IF(U$6=MAX(1,'Launch Readiness'!$E$6-1),'Launch Readiness'!$E$10,0)+IF(U$6=MAX(1,'Launch Readiness'!$E$14-1),'Launch Readiness'!$E$17,0),0)</f>
        <v>0</v>
      </c>
      <c r="V26" s="67">
        <f>ROUND(IF(V$8=1,IF(V$7=1,'P&amp;L 5yr'!$C$66,MAX(0,INDEX('P&amp;L 5yr'!$C$66:$G$66,1,V$7)-INDEX('P&amp;L 5yr'!$C$66:$G$66,1,V$7-1))),0)+IF(V$6=MAX(1,'Launch Readiness'!$E$6-1),'Launch Readiness'!$E$10,0)+IF(V$6=MAX(1,'Launch Readiness'!$E$14-1),'Launch Readiness'!$E$17,0),0)</f>
        <v>0</v>
      </c>
      <c r="W26" s="67">
        <f>ROUND(IF(W$8=1,IF(W$7=1,'P&amp;L 5yr'!$C$66,MAX(0,INDEX('P&amp;L 5yr'!$C$66:$G$66,1,W$7)-INDEX('P&amp;L 5yr'!$C$66:$G$66,1,W$7-1))),0)+IF(W$6=MAX(1,'Launch Readiness'!$E$6-1),'Launch Readiness'!$E$10,0)+IF(W$6=MAX(1,'Launch Readiness'!$E$14-1),'Launch Readiness'!$E$17,0),0)</f>
        <v>0</v>
      </c>
      <c r="X26" s="67">
        <f>ROUND(IF(X$8=1,IF(X$7=1,'P&amp;L 5yr'!$C$66,MAX(0,INDEX('P&amp;L 5yr'!$C$66:$G$66,1,X$7)-INDEX('P&amp;L 5yr'!$C$66:$G$66,1,X$7-1))),0)+IF(X$6=MAX(1,'Launch Readiness'!$E$6-1),'Launch Readiness'!$E$10,0)+IF(X$6=MAX(1,'Launch Readiness'!$E$14-1),'Launch Readiness'!$E$17,0),0)</f>
        <v>0</v>
      </c>
      <c r="Y26" s="67">
        <f>ROUND(IF(Y$8=1,IF(Y$7=1,'P&amp;L 5yr'!$C$66,MAX(0,INDEX('P&amp;L 5yr'!$C$66:$G$66,1,Y$7)-INDEX('P&amp;L 5yr'!$C$66:$G$66,1,Y$7-1))),0)+IF(Y$6=MAX(1,'Launch Readiness'!$E$6-1),'Launch Readiness'!$E$10,0)+IF(Y$6=MAX(1,'Launch Readiness'!$E$14-1),'Launch Readiness'!$E$17,0),0)</f>
        <v>0</v>
      </c>
      <c r="Z26" s="67">
        <f>ROUND(IF(Z$8=1,IF(Z$7=1,'P&amp;L 5yr'!$C$66,MAX(0,INDEX('P&amp;L 5yr'!$C$66:$G$66,1,Z$7)-INDEX('P&amp;L 5yr'!$C$66:$G$66,1,Z$7-1))),0)+IF(Z$6=MAX(1,'Launch Readiness'!$E$6-1),'Launch Readiness'!$E$10,0)+IF(Z$6=MAX(1,'Launch Readiness'!$E$14-1),'Launch Readiness'!$E$17,0),0)</f>
        <v>460389</v>
      </c>
      <c r="AA26" s="67">
        <f>ROUND(IF(AA$8=1,IF(AA$7=1,'P&amp;L 5yr'!$C$66,MAX(0,INDEX('P&amp;L 5yr'!$C$66:$G$66,1,AA$7)-INDEX('P&amp;L 5yr'!$C$66:$G$66,1,AA$7-1))),0)+IF(AA$6=MAX(1,'Launch Readiness'!$E$6-1),'Launch Readiness'!$E$10,0)+IF(AA$6=MAX(1,'Launch Readiness'!$E$14-1),'Launch Readiness'!$E$17,0),0)</f>
        <v>0</v>
      </c>
      <c r="AB26" s="67">
        <f>ROUND(IF(AB$8=1,IF(AB$7=1,'P&amp;L 5yr'!$C$66,MAX(0,INDEX('P&amp;L 5yr'!$C$66:$G$66,1,AB$7)-INDEX('P&amp;L 5yr'!$C$66:$G$66,1,AB$7-1))),0)+IF(AB$6=MAX(1,'Launch Readiness'!$E$6-1),'Launch Readiness'!$E$10,0)+IF(AB$6=MAX(1,'Launch Readiness'!$E$14-1),'Launch Readiness'!$E$17,0),0)</f>
        <v>0</v>
      </c>
      <c r="AC26" s="67">
        <f>ROUND(IF(AC$8=1,IF(AC$7=1,'P&amp;L 5yr'!$C$66,MAX(0,INDEX('P&amp;L 5yr'!$C$66:$G$66,1,AC$7)-INDEX('P&amp;L 5yr'!$C$66:$G$66,1,AC$7-1))),0)+IF(AC$6=MAX(1,'Launch Readiness'!$E$6-1),'Launch Readiness'!$E$10,0)+IF(AC$6=MAX(1,'Launch Readiness'!$E$14-1),'Launch Readiness'!$E$17,0),0)</f>
        <v>0</v>
      </c>
      <c r="AD26" s="67">
        <f>ROUND(IF(AD$8=1,IF(AD$7=1,'P&amp;L 5yr'!$C$66,MAX(0,INDEX('P&amp;L 5yr'!$C$66:$G$66,1,AD$7)-INDEX('P&amp;L 5yr'!$C$66:$G$66,1,AD$7-1))),0)+IF(AD$6=MAX(1,'Launch Readiness'!$E$6-1),'Launch Readiness'!$E$10,0)+IF(AD$6=MAX(1,'Launch Readiness'!$E$14-1),'Launch Readiness'!$E$17,0),0)</f>
        <v>319095</v>
      </c>
      <c r="AE26" s="67">
        <f>ROUND(IF(AE$8=1,IF(AE$7=1,'P&amp;L 5yr'!$C$66,MAX(0,INDEX('P&amp;L 5yr'!$C$66:$G$66,1,AE$7)-INDEX('P&amp;L 5yr'!$C$66:$G$66,1,AE$7-1))),0)+IF(AE$6=MAX(1,'Launch Readiness'!$E$6-1),'Launch Readiness'!$E$10,0)+IF(AE$6=MAX(1,'Launch Readiness'!$E$14-1),'Launch Readiness'!$E$17,0),0)</f>
        <v>0</v>
      </c>
      <c r="AF26" s="67">
        <f>ROUND(IF(AF$8=1,IF(AF$7=1,'P&amp;L 5yr'!$C$66,MAX(0,INDEX('P&amp;L 5yr'!$C$66:$G$66,1,AF$7)-INDEX('P&amp;L 5yr'!$C$66:$G$66,1,AF$7-1))),0)+IF(AF$6=MAX(1,'Launch Readiness'!$E$6-1),'Launch Readiness'!$E$10,0)+IF(AF$6=MAX(1,'Launch Readiness'!$E$14-1),'Launch Readiness'!$E$17,0),0)</f>
        <v>0</v>
      </c>
      <c r="AG26" s="67">
        <f>ROUND(IF(AG$8=1,IF(AG$7=1,'P&amp;L 5yr'!$C$66,MAX(0,INDEX('P&amp;L 5yr'!$C$66:$G$66,1,AG$7)-INDEX('P&amp;L 5yr'!$C$66:$G$66,1,AG$7-1))),0)+IF(AG$6=MAX(1,'Launch Readiness'!$E$6-1),'Launch Readiness'!$E$10,0)+IF(AG$6=MAX(1,'Launch Readiness'!$E$14-1),'Launch Readiness'!$E$17,0),0)</f>
        <v>0</v>
      </c>
      <c r="AH26" s="67">
        <f>ROUND(IF(AH$8=1,IF(AH$7=1,'P&amp;L 5yr'!$C$66,MAX(0,INDEX('P&amp;L 5yr'!$C$66:$G$66,1,AH$7)-INDEX('P&amp;L 5yr'!$C$66:$G$66,1,AH$7-1))),0)+IF(AH$6=MAX(1,'Launch Readiness'!$E$6-1),'Launch Readiness'!$E$10,0)+IF(AH$6=MAX(1,'Launch Readiness'!$E$14-1),'Launch Readiness'!$E$17,0),0)</f>
        <v>0</v>
      </c>
      <c r="AI26" s="67">
        <f>ROUND(IF(AI$8=1,IF(AI$7=1,'P&amp;L 5yr'!$C$66,MAX(0,INDEX('P&amp;L 5yr'!$C$66:$G$66,1,AI$7)-INDEX('P&amp;L 5yr'!$C$66:$G$66,1,AI$7-1))),0)+IF(AI$6=MAX(1,'Launch Readiness'!$E$6-1),'Launch Readiness'!$E$10,0)+IF(AI$6=MAX(1,'Launch Readiness'!$E$14-1),'Launch Readiness'!$E$17,0),0)</f>
        <v>0</v>
      </c>
      <c r="AJ26" s="67">
        <f>ROUND(IF(AJ$8=1,IF(AJ$7=1,'P&amp;L 5yr'!$C$66,MAX(0,INDEX('P&amp;L 5yr'!$C$66:$G$66,1,AJ$7)-INDEX('P&amp;L 5yr'!$C$66:$G$66,1,AJ$7-1))),0)+IF(AJ$6=MAX(1,'Launch Readiness'!$E$6-1),'Launch Readiness'!$E$10,0)+IF(AJ$6=MAX(1,'Launch Readiness'!$E$14-1),'Launch Readiness'!$E$17,0),0)</f>
        <v>0</v>
      </c>
      <c r="AK26" s="67">
        <f>ROUND(IF(AK$8=1,IF(AK$7=1,'P&amp;L 5yr'!$C$66,MAX(0,INDEX('P&amp;L 5yr'!$C$66:$G$66,1,AK$7)-INDEX('P&amp;L 5yr'!$C$66:$G$66,1,AK$7-1))),0)+IF(AK$6=MAX(1,'Launch Readiness'!$E$6-1),'Launch Readiness'!$E$10,0)+IF(AK$6=MAX(1,'Launch Readiness'!$E$14-1),'Launch Readiness'!$E$17,0),0)</f>
        <v>0</v>
      </c>
      <c r="AL26" s="67">
        <f>ROUND(IF(AL$8=1,IF(AL$7=1,'P&amp;L 5yr'!$C$66,MAX(0,INDEX('P&amp;L 5yr'!$C$66:$G$66,1,AL$7)-INDEX('P&amp;L 5yr'!$C$66:$G$66,1,AL$7-1))),0)+IF(AL$6=MAX(1,'Launch Readiness'!$E$6-1),'Launch Readiness'!$E$10,0)+IF(AL$6=MAX(1,'Launch Readiness'!$E$14-1),'Launch Readiness'!$E$17,0),0)</f>
        <v>212730</v>
      </c>
      <c r="AM26" s="67">
        <f>ROUND(IF(AM$8=1,IF(AM$7=1,'P&amp;L 5yr'!$C$66,MAX(0,INDEX('P&amp;L 5yr'!$C$66:$G$66,1,AM$7)-INDEX('P&amp;L 5yr'!$C$66:$G$66,1,AM$7-1))),0)+IF(AM$6=MAX(1,'Launch Readiness'!$E$6-1),'Launch Readiness'!$E$10,0)+IF(AM$6=MAX(1,'Launch Readiness'!$E$14-1),'Launch Readiness'!$E$17,0),0)</f>
        <v>0</v>
      </c>
      <c r="AN26" s="67">
        <f>ROUND(IF(AN$8=1,IF(AN$7=1,'P&amp;L 5yr'!$C$66,MAX(0,INDEX('P&amp;L 5yr'!$C$66:$G$66,1,AN$7)-INDEX('P&amp;L 5yr'!$C$66:$G$66,1,AN$7-1))),0)+IF(AN$6=MAX(1,'Launch Readiness'!$E$6-1),'Launch Readiness'!$E$10,0)+IF(AN$6=MAX(1,'Launch Readiness'!$E$14-1),'Launch Readiness'!$E$17,0),0)</f>
        <v>0</v>
      </c>
      <c r="AO26" s="67">
        <f>ROUND(IF(AO$8=1,IF(AO$7=1,'P&amp;L 5yr'!$C$66,MAX(0,INDEX('P&amp;L 5yr'!$C$66:$G$66,1,AO$7)-INDEX('P&amp;L 5yr'!$C$66:$G$66,1,AO$7-1))),0)+IF(AO$6=MAX(1,'Launch Readiness'!$E$6-1),'Launch Readiness'!$E$10,0)+IF(AO$6=MAX(1,'Launch Readiness'!$E$14-1),'Launch Readiness'!$E$17,0),0)</f>
        <v>0</v>
      </c>
      <c r="AP26" s="67">
        <f>ROUND(IF(AP$8=1,IF(AP$7=1,'P&amp;L 5yr'!$C$66,MAX(0,INDEX('P&amp;L 5yr'!$C$66:$G$66,1,AP$7)-INDEX('P&amp;L 5yr'!$C$66:$G$66,1,AP$7-1))),0)+IF(AP$6=MAX(1,'Launch Readiness'!$E$6-1),'Launch Readiness'!$E$10,0)+IF(AP$6=MAX(1,'Launch Readiness'!$E$14-1),'Launch Readiness'!$E$17,0),0)</f>
        <v>0</v>
      </c>
      <c r="AQ26" s="67">
        <f>ROUND(IF(AQ$8=1,IF(AQ$7=1,'P&amp;L 5yr'!$C$66,MAX(0,INDEX('P&amp;L 5yr'!$C$66:$G$66,1,AQ$7)-INDEX('P&amp;L 5yr'!$C$66:$G$66,1,AQ$7-1))),0)+IF(AQ$6=MAX(1,'Launch Readiness'!$E$6-1),'Launch Readiness'!$E$10,0)+IF(AQ$6=MAX(1,'Launch Readiness'!$E$14-1),'Launch Readiness'!$E$17,0),0)</f>
        <v>0</v>
      </c>
      <c r="AR26" s="67">
        <f>ROUND(IF(AR$8=1,IF(AR$7=1,'P&amp;L 5yr'!$C$66,MAX(0,INDEX('P&amp;L 5yr'!$C$66:$G$66,1,AR$7)-INDEX('P&amp;L 5yr'!$C$66:$G$66,1,AR$7-1))),0)+IF(AR$6=MAX(1,'Launch Readiness'!$E$6-1),'Launch Readiness'!$E$10,0)+IF(AR$6=MAX(1,'Launch Readiness'!$E$14-1),'Launch Readiness'!$E$17,0),0)</f>
        <v>0</v>
      </c>
      <c r="AS26" s="67">
        <f>ROUND(IF(AS$8=1,IF(AS$7=1,'P&amp;L 5yr'!$C$66,MAX(0,INDEX('P&amp;L 5yr'!$C$66:$G$66,1,AS$7)-INDEX('P&amp;L 5yr'!$C$66:$G$66,1,AS$7-1))),0)+IF(AS$6=MAX(1,'Launch Readiness'!$E$6-1),'Launch Readiness'!$E$10,0)+IF(AS$6=MAX(1,'Launch Readiness'!$E$14-1),'Launch Readiness'!$E$17,0),0)</f>
        <v>0</v>
      </c>
      <c r="AT26" s="67">
        <f>ROUND(IF(AT$8=1,IF(AT$7=1,'P&amp;L 5yr'!$C$66,MAX(0,INDEX('P&amp;L 5yr'!$C$66:$G$66,1,AT$7)-INDEX('P&amp;L 5yr'!$C$66:$G$66,1,AT$7-1))),0)+IF(AT$6=MAX(1,'Launch Readiness'!$E$6-1),'Launch Readiness'!$E$10,0)+IF(AT$6=MAX(1,'Launch Readiness'!$E$14-1),'Launch Readiness'!$E$17,0),0)</f>
        <v>0</v>
      </c>
      <c r="AU26" s="67">
        <f>ROUND(IF(AU$8=1,IF(AU$7=1,'P&amp;L 5yr'!$C$66,MAX(0,INDEX('P&amp;L 5yr'!$C$66:$G$66,1,AU$7)-INDEX('P&amp;L 5yr'!$C$66:$G$66,1,AU$7-1))),0)+IF(AU$6=MAX(1,'Launch Readiness'!$E$6-1),'Launch Readiness'!$E$10,0)+IF(AU$6=MAX(1,'Launch Readiness'!$E$14-1),'Launch Readiness'!$E$17,0),0)</f>
        <v>0</v>
      </c>
      <c r="AV26" s="67">
        <f>ROUND(IF(AV$8=1,IF(AV$7=1,'P&amp;L 5yr'!$C$66,MAX(0,INDEX('P&amp;L 5yr'!$C$66:$G$66,1,AV$7)-INDEX('P&amp;L 5yr'!$C$66:$G$66,1,AV$7-1))),0)+IF(AV$6=MAX(1,'Launch Readiness'!$E$6-1),'Launch Readiness'!$E$10,0)+IF(AV$6=MAX(1,'Launch Readiness'!$E$14-1),'Launch Readiness'!$E$17,0),0)</f>
        <v>0</v>
      </c>
      <c r="AW26" s="67">
        <f>ROUND(IF(AW$8=1,IF(AW$7=1,'P&amp;L 5yr'!$C$66,MAX(0,INDEX('P&amp;L 5yr'!$C$66:$G$66,1,AW$7)-INDEX('P&amp;L 5yr'!$C$66:$G$66,1,AW$7-1))),0)+IF(AW$6=MAX(1,'Launch Readiness'!$E$6-1),'Launch Readiness'!$E$10,0)+IF(AW$6=MAX(1,'Launch Readiness'!$E$14-1),'Launch Readiness'!$E$17,0),0)</f>
        <v>0</v>
      </c>
      <c r="AX26" s="67">
        <f>ROUND(IF(AX$8=1,IF(AX$7=1,'P&amp;L 5yr'!$C$66,MAX(0,INDEX('P&amp;L 5yr'!$C$66:$G$66,1,AX$7)-INDEX('P&amp;L 5yr'!$C$66:$G$66,1,AX$7-1))),0)+IF(AX$6=MAX(1,'Launch Readiness'!$E$6-1),'Launch Readiness'!$E$10,0)+IF(AX$6=MAX(1,'Launch Readiness'!$E$14-1),'Launch Readiness'!$E$17,0),0)</f>
        <v>0</v>
      </c>
      <c r="AY26" s="67">
        <f>ROUND(IF(AY$8=1,IF(AY$7=1,'P&amp;L 5yr'!$C$66,MAX(0,INDEX('P&amp;L 5yr'!$C$66:$G$66,1,AY$7)-INDEX('P&amp;L 5yr'!$C$66:$G$66,1,AY$7-1))),0)+IF(AY$6=MAX(1,'Launch Readiness'!$E$6-1),'Launch Readiness'!$E$10,0)+IF(AY$6=MAX(1,'Launch Readiness'!$E$14-1),'Launch Readiness'!$E$17,0),0)</f>
        <v>0</v>
      </c>
      <c r="AZ26" s="67">
        <f>ROUND(IF(AZ$8=1,IF(AZ$7=1,'P&amp;L 5yr'!$C$66,MAX(0,INDEX('P&amp;L 5yr'!$C$66:$G$66,1,AZ$7)-INDEX('P&amp;L 5yr'!$C$66:$G$66,1,AZ$7-1))),0)+IF(AZ$6=MAX(1,'Launch Readiness'!$E$6-1),'Launch Readiness'!$E$10,0)+IF(AZ$6=MAX(1,'Launch Readiness'!$E$14-1),'Launch Readiness'!$E$17,0),0)</f>
        <v>0</v>
      </c>
      <c r="BA26" s="67">
        <f>ROUND(IF(BA$8=1,IF(BA$7=1,'P&amp;L 5yr'!$C$66,MAX(0,INDEX('P&amp;L 5yr'!$C$66:$G$66,1,BA$7)-INDEX('P&amp;L 5yr'!$C$66:$G$66,1,BA$7-1))),0)+IF(BA$6=MAX(1,'Launch Readiness'!$E$6-1),'Launch Readiness'!$E$10,0)+IF(BA$6=MAX(1,'Launch Readiness'!$E$14-1),'Launch Readiness'!$E$17,0),0)</f>
        <v>0</v>
      </c>
      <c r="BB26" s="67">
        <f>ROUND(IF(BB$8=1,IF(BB$7=1,'P&amp;L 5yr'!$C$66,MAX(0,INDEX('P&amp;L 5yr'!$C$66:$G$66,1,BB$7)-INDEX('P&amp;L 5yr'!$C$66:$G$66,1,BB$7-1))),0)+IF(BB$6=MAX(1,'Launch Readiness'!$E$6-1),'Launch Readiness'!$E$10,0)+IF(BB$6=MAX(1,'Launch Readiness'!$E$14-1),'Launch Readiness'!$E$17,0),0)</f>
        <v>0</v>
      </c>
      <c r="BC26" s="67">
        <f>ROUND(IF(BC$8=1,IF(BC$7=1,'P&amp;L 5yr'!$C$66,MAX(0,INDEX('P&amp;L 5yr'!$C$66:$G$66,1,BC$7)-INDEX('P&amp;L 5yr'!$C$66:$G$66,1,BC$7-1))),0)+IF(BC$6=MAX(1,'Launch Readiness'!$E$6-1),'Launch Readiness'!$E$10,0)+IF(BC$6=MAX(1,'Launch Readiness'!$E$14-1),'Launch Readiness'!$E$17,0),0)</f>
        <v>0</v>
      </c>
      <c r="BD26" s="67">
        <f>ROUND(IF(BD$8=1,IF(BD$7=1,'P&amp;L 5yr'!$C$66,MAX(0,INDEX('P&amp;L 5yr'!$C$66:$G$66,1,BD$7)-INDEX('P&amp;L 5yr'!$C$66:$G$66,1,BD$7-1))),0)+IF(BD$6=MAX(1,'Launch Readiness'!$E$6-1),'Launch Readiness'!$E$10,0)+IF(BD$6=MAX(1,'Launch Readiness'!$E$14-1),'Launch Readiness'!$E$17,0),0)</f>
        <v>0</v>
      </c>
      <c r="BE26" s="67">
        <f>ROUND(IF(BE$8=1,IF(BE$7=1,'P&amp;L 5yr'!$C$66,MAX(0,INDEX('P&amp;L 5yr'!$C$66:$G$66,1,BE$7)-INDEX('P&amp;L 5yr'!$C$66:$G$66,1,BE$7-1))),0)+IF(BE$6=MAX(1,'Launch Readiness'!$E$6-1),'Launch Readiness'!$E$10,0)+IF(BE$6=MAX(1,'Launch Readiness'!$E$14-1),'Launch Readiness'!$E$17,0),0)</f>
        <v>0</v>
      </c>
      <c r="BF26" s="67">
        <f>ROUND(IF(BF$8=1,IF(BF$7=1,'P&amp;L 5yr'!$C$66,MAX(0,INDEX('P&amp;L 5yr'!$C$66:$G$66,1,BF$7)-INDEX('P&amp;L 5yr'!$C$66:$G$66,1,BF$7-1))),0)+IF(BF$6=MAX(1,'Launch Readiness'!$E$6-1),'Launch Readiness'!$E$10,0)+IF(BF$6=MAX(1,'Launch Readiness'!$E$14-1),'Launch Readiness'!$E$17,0),0)</f>
        <v>0</v>
      </c>
      <c r="BG26" s="67">
        <f>ROUND(IF(BG$8=1,IF(BG$7=1,'P&amp;L 5yr'!$C$66,MAX(0,INDEX('P&amp;L 5yr'!$C$66:$G$66,1,BG$7)-INDEX('P&amp;L 5yr'!$C$66:$G$66,1,BG$7-1))),0)+IF(BG$6=MAX(1,'Launch Readiness'!$E$6-1),'Launch Readiness'!$E$10,0)+IF(BG$6=MAX(1,'Launch Readiness'!$E$14-1),'Launch Readiness'!$E$17,0),0)</f>
        <v>0</v>
      </c>
      <c r="BH26" s="67">
        <f>ROUND(IF(BH$8=1,IF(BH$7=1,'P&amp;L 5yr'!$C$66,MAX(0,INDEX('P&amp;L 5yr'!$C$66:$G$66,1,BH$7)-INDEX('P&amp;L 5yr'!$C$66:$G$66,1,BH$7-1))),0)+IF(BH$6=MAX(1,'Launch Readiness'!$E$6-1),'Launch Readiness'!$E$10,0)+IF(BH$6=MAX(1,'Launch Readiness'!$E$14-1),'Launch Readiness'!$E$17,0),0)</f>
        <v>0</v>
      </c>
      <c r="BI26" s="67">
        <f>ROUND(IF(BI$8=1,IF(BI$7=1,'P&amp;L 5yr'!$C$66,MAX(0,INDEX('P&amp;L 5yr'!$C$66:$G$66,1,BI$7)-INDEX('P&amp;L 5yr'!$C$66:$G$66,1,BI$7-1))),0)+IF(BI$6=MAX(1,'Launch Readiness'!$E$6-1),'Launch Readiness'!$E$10,0)+IF(BI$6=MAX(1,'Launch Readiness'!$E$14-1),'Launch Readiness'!$E$17,0),0)</f>
        <v>0</v>
      </c>
      <c r="BK26" s="33" t="s">
        <v>536</v>
      </c>
    </row>
    <row r="27" spans="1:63" ht="15" customHeight="1" x14ac:dyDescent="0.2">
      <c r="A27" s="12" t="s">
        <v>537</v>
      </c>
      <c r="B27" s="67">
        <f>ROUND(-IF(B$6=MAX(1,'Launch Readiness'!$E$6-1),'Launch Readiness'!$E$10,0)-IF(B$6=MAX(1,'Launch Readiness'!$E$14-1),'Launch Readiness'!$E$17,0),0)</f>
        <v>0</v>
      </c>
      <c r="C27" s="67">
        <f>ROUND(-IF(C$6=MAX(1,'Launch Readiness'!$E$6-1),'Launch Readiness'!$E$10,0)-IF(C$6=MAX(1,'Launch Readiness'!$E$14-1),'Launch Readiness'!$E$17,0),0)</f>
        <v>0</v>
      </c>
      <c r="D27" s="67">
        <f>ROUND(-IF(D$6=MAX(1,'Launch Readiness'!$E$6-1),'Launch Readiness'!$E$10,0)-IF(D$6=MAX(1,'Launch Readiness'!$E$14-1),'Launch Readiness'!$E$17,0),0)</f>
        <v>0</v>
      </c>
      <c r="E27" s="67">
        <f>ROUND(-IF(E$6=MAX(1,'Launch Readiness'!$E$6-1),'Launch Readiness'!$E$10,0)-IF(E$6=MAX(1,'Launch Readiness'!$E$14-1),'Launch Readiness'!$E$17,0),0)</f>
        <v>0</v>
      </c>
      <c r="F27" s="67">
        <f>ROUND(-IF(F$6=MAX(1,'Launch Readiness'!$E$6-1),'Launch Readiness'!$E$10,0)-IF(F$6=MAX(1,'Launch Readiness'!$E$14-1),'Launch Readiness'!$E$17,0),0)</f>
        <v>0</v>
      </c>
      <c r="G27" s="67">
        <f>ROUND(-IF(G$6=MAX(1,'Launch Readiness'!$E$6-1),'Launch Readiness'!$E$10,0)-IF(G$6=MAX(1,'Launch Readiness'!$E$14-1),'Launch Readiness'!$E$17,0),0)</f>
        <v>0</v>
      </c>
      <c r="H27" s="67">
        <f>ROUND(-IF(H$6=MAX(1,'Launch Readiness'!$E$6-1),'Launch Readiness'!$E$10,0)-IF(H$6=MAX(1,'Launch Readiness'!$E$14-1),'Launch Readiness'!$E$17,0),0)</f>
        <v>0</v>
      </c>
      <c r="I27" s="67">
        <f>ROUND(-IF(I$6=MAX(1,'Launch Readiness'!$E$6-1),'Launch Readiness'!$E$10,0)-IF(I$6=MAX(1,'Launch Readiness'!$E$14-1),'Launch Readiness'!$E$17,0),0)</f>
        <v>0</v>
      </c>
      <c r="J27" s="67">
        <f>ROUND(-IF(J$6=MAX(1,'Launch Readiness'!$E$6-1),'Launch Readiness'!$E$10,0)-IF(J$6=MAX(1,'Launch Readiness'!$E$14-1),'Launch Readiness'!$E$17,0),0)</f>
        <v>0</v>
      </c>
      <c r="K27" s="67">
        <f>ROUND(-IF(K$6=MAX(1,'Launch Readiness'!$E$6-1),'Launch Readiness'!$E$10,0)-IF(K$6=MAX(1,'Launch Readiness'!$E$14-1),'Launch Readiness'!$E$17,0),0)</f>
        <v>0</v>
      </c>
      <c r="L27" s="67">
        <f>ROUND(-IF(L$6=MAX(1,'Launch Readiness'!$E$6-1),'Launch Readiness'!$E$10,0)-IF(L$6=MAX(1,'Launch Readiness'!$E$14-1),'Launch Readiness'!$E$17,0),0)</f>
        <v>0</v>
      </c>
      <c r="M27" s="67">
        <f>ROUND(-IF(M$6=MAX(1,'Launch Readiness'!$E$6-1),'Launch Readiness'!$E$10,0)-IF(M$6=MAX(1,'Launch Readiness'!$E$14-1),'Launch Readiness'!$E$17,0),0)</f>
        <v>0</v>
      </c>
      <c r="N27" s="67">
        <f>ROUND(-IF(N$6=MAX(1,'Launch Readiness'!$E$6-1),'Launch Readiness'!$E$10,0)-IF(N$6=MAX(1,'Launch Readiness'!$E$14-1),'Launch Readiness'!$E$17,0),0)</f>
        <v>0</v>
      </c>
      <c r="O27" s="67">
        <f>ROUND(-IF(O$6=MAX(1,'Launch Readiness'!$E$6-1),'Launch Readiness'!$E$10,0)-IF(O$6=MAX(1,'Launch Readiness'!$E$14-1),'Launch Readiness'!$E$17,0),0)</f>
        <v>0</v>
      </c>
      <c r="P27" s="67">
        <f>ROUND(-IF(P$6=MAX(1,'Launch Readiness'!$E$6-1),'Launch Readiness'!$E$10,0)-IF(P$6=MAX(1,'Launch Readiness'!$E$14-1),'Launch Readiness'!$E$17,0),0)</f>
        <v>0</v>
      </c>
      <c r="Q27" s="67">
        <f>ROUND(-IF(Q$6=MAX(1,'Launch Readiness'!$E$6-1),'Launch Readiness'!$E$10,0)-IF(Q$6=MAX(1,'Launch Readiness'!$E$14-1),'Launch Readiness'!$E$17,0),0)</f>
        <v>0</v>
      </c>
      <c r="R27" s="67">
        <f>ROUND(-IF(R$6=MAX(1,'Launch Readiness'!$E$6-1),'Launch Readiness'!$E$10,0)-IF(R$6=MAX(1,'Launch Readiness'!$E$14-1),'Launch Readiness'!$E$17,0),0)</f>
        <v>0</v>
      </c>
      <c r="S27" s="67">
        <f>ROUND(-IF(S$6=MAX(1,'Launch Readiness'!$E$6-1),'Launch Readiness'!$E$10,0)-IF(S$6=MAX(1,'Launch Readiness'!$E$14-1),'Launch Readiness'!$E$17,0),0)</f>
        <v>0</v>
      </c>
      <c r="T27" s="67">
        <f>ROUND(-IF(T$6=MAX(1,'Launch Readiness'!$E$6-1),'Launch Readiness'!$E$10,0)-IF(T$6=MAX(1,'Launch Readiness'!$E$14-1),'Launch Readiness'!$E$17,0),0)</f>
        <v>0</v>
      </c>
      <c r="U27" s="67">
        <f>ROUND(-IF(U$6=MAX(1,'Launch Readiness'!$E$6-1),'Launch Readiness'!$E$10,0)-IF(U$6=MAX(1,'Launch Readiness'!$E$14-1),'Launch Readiness'!$E$17,0),0)</f>
        <v>0</v>
      </c>
      <c r="V27" s="67">
        <f>ROUND(-IF(V$6=MAX(1,'Launch Readiness'!$E$6-1),'Launch Readiness'!$E$10,0)-IF(V$6=MAX(1,'Launch Readiness'!$E$14-1),'Launch Readiness'!$E$17,0),0)</f>
        <v>0</v>
      </c>
      <c r="W27" s="67">
        <f>ROUND(-IF(W$6=MAX(1,'Launch Readiness'!$E$6-1),'Launch Readiness'!$E$10,0)-IF(W$6=MAX(1,'Launch Readiness'!$E$14-1),'Launch Readiness'!$E$17,0),0)</f>
        <v>0</v>
      </c>
      <c r="X27" s="67">
        <f>ROUND(-IF(X$6=MAX(1,'Launch Readiness'!$E$6-1),'Launch Readiness'!$E$10,0)-IF(X$6=MAX(1,'Launch Readiness'!$E$14-1),'Launch Readiness'!$E$17,0),0)</f>
        <v>0</v>
      </c>
      <c r="Y27" s="67">
        <f>ROUND(-IF(Y$6=MAX(1,'Launch Readiness'!$E$6-1),'Launch Readiness'!$E$10,0)-IF(Y$6=MAX(1,'Launch Readiness'!$E$14-1),'Launch Readiness'!$E$17,0),0)</f>
        <v>0</v>
      </c>
      <c r="Z27" s="67">
        <f>ROUND(-IF(Z$6=MAX(1,'Launch Readiness'!$E$6-1),'Launch Readiness'!$E$10,0)-IF(Z$6=MAX(1,'Launch Readiness'!$E$14-1),'Launch Readiness'!$E$17,0),0)</f>
        <v>0</v>
      </c>
      <c r="AA27" s="67">
        <f>ROUND(-IF(AA$6=MAX(1,'Launch Readiness'!$E$6-1),'Launch Readiness'!$E$10,0)-IF(AA$6=MAX(1,'Launch Readiness'!$E$14-1),'Launch Readiness'!$E$17,0),0)</f>
        <v>0</v>
      </c>
      <c r="AB27" s="67">
        <f>ROUND(-IF(AB$6=MAX(1,'Launch Readiness'!$E$6-1),'Launch Readiness'!$E$10,0)-IF(AB$6=MAX(1,'Launch Readiness'!$E$14-1),'Launch Readiness'!$E$17,0),0)</f>
        <v>0</v>
      </c>
      <c r="AC27" s="67">
        <f>ROUND(-IF(AC$6=MAX(1,'Launch Readiness'!$E$6-1),'Launch Readiness'!$E$10,0)-IF(AC$6=MAX(1,'Launch Readiness'!$E$14-1),'Launch Readiness'!$E$17,0),0)</f>
        <v>0</v>
      </c>
      <c r="AD27" s="67">
        <f>ROUND(-IF(AD$6=MAX(1,'Launch Readiness'!$E$6-1),'Launch Readiness'!$E$10,0)-IF(AD$6=MAX(1,'Launch Readiness'!$E$14-1),'Launch Readiness'!$E$17,0),0)</f>
        <v>-319095</v>
      </c>
      <c r="AE27" s="67">
        <f>ROUND(-IF(AE$6=MAX(1,'Launch Readiness'!$E$6-1),'Launch Readiness'!$E$10,0)-IF(AE$6=MAX(1,'Launch Readiness'!$E$14-1),'Launch Readiness'!$E$17,0),0)</f>
        <v>0</v>
      </c>
      <c r="AF27" s="67">
        <f>ROUND(-IF(AF$6=MAX(1,'Launch Readiness'!$E$6-1),'Launch Readiness'!$E$10,0)-IF(AF$6=MAX(1,'Launch Readiness'!$E$14-1),'Launch Readiness'!$E$17,0),0)</f>
        <v>0</v>
      </c>
      <c r="AG27" s="67">
        <f>ROUND(-IF(AG$6=MAX(1,'Launch Readiness'!$E$6-1),'Launch Readiness'!$E$10,0)-IF(AG$6=MAX(1,'Launch Readiness'!$E$14-1),'Launch Readiness'!$E$17,0),0)</f>
        <v>0</v>
      </c>
      <c r="AH27" s="67">
        <f>ROUND(-IF(AH$6=MAX(1,'Launch Readiness'!$E$6-1),'Launch Readiness'!$E$10,0)-IF(AH$6=MAX(1,'Launch Readiness'!$E$14-1),'Launch Readiness'!$E$17,0),0)</f>
        <v>0</v>
      </c>
      <c r="AI27" s="67">
        <f>ROUND(-IF(AI$6=MAX(1,'Launch Readiness'!$E$6-1),'Launch Readiness'!$E$10,0)-IF(AI$6=MAX(1,'Launch Readiness'!$E$14-1),'Launch Readiness'!$E$17,0),0)</f>
        <v>0</v>
      </c>
      <c r="AJ27" s="67">
        <f>ROUND(-IF(AJ$6=MAX(1,'Launch Readiness'!$E$6-1),'Launch Readiness'!$E$10,0)-IF(AJ$6=MAX(1,'Launch Readiness'!$E$14-1),'Launch Readiness'!$E$17,0),0)</f>
        <v>0</v>
      </c>
      <c r="AK27" s="67">
        <f>ROUND(-IF(AK$6=MAX(1,'Launch Readiness'!$E$6-1),'Launch Readiness'!$E$10,0)-IF(AK$6=MAX(1,'Launch Readiness'!$E$14-1),'Launch Readiness'!$E$17,0),0)</f>
        <v>0</v>
      </c>
      <c r="AL27" s="67">
        <f>ROUND(-IF(AL$6=MAX(1,'Launch Readiness'!$E$6-1),'Launch Readiness'!$E$10,0)-IF(AL$6=MAX(1,'Launch Readiness'!$E$14-1),'Launch Readiness'!$E$17,0),0)</f>
        <v>0</v>
      </c>
      <c r="AM27" s="67">
        <f>ROUND(-IF(AM$6=MAX(1,'Launch Readiness'!$E$6-1),'Launch Readiness'!$E$10,0)-IF(AM$6=MAX(1,'Launch Readiness'!$E$14-1),'Launch Readiness'!$E$17,0),0)</f>
        <v>0</v>
      </c>
      <c r="AN27" s="67">
        <f>ROUND(-IF(AN$6=MAX(1,'Launch Readiness'!$E$6-1),'Launch Readiness'!$E$10,0)-IF(AN$6=MAX(1,'Launch Readiness'!$E$14-1),'Launch Readiness'!$E$17,0),0)</f>
        <v>0</v>
      </c>
      <c r="AO27" s="67">
        <f>ROUND(-IF(AO$6=MAX(1,'Launch Readiness'!$E$6-1),'Launch Readiness'!$E$10,0)-IF(AO$6=MAX(1,'Launch Readiness'!$E$14-1),'Launch Readiness'!$E$17,0),0)</f>
        <v>0</v>
      </c>
      <c r="AP27" s="67">
        <f>ROUND(-IF(AP$6=MAX(1,'Launch Readiness'!$E$6-1),'Launch Readiness'!$E$10,0)-IF(AP$6=MAX(1,'Launch Readiness'!$E$14-1),'Launch Readiness'!$E$17,0),0)</f>
        <v>0</v>
      </c>
      <c r="AQ27" s="67">
        <f>ROUND(-IF(AQ$6=MAX(1,'Launch Readiness'!$E$6-1),'Launch Readiness'!$E$10,0)-IF(AQ$6=MAX(1,'Launch Readiness'!$E$14-1),'Launch Readiness'!$E$17,0),0)</f>
        <v>0</v>
      </c>
      <c r="AR27" s="67">
        <f>ROUND(-IF(AR$6=MAX(1,'Launch Readiness'!$E$6-1),'Launch Readiness'!$E$10,0)-IF(AR$6=MAX(1,'Launch Readiness'!$E$14-1),'Launch Readiness'!$E$17,0),0)</f>
        <v>0</v>
      </c>
      <c r="AS27" s="67">
        <f>ROUND(-IF(AS$6=MAX(1,'Launch Readiness'!$E$6-1),'Launch Readiness'!$E$10,0)-IF(AS$6=MAX(1,'Launch Readiness'!$E$14-1),'Launch Readiness'!$E$17,0),0)</f>
        <v>0</v>
      </c>
      <c r="AT27" s="67">
        <f>ROUND(-IF(AT$6=MAX(1,'Launch Readiness'!$E$6-1),'Launch Readiness'!$E$10,0)-IF(AT$6=MAX(1,'Launch Readiness'!$E$14-1),'Launch Readiness'!$E$17,0),0)</f>
        <v>0</v>
      </c>
      <c r="AU27" s="67">
        <f>ROUND(-IF(AU$6=MAX(1,'Launch Readiness'!$E$6-1),'Launch Readiness'!$E$10,0)-IF(AU$6=MAX(1,'Launch Readiness'!$E$14-1),'Launch Readiness'!$E$17,0),0)</f>
        <v>0</v>
      </c>
      <c r="AV27" s="67">
        <f>ROUND(-IF(AV$6=MAX(1,'Launch Readiness'!$E$6-1),'Launch Readiness'!$E$10,0)-IF(AV$6=MAX(1,'Launch Readiness'!$E$14-1),'Launch Readiness'!$E$17,0),0)</f>
        <v>0</v>
      </c>
      <c r="AW27" s="67">
        <f>ROUND(-IF(AW$6=MAX(1,'Launch Readiness'!$E$6-1),'Launch Readiness'!$E$10,0)-IF(AW$6=MAX(1,'Launch Readiness'!$E$14-1),'Launch Readiness'!$E$17,0),0)</f>
        <v>0</v>
      </c>
      <c r="AX27" s="67">
        <f>ROUND(-IF(AX$6=MAX(1,'Launch Readiness'!$E$6-1),'Launch Readiness'!$E$10,0)-IF(AX$6=MAX(1,'Launch Readiness'!$E$14-1),'Launch Readiness'!$E$17,0),0)</f>
        <v>0</v>
      </c>
      <c r="AY27" s="67">
        <f>ROUND(-IF(AY$6=MAX(1,'Launch Readiness'!$E$6-1),'Launch Readiness'!$E$10,0)-IF(AY$6=MAX(1,'Launch Readiness'!$E$14-1),'Launch Readiness'!$E$17,0),0)</f>
        <v>0</v>
      </c>
      <c r="AZ27" s="67">
        <f>ROUND(-IF(AZ$6=MAX(1,'Launch Readiness'!$E$6-1),'Launch Readiness'!$E$10,0)-IF(AZ$6=MAX(1,'Launch Readiness'!$E$14-1),'Launch Readiness'!$E$17,0),0)</f>
        <v>0</v>
      </c>
      <c r="BA27" s="67">
        <f>ROUND(-IF(BA$6=MAX(1,'Launch Readiness'!$E$6-1),'Launch Readiness'!$E$10,0)-IF(BA$6=MAX(1,'Launch Readiness'!$E$14-1),'Launch Readiness'!$E$17,0),0)</f>
        <v>0</v>
      </c>
      <c r="BB27" s="67">
        <f>ROUND(-IF(BB$6=MAX(1,'Launch Readiness'!$E$6-1),'Launch Readiness'!$E$10,0)-IF(BB$6=MAX(1,'Launch Readiness'!$E$14-1),'Launch Readiness'!$E$17,0),0)</f>
        <v>0</v>
      </c>
      <c r="BC27" s="67">
        <f>ROUND(-IF(BC$6=MAX(1,'Launch Readiness'!$E$6-1),'Launch Readiness'!$E$10,0)-IF(BC$6=MAX(1,'Launch Readiness'!$E$14-1),'Launch Readiness'!$E$17,0),0)</f>
        <v>0</v>
      </c>
      <c r="BD27" s="67">
        <f>ROUND(-IF(BD$6=MAX(1,'Launch Readiness'!$E$6-1),'Launch Readiness'!$E$10,0)-IF(BD$6=MAX(1,'Launch Readiness'!$E$14-1),'Launch Readiness'!$E$17,0),0)</f>
        <v>0</v>
      </c>
      <c r="BE27" s="67">
        <f>ROUND(-IF(BE$6=MAX(1,'Launch Readiness'!$E$6-1),'Launch Readiness'!$E$10,0)-IF(BE$6=MAX(1,'Launch Readiness'!$E$14-1),'Launch Readiness'!$E$17,0),0)</f>
        <v>0</v>
      </c>
      <c r="BF27" s="67">
        <f>ROUND(-IF(BF$6=MAX(1,'Launch Readiness'!$E$6-1),'Launch Readiness'!$E$10,0)-IF(BF$6=MAX(1,'Launch Readiness'!$E$14-1),'Launch Readiness'!$E$17,0),0)</f>
        <v>0</v>
      </c>
      <c r="BG27" s="67">
        <f>ROUND(-IF(BG$6=MAX(1,'Launch Readiness'!$E$6-1),'Launch Readiness'!$E$10,0)-IF(BG$6=MAX(1,'Launch Readiness'!$E$14-1),'Launch Readiness'!$E$17,0),0)</f>
        <v>0</v>
      </c>
      <c r="BH27" s="67">
        <f>ROUND(-IF(BH$6=MAX(1,'Launch Readiness'!$E$6-1),'Launch Readiness'!$E$10,0)-IF(BH$6=MAX(1,'Launch Readiness'!$E$14-1),'Launch Readiness'!$E$17,0),0)</f>
        <v>0</v>
      </c>
      <c r="BI27" s="67">
        <f>ROUND(-IF(BI$6=MAX(1,'Launch Readiness'!$E$6-1),'Launch Readiness'!$E$10,0)-IF(BI$6=MAX(1,'Launch Readiness'!$E$14-1),'Launch Readiness'!$E$17,0),0)</f>
        <v>0</v>
      </c>
      <c r="BK27" s="33" t="s">
        <v>538</v>
      </c>
    </row>
    <row r="28" spans="1:63" ht="15" customHeight="1" x14ac:dyDescent="0.2">
      <c r="A28" s="24" t="s">
        <v>539</v>
      </c>
      <c r="B28" s="92">
        <f t="shared" ref="B28:AG28" si="14">ROUND(SUM(B26:B27),0)</f>
        <v>1259254</v>
      </c>
      <c r="C28" s="92">
        <f t="shared" si="14"/>
        <v>0</v>
      </c>
      <c r="D28" s="92">
        <f t="shared" si="14"/>
        <v>0</v>
      </c>
      <c r="E28" s="92">
        <f t="shared" si="14"/>
        <v>0</v>
      </c>
      <c r="F28" s="92">
        <f t="shared" si="14"/>
        <v>0</v>
      </c>
      <c r="G28" s="92">
        <f t="shared" si="14"/>
        <v>0</v>
      </c>
      <c r="H28" s="92">
        <f t="shared" si="14"/>
        <v>0</v>
      </c>
      <c r="I28" s="92">
        <f t="shared" si="14"/>
        <v>0</v>
      </c>
      <c r="J28" s="92">
        <f t="shared" si="14"/>
        <v>0</v>
      </c>
      <c r="K28" s="92">
        <f t="shared" si="14"/>
        <v>0</v>
      </c>
      <c r="L28" s="92">
        <f t="shared" si="14"/>
        <v>0</v>
      </c>
      <c r="M28" s="92">
        <f t="shared" si="14"/>
        <v>0</v>
      </c>
      <c r="N28" s="92">
        <f t="shared" si="14"/>
        <v>908073</v>
      </c>
      <c r="O28" s="92">
        <f t="shared" si="14"/>
        <v>0</v>
      </c>
      <c r="P28" s="92">
        <f t="shared" si="14"/>
        <v>0</v>
      </c>
      <c r="Q28" s="92">
        <f t="shared" si="14"/>
        <v>0</v>
      </c>
      <c r="R28" s="92">
        <f t="shared" si="14"/>
        <v>0</v>
      </c>
      <c r="S28" s="92">
        <f t="shared" si="14"/>
        <v>0</v>
      </c>
      <c r="T28" s="92">
        <f t="shared" si="14"/>
        <v>0</v>
      </c>
      <c r="U28" s="92">
        <f t="shared" si="14"/>
        <v>0</v>
      </c>
      <c r="V28" s="92">
        <f t="shared" si="14"/>
        <v>0</v>
      </c>
      <c r="W28" s="92">
        <f t="shared" si="14"/>
        <v>0</v>
      </c>
      <c r="X28" s="92">
        <f t="shared" si="14"/>
        <v>0</v>
      </c>
      <c r="Y28" s="92">
        <f t="shared" si="14"/>
        <v>0</v>
      </c>
      <c r="Z28" s="92">
        <f t="shared" si="14"/>
        <v>460389</v>
      </c>
      <c r="AA28" s="92">
        <f t="shared" si="14"/>
        <v>0</v>
      </c>
      <c r="AB28" s="92">
        <f t="shared" si="14"/>
        <v>0</v>
      </c>
      <c r="AC28" s="92">
        <f t="shared" si="14"/>
        <v>0</v>
      </c>
      <c r="AD28" s="92">
        <f t="shared" si="14"/>
        <v>0</v>
      </c>
      <c r="AE28" s="92">
        <f t="shared" si="14"/>
        <v>0</v>
      </c>
      <c r="AF28" s="92">
        <f t="shared" si="14"/>
        <v>0</v>
      </c>
      <c r="AG28" s="92">
        <f t="shared" si="14"/>
        <v>0</v>
      </c>
      <c r="AH28" s="92">
        <f t="shared" ref="AH28:BI28" si="15">ROUND(SUM(AH26:AH27),0)</f>
        <v>0</v>
      </c>
      <c r="AI28" s="92">
        <f t="shared" si="15"/>
        <v>0</v>
      </c>
      <c r="AJ28" s="92">
        <f t="shared" si="15"/>
        <v>0</v>
      </c>
      <c r="AK28" s="92">
        <f t="shared" si="15"/>
        <v>0</v>
      </c>
      <c r="AL28" s="92">
        <f t="shared" si="15"/>
        <v>212730</v>
      </c>
      <c r="AM28" s="92">
        <f t="shared" si="15"/>
        <v>0</v>
      </c>
      <c r="AN28" s="92">
        <f t="shared" si="15"/>
        <v>0</v>
      </c>
      <c r="AO28" s="92">
        <f t="shared" si="15"/>
        <v>0</v>
      </c>
      <c r="AP28" s="92">
        <f t="shared" si="15"/>
        <v>0</v>
      </c>
      <c r="AQ28" s="92">
        <f t="shared" si="15"/>
        <v>0</v>
      </c>
      <c r="AR28" s="92">
        <f t="shared" si="15"/>
        <v>0</v>
      </c>
      <c r="AS28" s="92">
        <f t="shared" si="15"/>
        <v>0</v>
      </c>
      <c r="AT28" s="92">
        <f t="shared" si="15"/>
        <v>0</v>
      </c>
      <c r="AU28" s="92">
        <f t="shared" si="15"/>
        <v>0</v>
      </c>
      <c r="AV28" s="92">
        <f t="shared" si="15"/>
        <v>0</v>
      </c>
      <c r="AW28" s="92">
        <f t="shared" si="15"/>
        <v>0</v>
      </c>
      <c r="AX28" s="92">
        <f t="shared" si="15"/>
        <v>0</v>
      </c>
      <c r="AY28" s="92">
        <f t="shared" si="15"/>
        <v>0</v>
      </c>
      <c r="AZ28" s="92">
        <f t="shared" si="15"/>
        <v>0</v>
      </c>
      <c r="BA28" s="92">
        <f t="shared" si="15"/>
        <v>0</v>
      </c>
      <c r="BB28" s="92">
        <f t="shared" si="15"/>
        <v>0</v>
      </c>
      <c r="BC28" s="92">
        <f t="shared" si="15"/>
        <v>0</v>
      </c>
      <c r="BD28" s="92">
        <f t="shared" si="15"/>
        <v>0</v>
      </c>
      <c r="BE28" s="92">
        <f t="shared" si="15"/>
        <v>0</v>
      </c>
      <c r="BF28" s="92">
        <f t="shared" si="15"/>
        <v>0</v>
      </c>
      <c r="BG28" s="92">
        <f t="shared" si="15"/>
        <v>0</v>
      </c>
      <c r="BH28" s="92">
        <f t="shared" si="15"/>
        <v>0</v>
      </c>
      <c r="BI28" s="92">
        <f t="shared" si="15"/>
        <v>0</v>
      </c>
    </row>
    <row r="29" spans="1:63" ht="8.1" customHeight="1" x14ac:dyDescent="0.2">
      <c r="A29" s="4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2"/>
      <c r="AJ29" s="62"/>
      <c r="AK29" s="62"/>
      <c r="AL29" s="62"/>
      <c r="AM29" s="62"/>
      <c r="AN29" s="62"/>
      <c r="AO29" s="62"/>
      <c r="AP29" s="62"/>
      <c r="AQ29" s="62"/>
      <c r="AR29" s="62"/>
      <c r="AS29" s="62"/>
      <c r="AT29" s="62"/>
      <c r="AU29" s="62"/>
      <c r="AV29" s="62"/>
      <c r="AW29" s="62"/>
      <c r="AX29" s="62"/>
      <c r="AY29" s="62"/>
      <c r="AZ29" s="62"/>
      <c r="BA29" s="62"/>
      <c r="BB29" s="62"/>
      <c r="BC29" s="62"/>
      <c r="BD29" s="62"/>
      <c r="BE29" s="62"/>
      <c r="BF29" s="62"/>
      <c r="BG29" s="62"/>
      <c r="BH29" s="62"/>
      <c r="BI29" s="62"/>
    </row>
    <row r="30" spans="1:63" ht="18.95" customHeight="1" x14ac:dyDescent="0.2">
      <c r="A30" s="5" t="s">
        <v>540</v>
      </c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</row>
    <row r="31" spans="1:63" ht="15" customHeight="1" x14ac:dyDescent="0.2">
      <c r="A31" s="12" t="s">
        <v>541</v>
      </c>
      <c r="B31" s="56">
        <f>0</f>
        <v>0</v>
      </c>
      <c r="C31" s="56">
        <f t="shared" ref="C31:AH31" si="16">B33</f>
        <v>1151649</v>
      </c>
      <c r="D31" s="56">
        <f t="shared" si="16"/>
        <v>1042090</v>
      </c>
      <c r="E31" s="56">
        <f t="shared" si="16"/>
        <v>932531</v>
      </c>
      <c r="F31" s="56">
        <f t="shared" si="16"/>
        <v>822972</v>
      </c>
      <c r="G31" s="56">
        <f t="shared" si="16"/>
        <v>713413</v>
      </c>
      <c r="H31" s="56">
        <f t="shared" si="16"/>
        <v>603854</v>
      </c>
      <c r="I31" s="56">
        <f t="shared" si="16"/>
        <v>534863</v>
      </c>
      <c r="J31" s="56">
        <f t="shared" si="16"/>
        <v>465872</v>
      </c>
      <c r="K31" s="56">
        <f t="shared" si="16"/>
        <v>396881</v>
      </c>
      <c r="L31" s="56">
        <f t="shared" si="16"/>
        <v>327890</v>
      </c>
      <c r="M31" s="56">
        <f t="shared" si="16"/>
        <v>258899</v>
      </c>
      <c r="N31" s="56">
        <f t="shared" si="16"/>
        <v>191027</v>
      </c>
      <c r="O31" s="56">
        <f t="shared" si="16"/>
        <v>998315</v>
      </c>
      <c r="P31" s="56">
        <f t="shared" si="16"/>
        <v>928793</v>
      </c>
      <c r="Q31" s="56">
        <f t="shared" si="16"/>
        <v>859271</v>
      </c>
      <c r="R31" s="56">
        <f t="shared" si="16"/>
        <v>789749</v>
      </c>
      <c r="S31" s="56">
        <f t="shared" si="16"/>
        <v>720227</v>
      </c>
      <c r="T31" s="56">
        <f t="shared" si="16"/>
        <v>608159</v>
      </c>
      <c r="U31" s="56">
        <f t="shared" si="16"/>
        <v>538637</v>
      </c>
      <c r="V31" s="56">
        <f t="shared" si="16"/>
        <v>469115</v>
      </c>
      <c r="W31" s="56">
        <f t="shared" si="16"/>
        <v>399593</v>
      </c>
      <c r="X31" s="56">
        <f t="shared" si="16"/>
        <v>330071</v>
      </c>
      <c r="Y31" s="56">
        <f t="shared" si="16"/>
        <v>260549</v>
      </c>
      <c r="Z31" s="56">
        <f t="shared" si="16"/>
        <v>191027</v>
      </c>
      <c r="AA31" s="56">
        <f t="shared" si="16"/>
        <v>539639</v>
      </c>
      <c r="AB31" s="56">
        <f t="shared" si="16"/>
        <v>509809</v>
      </c>
      <c r="AC31" s="56">
        <f t="shared" si="16"/>
        <v>479979</v>
      </c>
      <c r="AD31" s="56">
        <f t="shared" si="16"/>
        <v>450149</v>
      </c>
      <c r="AE31" s="56">
        <f t="shared" si="16"/>
        <v>420319</v>
      </c>
      <c r="AF31" s="56">
        <f t="shared" si="16"/>
        <v>387563</v>
      </c>
      <c r="AG31" s="56">
        <f t="shared" si="16"/>
        <v>354807</v>
      </c>
      <c r="AH31" s="56">
        <f t="shared" si="16"/>
        <v>322051</v>
      </c>
      <c r="AI31" s="56">
        <f t="shared" ref="AI31:BI31" si="17">AH33</f>
        <v>289295</v>
      </c>
      <c r="AJ31" s="56">
        <f t="shared" si="17"/>
        <v>256539</v>
      </c>
      <c r="AK31" s="56">
        <f t="shared" si="17"/>
        <v>223783</v>
      </c>
      <c r="AL31" s="56">
        <f t="shared" si="17"/>
        <v>191027</v>
      </c>
      <c r="AM31" s="56">
        <f t="shared" si="17"/>
        <v>191027</v>
      </c>
      <c r="AN31" s="56">
        <f t="shared" si="17"/>
        <v>607862</v>
      </c>
      <c r="AO31" s="56">
        <f t="shared" si="17"/>
        <v>1024697</v>
      </c>
      <c r="AP31" s="56">
        <f t="shared" si="17"/>
        <v>1441532</v>
      </c>
      <c r="AQ31" s="56">
        <f t="shared" si="17"/>
        <v>1858367</v>
      </c>
      <c r="AR31" s="56">
        <f t="shared" si="17"/>
        <v>2275202</v>
      </c>
      <c r="AS31" s="56">
        <f t="shared" si="17"/>
        <v>2692037</v>
      </c>
      <c r="AT31" s="56">
        <f t="shared" si="17"/>
        <v>3108872</v>
      </c>
      <c r="AU31" s="56">
        <f t="shared" si="17"/>
        <v>3525707</v>
      </c>
      <c r="AV31" s="56">
        <f t="shared" si="17"/>
        <v>3942542</v>
      </c>
      <c r="AW31" s="56">
        <f t="shared" si="17"/>
        <v>4359377</v>
      </c>
      <c r="AX31" s="56">
        <f t="shared" si="17"/>
        <v>4776212</v>
      </c>
      <c r="AY31" s="56">
        <f t="shared" si="17"/>
        <v>5014802</v>
      </c>
      <c r="AZ31" s="56">
        <f t="shared" si="17"/>
        <v>5994219</v>
      </c>
      <c r="BA31" s="56">
        <f t="shared" si="17"/>
        <v>6973636</v>
      </c>
      <c r="BB31" s="56">
        <f t="shared" si="17"/>
        <v>7953053</v>
      </c>
      <c r="BC31" s="56">
        <f t="shared" si="17"/>
        <v>8932470</v>
      </c>
      <c r="BD31" s="56">
        <f t="shared" si="17"/>
        <v>9911887</v>
      </c>
      <c r="BE31" s="56">
        <f t="shared" si="17"/>
        <v>10891304</v>
      </c>
      <c r="BF31" s="56">
        <f t="shared" si="17"/>
        <v>11870721</v>
      </c>
      <c r="BG31" s="56">
        <f t="shared" si="17"/>
        <v>12850138</v>
      </c>
      <c r="BH31" s="56">
        <f t="shared" si="17"/>
        <v>13829555</v>
      </c>
      <c r="BI31" s="56">
        <f t="shared" si="17"/>
        <v>14808972</v>
      </c>
    </row>
    <row r="32" spans="1:63" ht="15" customHeight="1" x14ac:dyDescent="0.2">
      <c r="A32" s="24" t="s">
        <v>542</v>
      </c>
      <c r="B32" s="92">
        <f t="shared" ref="B32:AG32" si="18">ROUND(B19+B23+B28,0)</f>
        <v>1151649</v>
      </c>
      <c r="C32" s="92">
        <f t="shared" si="18"/>
        <v>-109559</v>
      </c>
      <c r="D32" s="92">
        <f t="shared" si="18"/>
        <v>-109559</v>
      </c>
      <c r="E32" s="92">
        <f t="shared" si="18"/>
        <v>-109559</v>
      </c>
      <c r="F32" s="92">
        <f t="shared" si="18"/>
        <v>-109559</v>
      </c>
      <c r="G32" s="92">
        <f t="shared" si="18"/>
        <v>-109559</v>
      </c>
      <c r="H32" s="92">
        <f t="shared" si="18"/>
        <v>-68991</v>
      </c>
      <c r="I32" s="92">
        <f t="shared" si="18"/>
        <v>-68991</v>
      </c>
      <c r="J32" s="92">
        <f t="shared" si="18"/>
        <v>-68991</v>
      </c>
      <c r="K32" s="92">
        <f t="shared" si="18"/>
        <v>-68991</v>
      </c>
      <c r="L32" s="92">
        <f t="shared" si="18"/>
        <v>-68991</v>
      </c>
      <c r="M32" s="92">
        <f t="shared" si="18"/>
        <v>-67872</v>
      </c>
      <c r="N32" s="92">
        <f t="shared" si="18"/>
        <v>807288</v>
      </c>
      <c r="O32" s="92">
        <f t="shared" si="18"/>
        <v>-69522</v>
      </c>
      <c r="P32" s="92">
        <f t="shared" si="18"/>
        <v>-69522</v>
      </c>
      <c r="Q32" s="92">
        <f t="shared" si="18"/>
        <v>-69522</v>
      </c>
      <c r="R32" s="92">
        <f t="shared" si="18"/>
        <v>-69522</v>
      </c>
      <c r="S32" s="92">
        <f t="shared" si="18"/>
        <v>-112068</v>
      </c>
      <c r="T32" s="92">
        <f t="shared" si="18"/>
        <v>-69522</v>
      </c>
      <c r="U32" s="92">
        <f t="shared" si="18"/>
        <v>-69522</v>
      </c>
      <c r="V32" s="92">
        <f t="shared" si="18"/>
        <v>-69522</v>
      </c>
      <c r="W32" s="92">
        <f t="shared" si="18"/>
        <v>-69522</v>
      </c>
      <c r="X32" s="92">
        <f t="shared" si="18"/>
        <v>-69522</v>
      </c>
      <c r="Y32" s="92">
        <f t="shared" si="18"/>
        <v>-69522</v>
      </c>
      <c r="Z32" s="92">
        <f t="shared" si="18"/>
        <v>348612</v>
      </c>
      <c r="AA32" s="92">
        <f t="shared" si="18"/>
        <v>-29830</v>
      </c>
      <c r="AB32" s="92">
        <f t="shared" si="18"/>
        <v>-29830</v>
      </c>
      <c r="AC32" s="92">
        <f t="shared" si="18"/>
        <v>-29830</v>
      </c>
      <c r="AD32" s="92">
        <f t="shared" si="18"/>
        <v>-29830</v>
      </c>
      <c r="AE32" s="92">
        <f t="shared" si="18"/>
        <v>-32756</v>
      </c>
      <c r="AF32" s="92">
        <f t="shared" si="18"/>
        <v>-32756</v>
      </c>
      <c r="AG32" s="92">
        <f t="shared" si="18"/>
        <v>-32756</v>
      </c>
      <c r="AH32" s="92">
        <f t="shared" ref="AH32:BI32" si="19">ROUND(AH19+AH23+AH28,0)</f>
        <v>-32756</v>
      </c>
      <c r="AI32" s="92">
        <f t="shared" si="19"/>
        <v>-32756</v>
      </c>
      <c r="AJ32" s="92">
        <f t="shared" si="19"/>
        <v>-32756</v>
      </c>
      <c r="AK32" s="92">
        <f t="shared" si="19"/>
        <v>-32756</v>
      </c>
      <c r="AL32" s="92">
        <f t="shared" si="19"/>
        <v>0</v>
      </c>
      <c r="AM32" s="92">
        <f t="shared" si="19"/>
        <v>416835</v>
      </c>
      <c r="AN32" s="92">
        <f t="shared" si="19"/>
        <v>416835</v>
      </c>
      <c r="AO32" s="92">
        <f t="shared" si="19"/>
        <v>416835</v>
      </c>
      <c r="AP32" s="92">
        <f t="shared" si="19"/>
        <v>416835</v>
      </c>
      <c r="AQ32" s="92">
        <f t="shared" si="19"/>
        <v>416835</v>
      </c>
      <c r="AR32" s="92">
        <f t="shared" si="19"/>
        <v>416835</v>
      </c>
      <c r="AS32" s="92">
        <f t="shared" si="19"/>
        <v>416835</v>
      </c>
      <c r="AT32" s="92">
        <f t="shared" si="19"/>
        <v>416835</v>
      </c>
      <c r="AU32" s="92">
        <f t="shared" si="19"/>
        <v>416835</v>
      </c>
      <c r="AV32" s="92">
        <f t="shared" si="19"/>
        <v>416835</v>
      </c>
      <c r="AW32" s="92">
        <f t="shared" si="19"/>
        <v>416835</v>
      </c>
      <c r="AX32" s="92">
        <f t="shared" si="19"/>
        <v>238590</v>
      </c>
      <c r="AY32" s="92">
        <f t="shared" si="19"/>
        <v>979417</v>
      </c>
      <c r="AZ32" s="92">
        <f t="shared" si="19"/>
        <v>979417</v>
      </c>
      <c r="BA32" s="92">
        <f t="shared" si="19"/>
        <v>979417</v>
      </c>
      <c r="BB32" s="92">
        <f t="shared" si="19"/>
        <v>979417</v>
      </c>
      <c r="BC32" s="92">
        <f t="shared" si="19"/>
        <v>979417</v>
      </c>
      <c r="BD32" s="92">
        <f t="shared" si="19"/>
        <v>979417</v>
      </c>
      <c r="BE32" s="92">
        <f t="shared" si="19"/>
        <v>979417</v>
      </c>
      <c r="BF32" s="92">
        <f t="shared" si="19"/>
        <v>979417</v>
      </c>
      <c r="BG32" s="92">
        <f t="shared" si="19"/>
        <v>979417</v>
      </c>
      <c r="BH32" s="92">
        <f t="shared" si="19"/>
        <v>979417</v>
      </c>
      <c r="BI32" s="92">
        <f t="shared" si="19"/>
        <v>979417</v>
      </c>
    </row>
    <row r="33" spans="1:63" ht="15" customHeight="1" x14ac:dyDescent="0.2">
      <c r="A33" s="24" t="s">
        <v>543</v>
      </c>
      <c r="B33" s="92">
        <f t="shared" ref="B33:AG33" si="20">ROUND(B31+B32,0)</f>
        <v>1151649</v>
      </c>
      <c r="C33" s="92">
        <f t="shared" si="20"/>
        <v>1042090</v>
      </c>
      <c r="D33" s="92">
        <f t="shared" si="20"/>
        <v>932531</v>
      </c>
      <c r="E33" s="92">
        <f t="shared" si="20"/>
        <v>822972</v>
      </c>
      <c r="F33" s="92">
        <f t="shared" si="20"/>
        <v>713413</v>
      </c>
      <c r="G33" s="92">
        <f t="shared" si="20"/>
        <v>603854</v>
      </c>
      <c r="H33" s="92">
        <f t="shared" si="20"/>
        <v>534863</v>
      </c>
      <c r="I33" s="92">
        <f t="shared" si="20"/>
        <v>465872</v>
      </c>
      <c r="J33" s="92">
        <f t="shared" si="20"/>
        <v>396881</v>
      </c>
      <c r="K33" s="92">
        <f t="shared" si="20"/>
        <v>327890</v>
      </c>
      <c r="L33" s="92">
        <f t="shared" si="20"/>
        <v>258899</v>
      </c>
      <c r="M33" s="92">
        <f t="shared" si="20"/>
        <v>191027</v>
      </c>
      <c r="N33" s="92">
        <f t="shared" si="20"/>
        <v>998315</v>
      </c>
      <c r="O33" s="92">
        <f t="shared" si="20"/>
        <v>928793</v>
      </c>
      <c r="P33" s="92">
        <f t="shared" si="20"/>
        <v>859271</v>
      </c>
      <c r="Q33" s="92">
        <f t="shared" si="20"/>
        <v>789749</v>
      </c>
      <c r="R33" s="92">
        <f t="shared" si="20"/>
        <v>720227</v>
      </c>
      <c r="S33" s="92">
        <f t="shared" si="20"/>
        <v>608159</v>
      </c>
      <c r="T33" s="92">
        <f t="shared" si="20"/>
        <v>538637</v>
      </c>
      <c r="U33" s="92">
        <f t="shared" si="20"/>
        <v>469115</v>
      </c>
      <c r="V33" s="92">
        <f t="shared" si="20"/>
        <v>399593</v>
      </c>
      <c r="W33" s="92">
        <f t="shared" si="20"/>
        <v>330071</v>
      </c>
      <c r="X33" s="92">
        <f t="shared" si="20"/>
        <v>260549</v>
      </c>
      <c r="Y33" s="92">
        <f t="shared" si="20"/>
        <v>191027</v>
      </c>
      <c r="Z33" s="92">
        <f t="shared" si="20"/>
        <v>539639</v>
      </c>
      <c r="AA33" s="92">
        <f t="shared" si="20"/>
        <v>509809</v>
      </c>
      <c r="AB33" s="92">
        <f t="shared" si="20"/>
        <v>479979</v>
      </c>
      <c r="AC33" s="92">
        <f t="shared" si="20"/>
        <v>450149</v>
      </c>
      <c r="AD33" s="92">
        <f t="shared" si="20"/>
        <v>420319</v>
      </c>
      <c r="AE33" s="92">
        <f t="shared" si="20"/>
        <v>387563</v>
      </c>
      <c r="AF33" s="92">
        <f t="shared" si="20"/>
        <v>354807</v>
      </c>
      <c r="AG33" s="92">
        <f t="shared" si="20"/>
        <v>322051</v>
      </c>
      <c r="AH33" s="92">
        <f t="shared" ref="AH33:BI33" si="21">ROUND(AH31+AH32,0)</f>
        <v>289295</v>
      </c>
      <c r="AI33" s="92">
        <f t="shared" si="21"/>
        <v>256539</v>
      </c>
      <c r="AJ33" s="92">
        <f t="shared" si="21"/>
        <v>223783</v>
      </c>
      <c r="AK33" s="92">
        <f t="shared" si="21"/>
        <v>191027</v>
      </c>
      <c r="AL33" s="92">
        <f t="shared" si="21"/>
        <v>191027</v>
      </c>
      <c r="AM33" s="92">
        <f t="shared" si="21"/>
        <v>607862</v>
      </c>
      <c r="AN33" s="92">
        <f t="shared" si="21"/>
        <v>1024697</v>
      </c>
      <c r="AO33" s="92">
        <f t="shared" si="21"/>
        <v>1441532</v>
      </c>
      <c r="AP33" s="92">
        <f t="shared" si="21"/>
        <v>1858367</v>
      </c>
      <c r="AQ33" s="92">
        <f t="shared" si="21"/>
        <v>2275202</v>
      </c>
      <c r="AR33" s="92">
        <f t="shared" si="21"/>
        <v>2692037</v>
      </c>
      <c r="AS33" s="92">
        <f t="shared" si="21"/>
        <v>3108872</v>
      </c>
      <c r="AT33" s="92">
        <f t="shared" si="21"/>
        <v>3525707</v>
      </c>
      <c r="AU33" s="92">
        <f t="shared" si="21"/>
        <v>3942542</v>
      </c>
      <c r="AV33" s="92">
        <f t="shared" si="21"/>
        <v>4359377</v>
      </c>
      <c r="AW33" s="92">
        <f t="shared" si="21"/>
        <v>4776212</v>
      </c>
      <c r="AX33" s="92">
        <f t="shared" si="21"/>
        <v>5014802</v>
      </c>
      <c r="AY33" s="92">
        <f t="shared" si="21"/>
        <v>5994219</v>
      </c>
      <c r="AZ33" s="92">
        <f t="shared" si="21"/>
        <v>6973636</v>
      </c>
      <c r="BA33" s="92">
        <f t="shared" si="21"/>
        <v>7953053</v>
      </c>
      <c r="BB33" s="92">
        <f t="shared" si="21"/>
        <v>8932470</v>
      </c>
      <c r="BC33" s="92">
        <f t="shared" si="21"/>
        <v>9911887</v>
      </c>
      <c r="BD33" s="92">
        <f t="shared" si="21"/>
        <v>10891304</v>
      </c>
      <c r="BE33" s="92">
        <f t="shared" si="21"/>
        <v>11870721</v>
      </c>
      <c r="BF33" s="92">
        <f t="shared" si="21"/>
        <v>12850138</v>
      </c>
      <c r="BG33" s="92">
        <f t="shared" si="21"/>
        <v>13829555</v>
      </c>
      <c r="BH33" s="92">
        <f t="shared" si="21"/>
        <v>14808972</v>
      </c>
      <c r="BI33" s="92">
        <f t="shared" si="21"/>
        <v>15788389</v>
      </c>
    </row>
    <row r="34" spans="1:63" ht="15" customHeight="1" x14ac:dyDescent="0.2">
      <c r="A34" s="12" t="s">
        <v>544</v>
      </c>
      <c r="B34" s="56">
        <f>ROUND(-SUM($B$27:B$27),0)</f>
        <v>0</v>
      </c>
      <c r="C34" s="56">
        <f t="shared" ref="C34:AH34" si="22">ROUND(-SUM($B$27:C$27),0)</f>
        <v>0</v>
      </c>
      <c r="D34" s="56">
        <f t="shared" si="22"/>
        <v>0</v>
      </c>
      <c r="E34" s="56">
        <f t="shared" si="22"/>
        <v>0</v>
      </c>
      <c r="F34" s="56">
        <f t="shared" si="22"/>
        <v>0</v>
      </c>
      <c r="G34" s="56">
        <f t="shared" si="22"/>
        <v>0</v>
      </c>
      <c r="H34" s="56">
        <f t="shared" si="22"/>
        <v>0</v>
      </c>
      <c r="I34" s="56">
        <f t="shared" si="22"/>
        <v>0</v>
      </c>
      <c r="J34" s="56">
        <f t="shared" si="22"/>
        <v>0</v>
      </c>
      <c r="K34" s="56">
        <f t="shared" si="22"/>
        <v>0</v>
      </c>
      <c r="L34" s="56">
        <f t="shared" si="22"/>
        <v>0</v>
      </c>
      <c r="M34" s="56">
        <f t="shared" si="22"/>
        <v>0</v>
      </c>
      <c r="N34" s="56">
        <f t="shared" si="22"/>
        <v>0</v>
      </c>
      <c r="O34" s="56">
        <f t="shared" si="22"/>
        <v>0</v>
      </c>
      <c r="P34" s="56">
        <f t="shared" si="22"/>
        <v>0</v>
      </c>
      <c r="Q34" s="56">
        <f t="shared" si="22"/>
        <v>0</v>
      </c>
      <c r="R34" s="56">
        <f t="shared" si="22"/>
        <v>0</v>
      </c>
      <c r="S34" s="56">
        <f t="shared" si="22"/>
        <v>0</v>
      </c>
      <c r="T34" s="56">
        <f t="shared" si="22"/>
        <v>0</v>
      </c>
      <c r="U34" s="56">
        <f t="shared" si="22"/>
        <v>0</v>
      </c>
      <c r="V34" s="56">
        <f t="shared" si="22"/>
        <v>0</v>
      </c>
      <c r="W34" s="56">
        <f t="shared" si="22"/>
        <v>0</v>
      </c>
      <c r="X34" s="56">
        <f t="shared" si="22"/>
        <v>0</v>
      </c>
      <c r="Y34" s="56">
        <f t="shared" si="22"/>
        <v>0</v>
      </c>
      <c r="Z34" s="56">
        <f t="shared" si="22"/>
        <v>0</v>
      </c>
      <c r="AA34" s="56">
        <f t="shared" si="22"/>
        <v>0</v>
      </c>
      <c r="AB34" s="56">
        <f t="shared" si="22"/>
        <v>0</v>
      </c>
      <c r="AC34" s="56">
        <f t="shared" si="22"/>
        <v>0</v>
      </c>
      <c r="AD34" s="56">
        <f t="shared" si="22"/>
        <v>319095</v>
      </c>
      <c r="AE34" s="56">
        <f t="shared" si="22"/>
        <v>319095</v>
      </c>
      <c r="AF34" s="56">
        <f t="shared" si="22"/>
        <v>319095</v>
      </c>
      <c r="AG34" s="56">
        <f t="shared" si="22"/>
        <v>319095</v>
      </c>
      <c r="AH34" s="56">
        <f t="shared" si="22"/>
        <v>319095</v>
      </c>
      <c r="AI34" s="56">
        <f t="shared" ref="AI34:BI34" si="23">ROUND(-SUM($B$27:AI$27),0)</f>
        <v>319095</v>
      </c>
      <c r="AJ34" s="56">
        <f t="shared" si="23"/>
        <v>319095</v>
      </c>
      <c r="AK34" s="56">
        <f t="shared" si="23"/>
        <v>319095</v>
      </c>
      <c r="AL34" s="56">
        <f t="shared" si="23"/>
        <v>319095</v>
      </c>
      <c r="AM34" s="56">
        <f t="shared" si="23"/>
        <v>319095</v>
      </c>
      <c r="AN34" s="56">
        <f t="shared" si="23"/>
        <v>319095</v>
      </c>
      <c r="AO34" s="56">
        <f t="shared" si="23"/>
        <v>319095</v>
      </c>
      <c r="AP34" s="56">
        <f t="shared" si="23"/>
        <v>319095</v>
      </c>
      <c r="AQ34" s="56">
        <f t="shared" si="23"/>
        <v>319095</v>
      </c>
      <c r="AR34" s="56">
        <f t="shared" si="23"/>
        <v>319095</v>
      </c>
      <c r="AS34" s="56">
        <f t="shared" si="23"/>
        <v>319095</v>
      </c>
      <c r="AT34" s="56">
        <f t="shared" si="23"/>
        <v>319095</v>
      </c>
      <c r="AU34" s="56">
        <f t="shared" si="23"/>
        <v>319095</v>
      </c>
      <c r="AV34" s="56">
        <f t="shared" si="23"/>
        <v>319095</v>
      </c>
      <c r="AW34" s="56">
        <f t="shared" si="23"/>
        <v>319095</v>
      </c>
      <c r="AX34" s="56">
        <f t="shared" si="23"/>
        <v>319095</v>
      </c>
      <c r="AY34" s="56">
        <f t="shared" si="23"/>
        <v>319095</v>
      </c>
      <c r="AZ34" s="56">
        <f t="shared" si="23"/>
        <v>319095</v>
      </c>
      <c r="BA34" s="56">
        <f t="shared" si="23"/>
        <v>319095</v>
      </c>
      <c r="BB34" s="56">
        <f t="shared" si="23"/>
        <v>319095</v>
      </c>
      <c r="BC34" s="56">
        <f t="shared" si="23"/>
        <v>319095</v>
      </c>
      <c r="BD34" s="56">
        <f t="shared" si="23"/>
        <v>319095</v>
      </c>
      <c r="BE34" s="56">
        <f t="shared" si="23"/>
        <v>319095</v>
      </c>
      <c r="BF34" s="56">
        <f t="shared" si="23"/>
        <v>319095</v>
      </c>
      <c r="BG34" s="56">
        <f t="shared" si="23"/>
        <v>319095</v>
      </c>
      <c r="BH34" s="56">
        <f t="shared" si="23"/>
        <v>319095</v>
      </c>
      <c r="BI34" s="56">
        <f t="shared" si="23"/>
        <v>319095</v>
      </c>
    </row>
    <row r="35" spans="1:63" ht="15" customHeight="1" x14ac:dyDescent="0.2">
      <c r="A35" s="24" t="s">
        <v>545</v>
      </c>
      <c r="B35" s="92">
        <f t="shared" ref="B35:AG35" si="24">ROUND(B33+B34,0)</f>
        <v>1151649</v>
      </c>
      <c r="C35" s="92">
        <f t="shared" si="24"/>
        <v>1042090</v>
      </c>
      <c r="D35" s="92">
        <f t="shared" si="24"/>
        <v>932531</v>
      </c>
      <c r="E35" s="92">
        <f t="shared" si="24"/>
        <v>822972</v>
      </c>
      <c r="F35" s="92">
        <f t="shared" si="24"/>
        <v>713413</v>
      </c>
      <c r="G35" s="92">
        <f t="shared" si="24"/>
        <v>603854</v>
      </c>
      <c r="H35" s="92">
        <f t="shared" si="24"/>
        <v>534863</v>
      </c>
      <c r="I35" s="92">
        <f t="shared" si="24"/>
        <v>465872</v>
      </c>
      <c r="J35" s="92">
        <f t="shared" si="24"/>
        <v>396881</v>
      </c>
      <c r="K35" s="92">
        <f t="shared" si="24"/>
        <v>327890</v>
      </c>
      <c r="L35" s="92">
        <f t="shared" si="24"/>
        <v>258899</v>
      </c>
      <c r="M35" s="92">
        <f t="shared" si="24"/>
        <v>191027</v>
      </c>
      <c r="N35" s="92">
        <f t="shared" si="24"/>
        <v>998315</v>
      </c>
      <c r="O35" s="92">
        <f t="shared" si="24"/>
        <v>928793</v>
      </c>
      <c r="P35" s="92">
        <f t="shared" si="24"/>
        <v>859271</v>
      </c>
      <c r="Q35" s="92">
        <f t="shared" si="24"/>
        <v>789749</v>
      </c>
      <c r="R35" s="92">
        <f t="shared" si="24"/>
        <v>720227</v>
      </c>
      <c r="S35" s="92">
        <f t="shared" si="24"/>
        <v>608159</v>
      </c>
      <c r="T35" s="92">
        <f t="shared" si="24"/>
        <v>538637</v>
      </c>
      <c r="U35" s="92">
        <f t="shared" si="24"/>
        <v>469115</v>
      </c>
      <c r="V35" s="92">
        <f t="shared" si="24"/>
        <v>399593</v>
      </c>
      <c r="W35" s="92">
        <f t="shared" si="24"/>
        <v>330071</v>
      </c>
      <c r="X35" s="92">
        <f t="shared" si="24"/>
        <v>260549</v>
      </c>
      <c r="Y35" s="92">
        <f t="shared" si="24"/>
        <v>191027</v>
      </c>
      <c r="Z35" s="92">
        <f t="shared" si="24"/>
        <v>539639</v>
      </c>
      <c r="AA35" s="92">
        <f t="shared" si="24"/>
        <v>509809</v>
      </c>
      <c r="AB35" s="92">
        <f t="shared" si="24"/>
        <v>479979</v>
      </c>
      <c r="AC35" s="92">
        <f t="shared" si="24"/>
        <v>450149</v>
      </c>
      <c r="AD35" s="92">
        <f t="shared" si="24"/>
        <v>739414</v>
      </c>
      <c r="AE35" s="92">
        <f t="shared" si="24"/>
        <v>706658</v>
      </c>
      <c r="AF35" s="92">
        <f t="shared" si="24"/>
        <v>673902</v>
      </c>
      <c r="AG35" s="92">
        <f t="shared" si="24"/>
        <v>641146</v>
      </c>
      <c r="AH35" s="92">
        <f t="shared" ref="AH35:BI35" si="25">ROUND(AH33+AH34,0)</f>
        <v>608390</v>
      </c>
      <c r="AI35" s="92">
        <f t="shared" si="25"/>
        <v>575634</v>
      </c>
      <c r="AJ35" s="92">
        <f t="shared" si="25"/>
        <v>542878</v>
      </c>
      <c r="AK35" s="92">
        <f t="shared" si="25"/>
        <v>510122</v>
      </c>
      <c r="AL35" s="92">
        <f t="shared" si="25"/>
        <v>510122</v>
      </c>
      <c r="AM35" s="92">
        <f t="shared" si="25"/>
        <v>926957</v>
      </c>
      <c r="AN35" s="92">
        <f t="shared" si="25"/>
        <v>1343792</v>
      </c>
      <c r="AO35" s="92">
        <f t="shared" si="25"/>
        <v>1760627</v>
      </c>
      <c r="AP35" s="92">
        <f t="shared" si="25"/>
        <v>2177462</v>
      </c>
      <c r="AQ35" s="92">
        <f t="shared" si="25"/>
        <v>2594297</v>
      </c>
      <c r="AR35" s="92">
        <f t="shared" si="25"/>
        <v>3011132</v>
      </c>
      <c r="AS35" s="92">
        <f t="shared" si="25"/>
        <v>3427967</v>
      </c>
      <c r="AT35" s="92">
        <f t="shared" si="25"/>
        <v>3844802</v>
      </c>
      <c r="AU35" s="92">
        <f t="shared" si="25"/>
        <v>4261637</v>
      </c>
      <c r="AV35" s="92">
        <f t="shared" si="25"/>
        <v>4678472</v>
      </c>
      <c r="AW35" s="92">
        <f t="shared" si="25"/>
        <v>5095307</v>
      </c>
      <c r="AX35" s="92">
        <f t="shared" si="25"/>
        <v>5333897</v>
      </c>
      <c r="AY35" s="92">
        <f t="shared" si="25"/>
        <v>6313314</v>
      </c>
      <c r="AZ35" s="92">
        <f t="shared" si="25"/>
        <v>7292731</v>
      </c>
      <c r="BA35" s="92">
        <f t="shared" si="25"/>
        <v>8272148</v>
      </c>
      <c r="BB35" s="92">
        <f t="shared" si="25"/>
        <v>9251565</v>
      </c>
      <c r="BC35" s="92">
        <f t="shared" si="25"/>
        <v>10230982</v>
      </c>
      <c r="BD35" s="92">
        <f t="shared" si="25"/>
        <v>11210399</v>
      </c>
      <c r="BE35" s="92">
        <f t="shared" si="25"/>
        <v>12189816</v>
      </c>
      <c r="BF35" s="92">
        <f t="shared" si="25"/>
        <v>13169233</v>
      </c>
      <c r="BG35" s="92">
        <f t="shared" si="25"/>
        <v>14148650</v>
      </c>
      <c r="BH35" s="92">
        <f t="shared" si="25"/>
        <v>15128067</v>
      </c>
      <c r="BI35" s="92">
        <f t="shared" si="25"/>
        <v>16107484</v>
      </c>
    </row>
    <row r="36" spans="1:63" ht="8.1" customHeight="1" x14ac:dyDescent="0.2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</row>
    <row r="37" spans="1:63" ht="18.95" customHeight="1" x14ac:dyDescent="0.2">
      <c r="A37" s="5" t="s">
        <v>546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</row>
    <row r="38" spans="1:63" ht="15" customHeight="1" x14ac:dyDescent="0.2">
      <c r="A38" s="24" t="s">
        <v>547</v>
      </c>
      <c r="B38" s="92">
        <f>ROUND(B19+B23,0)</f>
        <v>-107605</v>
      </c>
      <c r="C38" s="92">
        <f t="shared" ref="C38:AH38" si="26">ROUND(B38+C19+C23,0)</f>
        <v>-217164</v>
      </c>
      <c r="D38" s="92">
        <f t="shared" si="26"/>
        <v>-326723</v>
      </c>
      <c r="E38" s="92">
        <f t="shared" si="26"/>
        <v>-436282</v>
      </c>
      <c r="F38" s="92">
        <f t="shared" si="26"/>
        <v>-545841</v>
      </c>
      <c r="G38" s="92">
        <f t="shared" si="26"/>
        <v>-655400</v>
      </c>
      <c r="H38" s="92">
        <f t="shared" si="26"/>
        <v>-724391</v>
      </c>
      <c r="I38" s="92">
        <f t="shared" si="26"/>
        <v>-793382</v>
      </c>
      <c r="J38" s="92">
        <f t="shared" si="26"/>
        <v>-862373</v>
      </c>
      <c r="K38" s="92">
        <f t="shared" si="26"/>
        <v>-931364</v>
      </c>
      <c r="L38" s="92">
        <f t="shared" si="26"/>
        <v>-1000355</v>
      </c>
      <c r="M38" s="92">
        <f t="shared" si="26"/>
        <v>-1068227</v>
      </c>
      <c r="N38" s="92">
        <f t="shared" si="26"/>
        <v>-1169012</v>
      </c>
      <c r="O38" s="92">
        <f t="shared" si="26"/>
        <v>-1238534</v>
      </c>
      <c r="P38" s="92">
        <f t="shared" si="26"/>
        <v>-1308056</v>
      </c>
      <c r="Q38" s="92">
        <f t="shared" si="26"/>
        <v>-1377578</v>
      </c>
      <c r="R38" s="92">
        <f t="shared" si="26"/>
        <v>-1447100</v>
      </c>
      <c r="S38" s="92">
        <f t="shared" si="26"/>
        <v>-1559168</v>
      </c>
      <c r="T38" s="92">
        <f t="shared" si="26"/>
        <v>-1628690</v>
      </c>
      <c r="U38" s="92">
        <f t="shared" si="26"/>
        <v>-1698212</v>
      </c>
      <c r="V38" s="92">
        <f t="shared" si="26"/>
        <v>-1767734</v>
      </c>
      <c r="W38" s="92">
        <f t="shared" si="26"/>
        <v>-1837256</v>
      </c>
      <c r="X38" s="92">
        <f t="shared" si="26"/>
        <v>-1906778</v>
      </c>
      <c r="Y38" s="92">
        <f t="shared" si="26"/>
        <v>-1976300</v>
      </c>
      <c r="Z38" s="92">
        <f t="shared" si="26"/>
        <v>-2088077</v>
      </c>
      <c r="AA38" s="92">
        <f t="shared" si="26"/>
        <v>-2117907</v>
      </c>
      <c r="AB38" s="92">
        <f t="shared" si="26"/>
        <v>-2147737</v>
      </c>
      <c r="AC38" s="92">
        <f t="shared" si="26"/>
        <v>-2177567</v>
      </c>
      <c r="AD38" s="92">
        <f t="shared" si="26"/>
        <v>-2207397</v>
      </c>
      <c r="AE38" s="92">
        <f t="shared" si="26"/>
        <v>-2240153</v>
      </c>
      <c r="AF38" s="92">
        <f t="shared" si="26"/>
        <v>-2272909</v>
      </c>
      <c r="AG38" s="92">
        <f t="shared" si="26"/>
        <v>-2305665</v>
      </c>
      <c r="AH38" s="92">
        <f t="shared" si="26"/>
        <v>-2338421</v>
      </c>
      <c r="AI38" s="92">
        <f t="shared" ref="AI38:BI38" si="27">ROUND(AH38+AI19+AI23,0)</f>
        <v>-2371177</v>
      </c>
      <c r="AJ38" s="92">
        <f t="shared" si="27"/>
        <v>-2403933</v>
      </c>
      <c r="AK38" s="92">
        <f t="shared" si="27"/>
        <v>-2436689</v>
      </c>
      <c r="AL38" s="92">
        <f t="shared" si="27"/>
        <v>-2649419</v>
      </c>
      <c r="AM38" s="92">
        <f t="shared" si="27"/>
        <v>-2232584</v>
      </c>
      <c r="AN38" s="92">
        <f t="shared" si="27"/>
        <v>-1815749</v>
      </c>
      <c r="AO38" s="92">
        <f t="shared" si="27"/>
        <v>-1398914</v>
      </c>
      <c r="AP38" s="92">
        <f t="shared" si="27"/>
        <v>-982079</v>
      </c>
      <c r="AQ38" s="92">
        <f t="shared" si="27"/>
        <v>-565244</v>
      </c>
      <c r="AR38" s="92">
        <f t="shared" si="27"/>
        <v>-148409</v>
      </c>
      <c r="AS38" s="92">
        <f t="shared" si="27"/>
        <v>268426</v>
      </c>
      <c r="AT38" s="92">
        <f t="shared" si="27"/>
        <v>685261</v>
      </c>
      <c r="AU38" s="92">
        <f t="shared" si="27"/>
        <v>1102096</v>
      </c>
      <c r="AV38" s="92">
        <f t="shared" si="27"/>
        <v>1518931</v>
      </c>
      <c r="AW38" s="92">
        <f t="shared" si="27"/>
        <v>1935766</v>
      </c>
      <c r="AX38" s="92">
        <f t="shared" si="27"/>
        <v>2174356</v>
      </c>
      <c r="AY38" s="92">
        <f t="shared" si="27"/>
        <v>3153773</v>
      </c>
      <c r="AZ38" s="92">
        <f t="shared" si="27"/>
        <v>4133190</v>
      </c>
      <c r="BA38" s="92">
        <f t="shared" si="27"/>
        <v>5112607</v>
      </c>
      <c r="BB38" s="92">
        <f t="shared" si="27"/>
        <v>6092024</v>
      </c>
      <c r="BC38" s="92">
        <f t="shared" si="27"/>
        <v>7071441</v>
      </c>
      <c r="BD38" s="92">
        <f t="shared" si="27"/>
        <v>8050858</v>
      </c>
      <c r="BE38" s="92">
        <f t="shared" si="27"/>
        <v>9030275</v>
      </c>
      <c r="BF38" s="92">
        <f t="shared" si="27"/>
        <v>10009692</v>
      </c>
      <c r="BG38" s="92">
        <f t="shared" si="27"/>
        <v>10989109</v>
      </c>
      <c r="BH38" s="92">
        <f t="shared" si="27"/>
        <v>11968526</v>
      </c>
      <c r="BI38" s="92">
        <f t="shared" si="27"/>
        <v>12947943</v>
      </c>
      <c r="BK38" s="33" t="s">
        <v>548</v>
      </c>
    </row>
    <row r="39" spans="1:63" ht="15" customHeight="1" x14ac:dyDescent="0.2">
      <c r="A39" s="12" t="s">
        <v>549</v>
      </c>
      <c r="B39" s="102" t="str">
        <f t="shared" ref="B39:AG39" si="28">IF(B38&gt;=0,"Reached","Not yet")</f>
        <v>Not yet</v>
      </c>
      <c r="C39" s="102" t="str">
        <f t="shared" si="28"/>
        <v>Not yet</v>
      </c>
      <c r="D39" s="102" t="str">
        <f t="shared" si="28"/>
        <v>Not yet</v>
      </c>
      <c r="E39" s="102" t="str">
        <f t="shared" si="28"/>
        <v>Not yet</v>
      </c>
      <c r="F39" s="102" t="str">
        <f t="shared" si="28"/>
        <v>Not yet</v>
      </c>
      <c r="G39" s="102" t="str">
        <f t="shared" si="28"/>
        <v>Not yet</v>
      </c>
      <c r="H39" s="102" t="str">
        <f t="shared" si="28"/>
        <v>Not yet</v>
      </c>
      <c r="I39" s="102" t="str">
        <f t="shared" si="28"/>
        <v>Not yet</v>
      </c>
      <c r="J39" s="102" t="str">
        <f t="shared" si="28"/>
        <v>Not yet</v>
      </c>
      <c r="K39" s="102" t="str">
        <f t="shared" si="28"/>
        <v>Not yet</v>
      </c>
      <c r="L39" s="102" t="str">
        <f t="shared" si="28"/>
        <v>Not yet</v>
      </c>
      <c r="M39" s="102" t="str">
        <f t="shared" si="28"/>
        <v>Not yet</v>
      </c>
      <c r="N39" s="102" t="str">
        <f t="shared" si="28"/>
        <v>Not yet</v>
      </c>
      <c r="O39" s="102" t="str">
        <f t="shared" si="28"/>
        <v>Not yet</v>
      </c>
      <c r="P39" s="102" t="str">
        <f t="shared" si="28"/>
        <v>Not yet</v>
      </c>
      <c r="Q39" s="102" t="str">
        <f t="shared" si="28"/>
        <v>Not yet</v>
      </c>
      <c r="R39" s="102" t="str">
        <f t="shared" si="28"/>
        <v>Not yet</v>
      </c>
      <c r="S39" s="102" t="str">
        <f t="shared" si="28"/>
        <v>Not yet</v>
      </c>
      <c r="T39" s="102" t="str">
        <f t="shared" si="28"/>
        <v>Not yet</v>
      </c>
      <c r="U39" s="102" t="str">
        <f t="shared" si="28"/>
        <v>Not yet</v>
      </c>
      <c r="V39" s="102" t="str">
        <f t="shared" si="28"/>
        <v>Not yet</v>
      </c>
      <c r="W39" s="102" t="str">
        <f t="shared" si="28"/>
        <v>Not yet</v>
      </c>
      <c r="X39" s="102" t="str">
        <f t="shared" si="28"/>
        <v>Not yet</v>
      </c>
      <c r="Y39" s="102" t="str">
        <f t="shared" si="28"/>
        <v>Not yet</v>
      </c>
      <c r="Z39" s="102" t="str">
        <f t="shared" si="28"/>
        <v>Not yet</v>
      </c>
      <c r="AA39" s="102" t="str">
        <f t="shared" si="28"/>
        <v>Not yet</v>
      </c>
      <c r="AB39" s="102" t="str">
        <f t="shared" si="28"/>
        <v>Not yet</v>
      </c>
      <c r="AC39" s="102" t="str">
        <f t="shared" si="28"/>
        <v>Not yet</v>
      </c>
      <c r="AD39" s="102" t="str">
        <f t="shared" si="28"/>
        <v>Not yet</v>
      </c>
      <c r="AE39" s="102" t="str">
        <f t="shared" si="28"/>
        <v>Not yet</v>
      </c>
      <c r="AF39" s="102" t="str">
        <f t="shared" si="28"/>
        <v>Not yet</v>
      </c>
      <c r="AG39" s="102" t="str">
        <f t="shared" si="28"/>
        <v>Not yet</v>
      </c>
      <c r="AH39" s="102" t="str">
        <f t="shared" ref="AH39:BI39" si="29">IF(AH38&gt;=0,"Reached","Not yet")</f>
        <v>Not yet</v>
      </c>
      <c r="AI39" s="102" t="str">
        <f t="shared" si="29"/>
        <v>Not yet</v>
      </c>
      <c r="AJ39" s="102" t="str">
        <f t="shared" si="29"/>
        <v>Not yet</v>
      </c>
      <c r="AK39" s="102" t="str">
        <f t="shared" si="29"/>
        <v>Not yet</v>
      </c>
      <c r="AL39" s="102" t="str">
        <f t="shared" si="29"/>
        <v>Not yet</v>
      </c>
      <c r="AM39" s="102" t="str">
        <f t="shared" si="29"/>
        <v>Not yet</v>
      </c>
      <c r="AN39" s="102" t="str">
        <f t="shared" si="29"/>
        <v>Not yet</v>
      </c>
      <c r="AO39" s="102" t="str">
        <f t="shared" si="29"/>
        <v>Not yet</v>
      </c>
      <c r="AP39" s="102" t="str">
        <f t="shared" si="29"/>
        <v>Not yet</v>
      </c>
      <c r="AQ39" s="102" t="str">
        <f t="shared" si="29"/>
        <v>Not yet</v>
      </c>
      <c r="AR39" s="102" t="str">
        <f t="shared" si="29"/>
        <v>Not yet</v>
      </c>
      <c r="AS39" s="102" t="str">
        <f t="shared" si="29"/>
        <v>Reached</v>
      </c>
      <c r="AT39" s="102" t="str">
        <f t="shared" si="29"/>
        <v>Reached</v>
      </c>
      <c r="AU39" s="102" t="str">
        <f t="shared" si="29"/>
        <v>Reached</v>
      </c>
      <c r="AV39" s="102" t="str">
        <f t="shared" si="29"/>
        <v>Reached</v>
      </c>
      <c r="AW39" s="102" t="str">
        <f t="shared" si="29"/>
        <v>Reached</v>
      </c>
      <c r="AX39" s="102" t="str">
        <f t="shared" si="29"/>
        <v>Reached</v>
      </c>
      <c r="AY39" s="102" t="str">
        <f t="shared" si="29"/>
        <v>Reached</v>
      </c>
      <c r="AZ39" s="102" t="str">
        <f t="shared" si="29"/>
        <v>Reached</v>
      </c>
      <c r="BA39" s="102" t="str">
        <f t="shared" si="29"/>
        <v>Reached</v>
      </c>
      <c r="BB39" s="102" t="str">
        <f t="shared" si="29"/>
        <v>Reached</v>
      </c>
      <c r="BC39" s="102" t="str">
        <f t="shared" si="29"/>
        <v>Reached</v>
      </c>
      <c r="BD39" s="102" t="str">
        <f t="shared" si="29"/>
        <v>Reached</v>
      </c>
      <c r="BE39" s="102" t="str">
        <f t="shared" si="29"/>
        <v>Reached</v>
      </c>
      <c r="BF39" s="102" t="str">
        <f t="shared" si="29"/>
        <v>Reached</v>
      </c>
      <c r="BG39" s="102" t="str">
        <f t="shared" si="29"/>
        <v>Reached</v>
      </c>
      <c r="BH39" s="102" t="str">
        <f t="shared" si="29"/>
        <v>Reached</v>
      </c>
      <c r="BI39" s="102" t="str">
        <f t="shared" si="29"/>
        <v>Reached</v>
      </c>
    </row>
    <row r="40" spans="1:63" ht="15" customHeight="1" x14ac:dyDescent="0.2">
      <c r="A40" s="12" t="s">
        <v>550</v>
      </c>
      <c r="B40" s="102" t="str">
        <f t="shared" ref="B40:AG40" si="30">IF(B33&lt;0,"Cash shortfall","Funded")</f>
        <v>Funded</v>
      </c>
      <c r="C40" s="102" t="str">
        <f t="shared" si="30"/>
        <v>Funded</v>
      </c>
      <c r="D40" s="102" t="str">
        <f t="shared" si="30"/>
        <v>Funded</v>
      </c>
      <c r="E40" s="102" t="str">
        <f t="shared" si="30"/>
        <v>Funded</v>
      </c>
      <c r="F40" s="102" t="str">
        <f t="shared" si="30"/>
        <v>Funded</v>
      </c>
      <c r="G40" s="102" t="str">
        <f t="shared" si="30"/>
        <v>Funded</v>
      </c>
      <c r="H40" s="102" t="str">
        <f t="shared" si="30"/>
        <v>Funded</v>
      </c>
      <c r="I40" s="102" t="str">
        <f t="shared" si="30"/>
        <v>Funded</v>
      </c>
      <c r="J40" s="102" t="str">
        <f t="shared" si="30"/>
        <v>Funded</v>
      </c>
      <c r="K40" s="102" t="str">
        <f t="shared" si="30"/>
        <v>Funded</v>
      </c>
      <c r="L40" s="102" t="str">
        <f t="shared" si="30"/>
        <v>Funded</v>
      </c>
      <c r="M40" s="102" t="str">
        <f t="shared" si="30"/>
        <v>Funded</v>
      </c>
      <c r="N40" s="102" t="str">
        <f t="shared" si="30"/>
        <v>Funded</v>
      </c>
      <c r="O40" s="102" t="str">
        <f t="shared" si="30"/>
        <v>Funded</v>
      </c>
      <c r="P40" s="102" t="str">
        <f t="shared" si="30"/>
        <v>Funded</v>
      </c>
      <c r="Q40" s="102" t="str">
        <f t="shared" si="30"/>
        <v>Funded</v>
      </c>
      <c r="R40" s="102" t="str">
        <f t="shared" si="30"/>
        <v>Funded</v>
      </c>
      <c r="S40" s="102" t="str">
        <f t="shared" si="30"/>
        <v>Funded</v>
      </c>
      <c r="T40" s="102" t="str">
        <f t="shared" si="30"/>
        <v>Funded</v>
      </c>
      <c r="U40" s="102" t="str">
        <f t="shared" si="30"/>
        <v>Funded</v>
      </c>
      <c r="V40" s="102" t="str">
        <f t="shared" si="30"/>
        <v>Funded</v>
      </c>
      <c r="W40" s="102" t="str">
        <f t="shared" si="30"/>
        <v>Funded</v>
      </c>
      <c r="X40" s="102" t="str">
        <f t="shared" si="30"/>
        <v>Funded</v>
      </c>
      <c r="Y40" s="102" t="str">
        <f t="shared" si="30"/>
        <v>Funded</v>
      </c>
      <c r="Z40" s="102" t="str">
        <f t="shared" si="30"/>
        <v>Funded</v>
      </c>
      <c r="AA40" s="102" t="str">
        <f t="shared" si="30"/>
        <v>Funded</v>
      </c>
      <c r="AB40" s="102" t="str">
        <f t="shared" si="30"/>
        <v>Funded</v>
      </c>
      <c r="AC40" s="102" t="str">
        <f t="shared" si="30"/>
        <v>Funded</v>
      </c>
      <c r="AD40" s="102" t="str">
        <f t="shared" si="30"/>
        <v>Funded</v>
      </c>
      <c r="AE40" s="102" t="str">
        <f t="shared" si="30"/>
        <v>Funded</v>
      </c>
      <c r="AF40" s="102" t="str">
        <f t="shared" si="30"/>
        <v>Funded</v>
      </c>
      <c r="AG40" s="102" t="str">
        <f t="shared" si="30"/>
        <v>Funded</v>
      </c>
      <c r="AH40" s="102" t="str">
        <f t="shared" ref="AH40:BI40" si="31">IF(AH33&lt;0,"Cash shortfall","Funded")</f>
        <v>Funded</v>
      </c>
      <c r="AI40" s="102" t="str">
        <f t="shared" si="31"/>
        <v>Funded</v>
      </c>
      <c r="AJ40" s="102" t="str">
        <f t="shared" si="31"/>
        <v>Funded</v>
      </c>
      <c r="AK40" s="102" t="str">
        <f t="shared" si="31"/>
        <v>Funded</v>
      </c>
      <c r="AL40" s="102" t="str">
        <f t="shared" si="31"/>
        <v>Funded</v>
      </c>
      <c r="AM40" s="102" t="str">
        <f t="shared" si="31"/>
        <v>Funded</v>
      </c>
      <c r="AN40" s="102" t="str">
        <f t="shared" si="31"/>
        <v>Funded</v>
      </c>
      <c r="AO40" s="102" t="str">
        <f t="shared" si="31"/>
        <v>Funded</v>
      </c>
      <c r="AP40" s="102" t="str">
        <f t="shared" si="31"/>
        <v>Funded</v>
      </c>
      <c r="AQ40" s="102" t="str">
        <f t="shared" si="31"/>
        <v>Funded</v>
      </c>
      <c r="AR40" s="102" t="str">
        <f t="shared" si="31"/>
        <v>Funded</v>
      </c>
      <c r="AS40" s="102" t="str">
        <f t="shared" si="31"/>
        <v>Funded</v>
      </c>
      <c r="AT40" s="102" t="str">
        <f t="shared" si="31"/>
        <v>Funded</v>
      </c>
      <c r="AU40" s="102" t="str">
        <f t="shared" si="31"/>
        <v>Funded</v>
      </c>
      <c r="AV40" s="102" t="str">
        <f t="shared" si="31"/>
        <v>Funded</v>
      </c>
      <c r="AW40" s="102" t="str">
        <f t="shared" si="31"/>
        <v>Funded</v>
      </c>
      <c r="AX40" s="102" t="str">
        <f t="shared" si="31"/>
        <v>Funded</v>
      </c>
      <c r="AY40" s="102" t="str">
        <f t="shared" si="31"/>
        <v>Funded</v>
      </c>
      <c r="AZ40" s="102" t="str">
        <f t="shared" si="31"/>
        <v>Funded</v>
      </c>
      <c r="BA40" s="102" t="str">
        <f t="shared" si="31"/>
        <v>Funded</v>
      </c>
      <c r="BB40" s="102" t="str">
        <f t="shared" si="31"/>
        <v>Funded</v>
      </c>
      <c r="BC40" s="102" t="str">
        <f t="shared" si="31"/>
        <v>Funded</v>
      </c>
      <c r="BD40" s="102" t="str">
        <f t="shared" si="31"/>
        <v>Funded</v>
      </c>
      <c r="BE40" s="102" t="str">
        <f t="shared" si="31"/>
        <v>Funded</v>
      </c>
      <c r="BF40" s="102" t="str">
        <f t="shared" si="31"/>
        <v>Funded</v>
      </c>
      <c r="BG40" s="102" t="str">
        <f t="shared" si="31"/>
        <v>Funded</v>
      </c>
      <c r="BH40" s="102" t="str">
        <f t="shared" si="31"/>
        <v>Funded</v>
      </c>
      <c r="BI40" s="102" t="str">
        <f t="shared" si="31"/>
        <v>Funded</v>
      </c>
    </row>
    <row r="41" spans="1:63" ht="8.1" customHeight="1" x14ac:dyDescent="0.2"/>
    <row r="42" spans="1:63" ht="8.1" customHeight="1" x14ac:dyDescent="0.2"/>
    <row r="43" spans="1:63" ht="20.100000000000001" customHeight="1" x14ac:dyDescent="0.2">
      <c r="A43" s="151" t="s">
        <v>551</v>
      </c>
      <c r="B43" s="151"/>
      <c r="C43" s="151"/>
      <c r="D43" s="151"/>
      <c r="E43" s="151"/>
      <c r="F43" s="151"/>
      <c r="G43" s="151"/>
      <c r="H43" s="151"/>
      <c r="I43" s="151"/>
      <c r="J43" s="151"/>
      <c r="K43" s="151"/>
      <c r="L43" s="151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</row>
    <row r="44" spans="1:63" ht="26.1" customHeight="1" x14ac:dyDescent="0.2">
      <c r="A44" s="10" t="s">
        <v>552</v>
      </c>
      <c r="B44" s="9" t="s">
        <v>514</v>
      </c>
      <c r="C44" s="9" t="s">
        <v>466</v>
      </c>
      <c r="D44" s="9" t="s">
        <v>512</v>
      </c>
      <c r="E44" s="9" t="s">
        <v>553</v>
      </c>
      <c r="F44" s="9" t="s">
        <v>554</v>
      </c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</row>
    <row r="45" spans="1:63" ht="15.95" customHeight="1" x14ac:dyDescent="0.2">
      <c r="A45" s="14" t="s">
        <v>108</v>
      </c>
      <c r="B45" s="18" t="str">
        <f>IF(MAX(B52:BI52)&lt;0,"Beyond Month 60",INDEX($B$9:$BI$9,1,MATCH("Reached",B55:BI55,0)))</f>
        <v>Beyond Month 60</v>
      </c>
      <c r="C45" s="56">
        <f>-MIN(0,B52:BI52)</f>
        <v>3915862</v>
      </c>
      <c r="D45" s="56">
        <f>BI52</f>
        <v>-2924278</v>
      </c>
      <c r="E45" s="97" t="str">
        <f>IF('Scenario Engine'!$B$57&gt;=0,"Year 1",IF('Scenario Engine'!$C$57&gt;=0,"Year 2",IF('Scenario Engine'!$D$57&gt;=0,"Year 3",IF('Scenario Engine'!$E$57&gt;=0,"Year 4",IF('Scenario Engine'!$F$57&gt;=0,"Year 5","Beyond Year 5")))))</f>
        <v>Year 5</v>
      </c>
      <c r="F45" s="67">
        <f>MAX('Scenario Engine'!$B$60:$F$60)</f>
        <v>4106889</v>
      </c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2"/>
    </row>
    <row r="46" spans="1:63" ht="15.95" customHeight="1" x14ac:dyDescent="0.2">
      <c r="A46" s="28" t="s">
        <v>111</v>
      </c>
      <c r="B46" s="28" t="str">
        <f>IF(MAX(B53:BI53)&lt;0,"Beyond Month 60",INDEX($B$9:$BI$9,1,MATCH("Reached",B56:BI56,0)))</f>
        <v>Y4 M8</v>
      </c>
      <c r="C46" s="75">
        <f>-MIN(0,B53:BI53)</f>
        <v>2649418</v>
      </c>
      <c r="D46" s="75">
        <f>BI53</f>
        <v>12947967</v>
      </c>
      <c r="E46" s="104" t="str">
        <f>IF('Scenario Engine'!$H$57&gt;=0,"Year 1",IF('Scenario Engine'!$I$57&gt;=0,"Year 2",IF('Scenario Engine'!$J$57&gt;=0,"Year 3",IF('Scenario Engine'!$K$57&gt;=0,"Year 4",IF('Scenario Engine'!$L$57&gt;=0,"Year 5","Beyond Year 5")))))</f>
        <v>Year 4</v>
      </c>
      <c r="F46" s="75">
        <f>MAX('Scenario Engine'!$H$60:$L$60)</f>
        <v>2840446</v>
      </c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  <c r="AI46" s="62"/>
      <c r="AJ46" s="62"/>
      <c r="AK46" s="62"/>
      <c r="AL46" s="62"/>
      <c r="AM46" s="62"/>
      <c r="AN46" s="62"/>
      <c r="AO46" s="62"/>
      <c r="AP46" s="62"/>
      <c r="AQ46" s="62"/>
      <c r="AR46" s="62"/>
      <c r="AS46" s="62"/>
      <c r="AT46" s="62"/>
      <c r="AU46" s="62"/>
      <c r="AV46" s="62"/>
      <c r="AW46" s="62"/>
      <c r="AX46" s="62"/>
      <c r="AY46" s="62"/>
      <c r="AZ46" s="62"/>
      <c r="BA46" s="62"/>
      <c r="BB46" s="62"/>
      <c r="BC46" s="62"/>
      <c r="BD46" s="62"/>
      <c r="BE46" s="62"/>
      <c r="BF46" s="62"/>
      <c r="BG46" s="62"/>
      <c r="BH46" s="62"/>
      <c r="BI46" s="62"/>
    </row>
    <row r="47" spans="1:63" ht="15.95" customHeight="1" x14ac:dyDescent="0.2">
      <c r="A47" s="14" t="s">
        <v>113</v>
      </c>
      <c r="B47" s="18" t="str">
        <f>IF(MAX(B54:BI54)&lt;0,"Beyond Month 60",INDEX($B$9:$BI$9,1,MATCH("Reached",B57:BI57,0)))</f>
        <v>Y4 M4</v>
      </c>
      <c r="C47" s="56">
        <f>-MIN(0,B54:BI54)</f>
        <v>1946199</v>
      </c>
      <c r="D47" s="56">
        <f>BI54</f>
        <v>33921710</v>
      </c>
      <c r="E47" s="97" t="str">
        <f>IF('Scenario Engine'!$N$57&gt;=0,"Year 1",IF('Scenario Engine'!$O$57&gt;=0,"Year 2",IF('Scenario Engine'!$P$57&gt;=0,"Year 3",IF('Scenario Engine'!$Q$57&gt;=0,"Year 4",IF('Scenario Engine'!$R$57&gt;=0,"Year 5","Beyond Year 5")))))</f>
        <v>Year 3</v>
      </c>
      <c r="F47" s="67">
        <f>MAX('Scenario Engine'!$N$60:$R$60)</f>
        <v>2137226</v>
      </c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62"/>
      <c r="AL47" s="62"/>
      <c r="AM47" s="62"/>
      <c r="AN47" s="62"/>
      <c r="AO47" s="62"/>
      <c r="AP47" s="62"/>
      <c r="AQ47" s="62"/>
      <c r="AR47" s="62"/>
      <c r="AS47" s="62"/>
      <c r="AT47" s="62"/>
      <c r="AU47" s="62"/>
      <c r="AV47" s="62"/>
      <c r="AW47" s="62"/>
      <c r="AX47" s="62"/>
      <c r="AY47" s="62"/>
      <c r="AZ47" s="62"/>
      <c r="BA47" s="62"/>
      <c r="BB47" s="62"/>
      <c r="BC47" s="62"/>
      <c r="BD47" s="62"/>
      <c r="BE47" s="62"/>
      <c r="BF47" s="62"/>
      <c r="BG47" s="62"/>
      <c r="BH47" s="62"/>
      <c r="BI47" s="62"/>
    </row>
    <row r="48" spans="1:63" ht="8.1" customHeight="1" x14ac:dyDescent="0.2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</row>
    <row r="49" spans="1:61" ht="18" customHeight="1" x14ac:dyDescent="0.2">
      <c r="A49" s="175" t="s">
        <v>555</v>
      </c>
      <c r="B49" s="175"/>
      <c r="C49" s="175"/>
      <c r="D49" s="175"/>
      <c r="E49" s="175"/>
      <c r="F49" s="175"/>
      <c r="G49" s="175"/>
      <c r="H49" s="175"/>
      <c r="I49" s="175"/>
      <c r="J49" s="175"/>
      <c r="K49" s="175"/>
      <c r="L49" s="175"/>
      <c r="M49" s="175"/>
      <c r="N49" s="175"/>
      <c r="O49" s="175"/>
      <c r="P49" s="175"/>
      <c r="Q49" s="175"/>
      <c r="R49" s="175"/>
      <c r="S49" s="175"/>
      <c r="T49" s="175"/>
      <c r="U49" s="175"/>
      <c r="V49" s="175"/>
      <c r="W49" s="175"/>
      <c r="X49" s="175"/>
      <c r="Y49" s="175"/>
      <c r="Z49" s="175"/>
      <c r="AA49" s="175"/>
      <c r="AB49" s="175"/>
      <c r="AC49" s="175"/>
      <c r="AD49" s="175"/>
      <c r="AE49" s="175"/>
      <c r="AF49" s="175"/>
      <c r="AG49" s="175"/>
      <c r="AH49" s="175"/>
      <c r="AI49" s="175"/>
      <c r="AJ49" s="175"/>
      <c r="AK49" s="175"/>
      <c r="AL49" s="175"/>
      <c r="AM49" s="175"/>
      <c r="AN49" s="175"/>
      <c r="AO49" s="175"/>
      <c r="AP49" s="175"/>
      <c r="AQ49" s="175"/>
      <c r="AR49" s="175"/>
      <c r="AS49" s="175"/>
      <c r="AT49" s="175"/>
      <c r="AU49" s="175"/>
      <c r="AV49" s="175"/>
      <c r="AW49" s="175"/>
      <c r="AX49" s="175"/>
      <c r="AY49" s="175"/>
      <c r="AZ49" s="175"/>
      <c r="BA49" s="175"/>
      <c r="BB49" s="175"/>
      <c r="BC49" s="175"/>
      <c r="BD49" s="175"/>
      <c r="BE49" s="175"/>
      <c r="BF49" s="175"/>
      <c r="BG49" s="175"/>
      <c r="BH49" s="175"/>
      <c r="BI49" s="175"/>
    </row>
    <row r="50" spans="1:61" ht="8.1" customHeight="1" x14ac:dyDescent="0.2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</row>
    <row r="51" spans="1:61" ht="12.95" customHeight="1" x14ac:dyDescent="0.2">
      <c r="A51" s="48" t="s">
        <v>552</v>
      </c>
      <c r="B51" s="48" t="str">
        <f>'Cash Flow Statement'!B9</f>
        <v>Y1 M1</v>
      </c>
      <c r="C51" s="48" t="str">
        <f>'Cash Flow Statement'!C9</f>
        <v>Y1 M2</v>
      </c>
      <c r="D51" s="48" t="str">
        <f>'Cash Flow Statement'!D9</f>
        <v>Y1 M3</v>
      </c>
      <c r="E51" s="48" t="str">
        <f>'Cash Flow Statement'!E9</f>
        <v>Y1 M4</v>
      </c>
      <c r="F51" s="48" t="str">
        <f>'Cash Flow Statement'!F9</f>
        <v>Y1 M5</v>
      </c>
      <c r="G51" s="48" t="str">
        <f>'Cash Flow Statement'!G9</f>
        <v>Y1 M6</v>
      </c>
      <c r="H51" s="48" t="str">
        <f>'Cash Flow Statement'!H9</f>
        <v>Y1 M7</v>
      </c>
      <c r="I51" s="48" t="str">
        <f>'Cash Flow Statement'!I9</f>
        <v>Y1 M8</v>
      </c>
      <c r="J51" s="48" t="str">
        <f>'Cash Flow Statement'!J9</f>
        <v>Y1 M9</v>
      </c>
      <c r="K51" s="48" t="str">
        <f>'Cash Flow Statement'!K9</f>
        <v>Y1 M10</v>
      </c>
      <c r="L51" s="48" t="str">
        <f>'Cash Flow Statement'!L9</f>
        <v>Y1 M11</v>
      </c>
      <c r="M51" s="48" t="str">
        <f>'Cash Flow Statement'!M9</f>
        <v>Y1 M12</v>
      </c>
      <c r="N51" s="48" t="str">
        <f>'Cash Flow Statement'!N9</f>
        <v>Y2 M1</v>
      </c>
      <c r="O51" s="48" t="str">
        <f>'Cash Flow Statement'!O9</f>
        <v>Y2 M2</v>
      </c>
      <c r="P51" s="48" t="str">
        <f>'Cash Flow Statement'!P9</f>
        <v>Y2 M3</v>
      </c>
      <c r="Q51" s="48" t="str">
        <f>'Cash Flow Statement'!Q9</f>
        <v>Y2 M4</v>
      </c>
      <c r="R51" s="48" t="str">
        <f>'Cash Flow Statement'!R9</f>
        <v>Y2 M5</v>
      </c>
      <c r="S51" s="48" t="str">
        <f>'Cash Flow Statement'!S9</f>
        <v>Y2 M6</v>
      </c>
      <c r="T51" s="48" t="str">
        <f>'Cash Flow Statement'!T9</f>
        <v>Y2 M7</v>
      </c>
      <c r="U51" s="48" t="str">
        <f>'Cash Flow Statement'!U9</f>
        <v>Y2 M8</v>
      </c>
      <c r="V51" s="48" t="str">
        <f>'Cash Flow Statement'!V9</f>
        <v>Y2 M9</v>
      </c>
      <c r="W51" s="48" t="str">
        <f>'Cash Flow Statement'!W9</f>
        <v>Y2 M10</v>
      </c>
      <c r="X51" s="48" t="str">
        <f>'Cash Flow Statement'!X9</f>
        <v>Y2 M11</v>
      </c>
      <c r="Y51" s="48" t="str">
        <f>'Cash Flow Statement'!Y9</f>
        <v>Y2 M12</v>
      </c>
      <c r="Z51" s="48" t="str">
        <f>'Cash Flow Statement'!Z9</f>
        <v>Y3 M1</v>
      </c>
      <c r="AA51" s="48" t="str">
        <f>'Cash Flow Statement'!AA9</f>
        <v>Y3 M2</v>
      </c>
      <c r="AB51" s="48" t="str">
        <f>'Cash Flow Statement'!AB9</f>
        <v>Y3 M3</v>
      </c>
      <c r="AC51" s="48" t="str">
        <f>'Cash Flow Statement'!AC9</f>
        <v>Y3 M4</v>
      </c>
      <c r="AD51" s="48" t="str">
        <f>'Cash Flow Statement'!AD9</f>
        <v>Y3 M5</v>
      </c>
      <c r="AE51" s="48" t="str">
        <f>'Cash Flow Statement'!AE9</f>
        <v>Y3 M6</v>
      </c>
      <c r="AF51" s="48" t="str">
        <f>'Cash Flow Statement'!AF9</f>
        <v>Y3 M7</v>
      </c>
      <c r="AG51" s="48" t="str">
        <f>'Cash Flow Statement'!AG9</f>
        <v>Y3 M8</v>
      </c>
      <c r="AH51" s="48" t="str">
        <f>'Cash Flow Statement'!AH9</f>
        <v>Y3 M9</v>
      </c>
      <c r="AI51" s="48" t="str">
        <f>'Cash Flow Statement'!AI9</f>
        <v>Y3 M10</v>
      </c>
      <c r="AJ51" s="48" t="str">
        <f>'Cash Flow Statement'!AJ9</f>
        <v>Y3 M11</v>
      </c>
      <c r="AK51" s="48" t="str">
        <f>'Cash Flow Statement'!AK9</f>
        <v>Y3 M12</v>
      </c>
      <c r="AL51" s="48" t="str">
        <f>'Cash Flow Statement'!AL9</f>
        <v>Y4 M1</v>
      </c>
      <c r="AM51" s="48" t="str">
        <f>'Cash Flow Statement'!AM9</f>
        <v>Y4 M2</v>
      </c>
      <c r="AN51" s="48" t="str">
        <f>'Cash Flow Statement'!AN9</f>
        <v>Y4 M3</v>
      </c>
      <c r="AO51" s="48" t="str">
        <f>'Cash Flow Statement'!AO9</f>
        <v>Y4 M4</v>
      </c>
      <c r="AP51" s="48" t="str">
        <f>'Cash Flow Statement'!AP9</f>
        <v>Y4 M5</v>
      </c>
      <c r="AQ51" s="48" t="str">
        <f>'Cash Flow Statement'!AQ9</f>
        <v>Y4 M6</v>
      </c>
      <c r="AR51" s="48" t="str">
        <f>'Cash Flow Statement'!AR9</f>
        <v>Y4 M7</v>
      </c>
      <c r="AS51" s="48" t="str">
        <f>'Cash Flow Statement'!AS9</f>
        <v>Y4 M8</v>
      </c>
      <c r="AT51" s="48" t="str">
        <f>'Cash Flow Statement'!AT9</f>
        <v>Y4 M9</v>
      </c>
      <c r="AU51" s="48" t="str">
        <f>'Cash Flow Statement'!AU9</f>
        <v>Y4 M10</v>
      </c>
      <c r="AV51" s="48" t="str">
        <f>'Cash Flow Statement'!AV9</f>
        <v>Y4 M11</v>
      </c>
      <c r="AW51" s="48" t="str">
        <f>'Cash Flow Statement'!AW9</f>
        <v>Y4 M12</v>
      </c>
      <c r="AX51" s="48" t="str">
        <f>'Cash Flow Statement'!AX9</f>
        <v>Y5 M1</v>
      </c>
      <c r="AY51" s="48" t="str">
        <f>'Cash Flow Statement'!AY9</f>
        <v>Y5 M2</v>
      </c>
      <c r="AZ51" s="48" t="str">
        <f>'Cash Flow Statement'!AZ9</f>
        <v>Y5 M3</v>
      </c>
      <c r="BA51" s="48" t="str">
        <f>'Cash Flow Statement'!BA9</f>
        <v>Y5 M4</v>
      </c>
      <c r="BB51" s="48" t="str">
        <f>'Cash Flow Statement'!BB9</f>
        <v>Y5 M5</v>
      </c>
      <c r="BC51" s="48" t="str">
        <f>'Cash Flow Statement'!BC9</f>
        <v>Y5 M6</v>
      </c>
      <c r="BD51" s="48" t="str">
        <f>'Cash Flow Statement'!BD9</f>
        <v>Y5 M7</v>
      </c>
      <c r="BE51" s="48" t="str">
        <f>'Cash Flow Statement'!BE9</f>
        <v>Y5 M8</v>
      </c>
      <c r="BF51" s="48" t="str">
        <f>'Cash Flow Statement'!BF9</f>
        <v>Y5 M9</v>
      </c>
      <c r="BG51" s="48" t="str">
        <f>'Cash Flow Statement'!BG9</f>
        <v>Y5 M10</v>
      </c>
      <c r="BH51" s="48" t="str">
        <f>'Cash Flow Statement'!BH9</f>
        <v>Y5 M11</v>
      </c>
      <c r="BI51" s="48" t="str">
        <f>'Cash Flow Statement'!BI9</f>
        <v>Y5 M12</v>
      </c>
    </row>
    <row r="52" spans="1:61" ht="12" customHeight="1" x14ac:dyDescent="0.2">
      <c r="A52" s="49" t="s">
        <v>108</v>
      </c>
      <c r="B52" s="103">
        <f>ROUND((IF(B$6&lt;='Launch Readiness'!$B$7,0,IF((B$6-'Launch Readiness'!$B$7)&lt;'Launch Readiness'!$E$6,0,INDEX('Scenario Engine'!$B$30:$F$30,1,ROUNDUP((B$6-'Launch Readiness'!$B$7)/12,0))/MAX(1,INDEX('Launch Readiness'!$B$26:$F$26,1,ROUNDUP((B$6-'Launch Readiness'!$B$7)/12,0))))))-IF(B$6&lt;'Launch Readiness'!$E$6,0,INDEX('Scenario Engine'!$B$47:$F$47,1,B$7)/MAX(1,INDEX('Launch Readiness'!$B$26:$F$26,1,B$7)))-INDEX('Scenario Engine'!$B$52:$F$52,1,B$7)/12-((INDEX('Scenario Engine'!$B$53:$F$53,1,B$7)-'Launch Readiness'!$E$9*INDEX('Launch Readiness'!$B$34:$F$34,1,B$7)-'Launch Readiness'!$E$9*'Launch Readiness'!$B$10*INDEX('Launch Readiness'!$B$30:$F$30,1,B$7)-'Launch Readiness'!$E$16*INDEX('Launch Readiness'!$B$32:$F$32,1,B$7))/12+IF(AND(B$6&gt;='Launch Readiness'!$E$6,B$6&lt;'Launch Readiness'!$E$14),'Launch Readiness'!$E$9/12,0)+IF(AND(B$6&gt;='Launch Readiness'!$B$11,B$6&lt;'Launch Readiness'!$E$6),'Launch Readiness'!$E$9*'Launch Readiness'!$B$10/12,0)+IF(B$6&gt;='Launch Readiness'!$E$14,'Launch Readiness'!$E$16/12,0))-(IF(B$6&lt;=6,'Startup 6mo'!$F$44/6,0)+IF(B$6&lt;'Launch Readiness'!$E$6,'Launch Readiness'!$E$8/MAX(1,'Launch Readiness'!$E$7),0)+IF(B$6='Launch Readiness'!$G$14,'Launch Readiness'!$E$15,0)),0)</f>
        <v>-107605</v>
      </c>
      <c r="C52" s="103">
        <f>ROUND(B52+(IF(C$6&lt;='Launch Readiness'!$B$7,0,IF((C$6-'Launch Readiness'!$B$7)&lt;'Launch Readiness'!$E$6,0,INDEX('Scenario Engine'!$B$30:$F$30,1,ROUNDUP((C$6-'Launch Readiness'!$B$7)/12,0))/MAX(1,INDEX('Launch Readiness'!$B$26:$F$26,1,ROUNDUP((C$6-'Launch Readiness'!$B$7)/12,0))))))-IF(C$6&lt;'Launch Readiness'!$E$6,0,INDEX('Scenario Engine'!$B$47:$F$47,1,C$7)/MAX(1,INDEX('Launch Readiness'!$B$26:$F$26,1,C$7)))-INDEX('Scenario Engine'!$B$52:$F$52,1,C$7)/12-((INDEX('Scenario Engine'!$B$53:$F$53,1,C$7)-'Launch Readiness'!$E$9*INDEX('Launch Readiness'!$B$34:$F$34,1,C$7)-'Launch Readiness'!$E$9*'Launch Readiness'!$B$10*INDEX('Launch Readiness'!$B$30:$F$30,1,C$7)-'Launch Readiness'!$E$16*INDEX('Launch Readiness'!$B$32:$F$32,1,C$7))/12+IF(AND(C$6&gt;='Launch Readiness'!$E$6,C$6&lt;'Launch Readiness'!$E$14),'Launch Readiness'!$E$9/12,0)+IF(AND(C$6&gt;='Launch Readiness'!$B$11,C$6&lt;'Launch Readiness'!$E$6),'Launch Readiness'!$E$9*'Launch Readiness'!$B$10/12,0)+IF(C$6&gt;='Launch Readiness'!$E$14,'Launch Readiness'!$E$16/12,0))-(IF(C$6&lt;=6,'Startup 6mo'!$F$44/6,0)+IF(C$6&lt;'Launch Readiness'!$E$6,'Launch Readiness'!$E$8/MAX(1,'Launch Readiness'!$E$7),0)+IF(C$6='Launch Readiness'!$G$14,'Launch Readiness'!$E$15,0)),0)</f>
        <v>-217164</v>
      </c>
      <c r="D52" s="103">
        <f>ROUND(C52+(IF(D$6&lt;='Launch Readiness'!$B$7,0,IF((D$6-'Launch Readiness'!$B$7)&lt;'Launch Readiness'!$E$6,0,INDEX('Scenario Engine'!$B$30:$F$30,1,ROUNDUP((D$6-'Launch Readiness'!$B$7)/12,0))/MAX(1,INDEX('Launch Readiness'!$B$26:$F$26,1,ROUNDUP((D$6-'Launch Readiness'!$B$7)/12,0))))))-IF(D$6&lt;'Launch Readiness'!$E$6,0,INDEX('Scenario Engine'!$B$47:$F$47,1,D$7)/MAX(1,INDEX('Launch Readiness'!$B$26:$F$26,1,D$7)))-INDEX('Scenario Engine'!$B$52:$F$52,1,D$7)/12-((INDEX('Scenario Engine'!$B$53:$F$53,1,D$7)-'Launch Readiness'!$E$9*INDEX('Launch Readiness'!$B$34:$F$34,1,D$7)-'Launch Readiness'!$E$9*'Launch Readiness'!$B$10*INDEX('Launch Readiness'!$B$30:$F$30,1,D$7)-'Launch Readiness'!$E$16*INDEX('Launch Readiness'!$B$32:$F$32,1,D$7))/12+IF(AND(D$6&gt;='Launch Readiness'!$E$6,D$6&lt;'Launch Readiness'!$E$14),'Launch Readiness'!$E$9/12,0)+IF(AND(D$6&gt;='Launch Readiness'!$B$11,D$6&lt;'Launch Readiness'!$E$6),'Launch Readiness'!$E$9*'Launch Readiness'!$B$10/12,0)+IF(D$6&gt;='Launch Readiness'!$E$14,'Launch Readiness'!$E$16/12,0))-(IF(D$6&lt;=6,'Startup 6mo'!$F$44/6,0)+IF(D$6&lt;'Launch Readiness'!$E$6,'Launch Readiness'!$E$8/MAX(1,'Launch Readiness'!$E$7),0)+IF(D$6='Launch Readiness'!$G$14,'Launch Readiness'!$E$15,0)),0)</f>
        <v>-326723</v>
      </c>
      <c r="E52" s="103">
        <f>ROUND(D52+(IF(E$6&lt;='Launch Readiness'!$B$7,0,IF((E$6-'Launch Readiness'!$B$7)&lt;'Launch Readiness'!$E$6,0,INDEX('Scenario Engine'!$B$30:$F$30,1,ROUNDUP((E$6-'Launch Readiness'!$B$7)/12,0))/MAX(1,INDEX('Launch Readiness'!$B$26:$F$26,1,ROUNDUP((E$6-'Launch Readiness'!$B$7)/12,0))))))-IF(E$6&lt;'Launch Readiness'!$E$6,0,INDEX('Scenario Engine'!$B$47:$F$47,1,E$7)/MAX(1,INDEX('Launch Readiness'!$B$26:$F$26,1,E$7)))-INDEX('Scenario Engine'!$B$52:$F$52,1,E$7)/12-((INDEX('Scenario Engine'!$B$53:$F$53,1,E$7)-'Launch Readiness'!$E$9*INDEX('Launch Readiness'!$B$34:$F$34,1,E$7)-'Launch Readiness'!$E$9*'Launch Readiness'!$B$10*INDEX('Launch Readiness'!$B$30:$F$30,1,E$7)-'Launch Readiness'!$E$16*INDEX('Launch Readiness'!$B$32:$F$32,1,E$7))/12+IF(AND(E$6&gt;='Launch Readiness'!$E$6,E$6&lt;'Launch Readiness'!$E$14),'Launch Readiness'!$E$9/12,0)+IF(AND(E$6&gt;='Launch Readiness'!$B$11,E$6&lt;'Launch Readiness'!$E$6),'Launch Readiness'!$E$9*'Launch Readiness'!$B$10/12,0)+IF(E$6&gt;='Launch Readiness'!$E$14,'Launch Readiness'!$E$16/12,0))-(IF(E$6&lt;=6,'Startup 6mo'!$F$44/6,0)+IF(E$6&lt;'Launch Readiness'!$E$6,'Launch Readiness'!$E$8/MAX(1,'Launch Readiness'!$E$7),0)+IF(E$6='Launch Readiness'!$G$14,'Launch Readiness'!$E$15,0)),0)</f>
        <v>-436282</v>
      </c>
      <c r="F52" s="103">
        <f>ROUND(E52+(IF(F$6&lt;='Launch Readiness'!$B$7,0,IF((F$6-'Launch Readiness'!$B$7)&lt;'Launch Readiness'!$E$6,0,INDEX('Scenario Engine'!$B$30:$F$30,1,ROUNDUP((F$6-'Launch Readiness'!$B$7)/12,0))/MAX(1,INDEX('Launch Readiness'!$B$26:$F$26,1,ROUNDUP((F$6-'Launch Readiness'!$B$7)/12,0))))))-IF(F$6&lt;'Launch Readiness'!$E$6,0,INDEX('Scenario Engine'!$B$47:$F$47,1,F$7)/MAX(1,INDEX('Launch Readiness'!$B$26:$F$26,1,F$7)))-INDEX('Scenario Engine'!$B$52:$F$52,1,F$7)/12-((INDEX('Scenario Engine'!$B$53:$F$53,1,F$7)-'Launch Readiness'!$E$9*INDEX('Launch Readiness'!$B$34:$F$34,1,F$7)-'Launch Readiness'!$E$9*'Launch Readiness'!$B$10*INDEX('Launch Readiness'!$B$30:$F$30,1,F$7)-'Launch Readiness'!$E$16*INDEX('Launch Readiness'!$B$32:$F$32,1,F$7))/12+IF(AND(F$6&gt;='Launch Readiness'!$E$6,F$6&lt;'Launch Readiness'!$E$14),'Launch Readiness'!$E$9/12,0)+IF(AND(F$6&gt;='Launch Readiness'!$B$11,F$6&lt;'Launch Readiness'!$E$6),'Launch Readiness'!$E$9*'Launch Readiness'!$B$10/12,0)+IF(F$6&gt;='Launch Readiness'!$E$14,'Launch Readiness'!$E$16/12,0))-(IF(F$6&lt;=6,'Startup 6mo'!$F$44/6,0)+IF(F$6&lt;'Launch Readiness'!$E$6,'Launch Readiness'!$E$8/MAX(1,'Launch Readiness'!$E$7),0)+IF(F$6='Launch Readiness'!$G$14,'Launch Readiness'!$E$15,0)),0)</f>
        <v>-545841</v>
      </c>
      <c r="G52" s="103">
        <f>ROUND(F52+(IF(G$6&lt;='Launch Readiness'!$B$7,0,IF((G$6-'Launch Readiness'!$B$7)&lt;'Launch Readiness'!$E$6,0,INDEX('Scenario Engine'!$B$30:$F$30,1,ROUNDUP((G$6-'Launch Readiness'!$B$7)/12,0))/MAX(1,INDEX('Launch Readiness'!$B$26:$F$26,1,ROUNDUP((G$6-'Launch Readiness'!$B$7)/12,0))))))-IF(G$6&lt;'Launch Readiness'!$E$6,0,INDEX('Scenario Engine'!$B$47:$F$47,1,G$7)/MAX(1,INDEX('Launch Readiness'!$B$26:$F$26,1,G$7)))-INDEX('Scenario Engine'!$B$52:$F$52,1,G$7)/12-((INDEX('Scenario Engine'!$B$53:$F$53,1,G$7)-'Launch Readiness'!$E$9*INDEX('Launch Readiness'!$B$34:$F$34,1,G$7)-'Launch Readiness'!$E$9*'Launch Readiness'!$B$10*INDEX('Launch Readiness'!$B$30:$F$30,1,G$7)-'Launch Readiness'!$E$16*INDEX('Launch Readiness'!$B$32:$F$32,1,G$7))/12+IF(AND(G$6&gt;='Launch Readiness'!$E$6,G$6&lt;'Launch Readiness'!$E$14),'Launch Readiness'!$E$9/12,0)+IF(AND(G$6&gt;='Launch Readiness'!$B$11,G$6&lt;'Launch Readiness'!$E$6),'Launch Readiness'!$E$9*'Launch Readiness'!$B$10/12,0)+IF(G$6&gt;='Launch Readiness'!$E$14,'Launch Readiness'!$E$16/12,0))-(IF(G$6&lt;=6,'Startup 6mo'!$F$44/6,0)+IF(G$6&lt;'Launch Readiness'!$E$6,'Launch Readiness'!$E$8/MAX(1,'Launch Readiness'!$E$7),0)+IF(G$6='Launch Readiness'!$G$14,'Launch Readiness'!$E$15,0)),0)</f>
        <v>-655400</v>
      </c>
      <c r="H52" s="103">
        <f>ROUND(G52+(IF(H$6&lt;='Launch Readiness'!$B$7,0,IF((H$6-'Launch Readiness'!$B$7)&lt;'Launch Readiness'!$E$6,0,INDEX('Scenario Engine'!$B$30:$F$30,1,ROUNDUP((H$6-'Launch Readiness'!$B$7)/12,0))/MAX(1,INDEX('Launch Readiness'!$B$26:$F$26,1,ROUNDUP((H$6-'Launch Readiness'!$B$7)/12,0))))))-IF(H$6&lt;'Launch Readiness'!$E$6,0,INDEX('Scenario Engine'!$B$47:$F$47,1,H$7)/MAX(1,INDEX('Launch Readiness'!$B$26:$F$26,1,H$7)))-INDEX('Scenario Engine'!$B$52:$F$52,1,H$7)/12-((INDEX('Scenario Engine'!$B$53:$F$53,1,H$7)-'Launch Readiness'!$E$9*INDEX('Launch Readiness'!$B$34:$F$34,1,H$7)-'Launch Readiness'!$E$9*'Launch Readiness'!$B$10*INDEX('Launch Readiness'!$B$30:$F$30,1,H$7)-'Launch Readiness'!$E$16*INDEX('Launch Readiness'!$B$32:$F$32,1,H$7))/12+IF(AND(H$6&gt;='Launch Readiness'!$E$6,H$6&lt;'Launch Readiness'!$E$14),'Launch Readiness'!$E$9/12,0)+IF(AND(H$6&gt;='Launch Readiness'!$B$11,H$6&lt;'Launch Readiness'!$E$6),'Launch Readiness'!$E$9*'Launch Readiness'!$B$10/12,0)+IF(H$6&gt;='Launch Readiness'!$E$14,'Launch Readiness'!$E$16/12,0))-(IF(H$6&lt;=6,'Startup 6mo'!$F$44/6,0)+IF(H$6&lt;'Launch Readiness'!$E$6,'Launch Readiness'!$E$8/MAX(1,'Launch Readiness'!$E$7),0)+IF(H$6='Launch Readiness'!$G$14,'Launch Readiness'!$E$15,0)),0)</f>
        <v>-724391</v>
      </c>
      <c r="I52" s="103">
        <f>ROUND(H52+(IF(I$6&lt;='Launch Readiness'!$B$7,0,IF((I$6-'Launch Readiness'!$B$7)&lt;'Launch Readiness'!$E$6,0,INDEX('Scenario Engine'!$B$30:$F$30,1,ROUNDUP((I$6-'Launch Readiness'!$B$7)/12,0))/MAX(1,INDEX('Launch Readiness'!$B$26:$F$26,1,ROUNDUP((I$6-'Launch Readiness'!$B$7)/12,0))))))-IF(I$6&lt;'Launch Readiness'!$E$6,0,INDEX('Scenario Engine'!$B$47:$F$47,1,I$7)/MAX(1,INDEX('Launch Readiness'!$B$26:$F$26,1,I$7)))-INDEX('Scenario Engine'!$B$52:$F$52,1,I$7)/12-((INDEX('Scenario Engine'!$B$53:$F$53,1,I$7)-'Launch Readiness'!$E$9*INDEX('Launch Readiness'!$B$34:$F$34,1,I$7)-'Launch Readiness'!$E$9*'Launch Readiness'!$B$10*INDEX('Launch Readiness'!$B$30:$F$30,1,I$7)-'Launch Readiness'!$E$16*INDEX('Launch Readiness'!$B$32:$F$32,1,I$7))/12+IF(AND(I$6&gt;='Launch Readiness'!$E$6,I$6&lt;'Launch Readiness'!$E$14),'Launch Readiness'!$E$9/12,0)+IF(AND(I$6&gt;='Launch Readiness'!$B$11,I$6&lt;'Launch Readiness'!$E$6),'Launch Readiness'!$E$9*'Launch Readiness'!$B$10/12,0)+IF(I$6&gt;='Launch Readiness'!$E$14,'Launch Readiness'!$E$16/12,0))-(IF(I$6&lt;=6,'Startup 6mo'!$F$44/6,0)+IF(I$6&lt;'Launch Readiness'!$E$6,'Launch Readiness'!$E$8/MAX(1,'Launch Readiness'!$E$7),0)+IF(I$6='Launch Readiness'!$G$14,'Launch Readiness'!$E$15,0)),0)</f>
        <v>-793382</v>
      </c>
      <c r="J52" s="103">
        <f>ROUND(I52+(IF(J$6&lt;='Launch Readiness'!$B$7,0,IF((J$6-'Launch Readiness'!$B$7)&lt;'Launch Readiness'!$E$6,0,INDEX('Scenario Engine'!$B$30:$F$30,1,ROUNDUP((J$6-'Launch Readiness'!$B$7)/12,0))/MAX(1,INDEX('Launch Readiness'!$B$26:$F$26,1,ROUNDUP((J$6-'Launch Readiness'!$B$7)/12,0))))))-IF(J$6&lt;'Launch Readiness'!$E$6,0,INDEX('Scenario Engine'!$B$47:$F$47,1,J$7)/MAX(1,INDEX('Launch Readiness'!$B$26:$F$26,1,J$7)))-INDEX('Scenario Engine'!$B$52:$F$52,1,J$7)/12-((INDEX('Scenario Engine'!$B$53:$F$53,1,J$7)-'Launch Readiness'!$E$9*INDEX('Launch Readiness'!$B$34:$F$34,1,J$7)-'Launch Readiness'!$E$9*'Launch Readiness'!$B$10*INDEX('Launch Readiness'!$B$30:$F$30,1,J$7)-'Launch Readiness'!$E$16*INDEX('Launch Readiness'!$B$32:$F$32,1,J$7))/12+IF(AND(J$6&gt;='Launch Readiness'!$E$6,J$6&lt;'Launch Readiness'!$E$14),'Launch Readiness'!$E$9/12,0)+IF(AND(J$6&gt;='Launch Readiness'!$B$11,J$6&lt;'Launch Readiness'!$E$6),'Launch Readiness'!$E$9*'Launch Readiness'!$B$10/12,0)+IF(J$6&gt;='Launch Readiness'!$E$14,'Launch Readiness'!$E$16/12,0))-(IF(J$6&lt;=6,'Startup 6mo'!$F$44/6,0)+IF(J$6&lt;'Launch Readiness'!$E$6,'Launch Readiness'!$E$8/MAX(1,'Launch Readiness'!$E$7),0)+IF(J$6='Launch Readiness'!$G$14,'Launch Readiness'!$E$15,0)),0)</f>
        <v>-862373</v>
      </c>
      <c r="K52" s="103">
        <f>ROUND(J52+(IF(K$6&lt;='Launch Readiness'!$B$7,0,IF((K$6-'Launch Readiness'!$B$7)&lt;'Launch Readiness'!$E$6,0,INDEX('Scenario Engine'!$B$30:$F$30,1,ROUNDUP((K$6-'Launch Readiness'!$B$7)/12,0))/MAX(1,INDEX('Launch Readiness'!$B$26:$F$26,1,ROUNDUP((K$6-'Launch Readiness'!$B$7)/12,0))))))-IF(K$6&lt;'Launch Readiness'!$E$6,0,INDEX('Scenario Engine'!$B$47:$F$47,1,K$7)/MAX(1,INDEX('Launch Readiness'!$B$26:$F$26,1,K$7)))-INDEX('Scenario Engine'!$B$52:$F$52,1,K$7)/12-((INDEX('Scenario Engine'!$B$53:$F$53,1,K$7)-'Launch Readiness'!$E$9*INDEX('Launch Readiness'!$B$34:$F$34,1,K$7)-'Launch Readiness'!$E$9*'Launch Readiness'!$B$10*INDEX('Launch Readiness'!$B$30:$F$30,1,K$7)-'Launch Readiness'!$E$16*INDEX('Launch Readiness'!$B$32:$F$32,1,K$7))/12+IF(AND(K$6&gt;='Launch Readiness'!$E$6,K$6&lt;'Launch Readiness'!$E$14),'Launch Readiness'!$E$9/12,0)+IF(AND(K$6&gt;='Launch Readiness'!$B$11,K$6&lt;'Launch Readiness'!$E$6),'Launch Readiness'!$E$9*'Launch Readiness'!$B$10/12,0)+IF(K$6&gt;='Launch Readiness'!$E$14,'Launch Readiness'!$E$16/12,0))-(IF(K$6&lt;=6,'Startup 6mo'!$F$44/6,0)+IF(K$6&lt;'Launch Readiness'!$E$6,'Launch Readiness'!$E$8/MAX(1,'Launch Readiness'!$E$7),0)+IF(K$6='Launch Readiness'!$G$14,'Launch Readiness'!$E$15,0)),0)</f>
        <v>-931364</v>
      </c>
      <c r="L52" s="103">
        <f>ROUND(K52+(IF(L$6&lt;='Launch Readiness'!$B$7,0,IF((L$6-'Launch Readiness'!$B$7)&lt;'Launch Readiness'!$E$6,0,INDEX('Scenario Engine'!$B$30:$F$30,1,ROUNDUP((L$6-'Launch Readiness'!$B$7)/12,0))/MAX(1,INDEX('Launch Readiness'!$B$26:$F$26,1,ROUNDUP((L$6-'Launch Readiness'!$B$7)/12,0))))))-IF(L$6&lt;'Launch Readiness'!$E$6,0,INDEX('Scenario Engine'!$B$47:$F$47,1,L$7)/MAX(1,INDEX('Launch Readiness'!$B$26:$F$26,1,L$7)))-INDEX('Scenario Engine'!$B$52:$F$52,1,L$7)/12-((INDEX('Scenario Engine'!$B$53:$F$53,1,L$7)-'Launch Readiness'!$E$9*INDEX('Launch Readiness'!$B$34:$F$34,1,L$7)-'Launch Readiness'!$E$9*'Launch Readiness'!$B$10*INDEX('Launch Readiness'!$B$30:$F$30,1,L$7)-'Launch Readiness'!$E$16*INDEX('Launch Readiness'!$B$32:$F$32,1,L$7))/12+IF(AND(L$6&gt;='Launch Readiness'!$E$6,L$6&lt;'Launch Readiness'!$E$14),'Launch Readiness'!$E$9/12,0)+IF(AND(L$6&gt;='Launch Readiness'!$B$11,L$6&lt;'Launch Readiness'!$E$6),'Launch Readiness'!$E$9*'Launch Readiness'!$B$10/12,0)+IF(L$6&gt;='Launch Readiness'!$E$14,'Launch Readiness'!$E$16/12,0))-(IF(L$6&lt;=6,'Startup 6mo'!$F$44/6,0)+IF(L$6&lt;'Launch Readiness'!$E$6,'Launch Readiness'!$E$8/MAX(1,'Launch Readiness'!$E$7),0)+IF(L$6='Launch Readiness'!$G$14,'Launch Readiness'!$E$15,0)),0)</f>
        <v>-1000355</v>
      </c>
      <c r="M52" s="103">
        <f>ROUND(L52+(IF(M$6&lt;='Launch Readiness'!$B$7,0,IF((M$6-'Launch Readiness'!$B$7)&lt;'Launch Readiness'!$E$6,0,INDEX('Scenario Engine'!$B$30:$F$30,1,ROUNDUP((M$6-'Launch Readiness'!$B$7)/12,0))/MAX(1,INDEX('Launch Readiness'!$B$26:$F$26,1,ROUNDUP((M$6-'Launch Readiness'!$B$7)/12,0))))))-IF(M$6&lt;'Launch Readiness'!$E$6,0,INDEX('Scenario Engine'!$B$47:$F$47,1,M$7)/MAX(1,INDEX('Launch Readiness'!$B$26:$F$26,1,M$7)))-INDEX('Scenario Engine'!$B$52:$F$52,1,M$7)/12-((INDEX('Scenario Engine'!$B$53:$F$53,1,M$7)-'Launch Readiness'!$E$9*INDEX('Launch Readiness'!$B$34:$F$34,1,M$7)-'Launch Readiness'!$E$9*'Launch Readiness'!$B$10*INDEX('Launch Readiness'!$B$30:$F$30,1,M$7)-'Launch Readiness'!$E$16*INDEX('Launch Readiness'!$B$32:$F$32,1,M$7))/12+IF(AND(M$6&gt;='Launch Readiness'!$E$6,M$6&lt;'Launch Readiness'!$E$14),'Launch Readiness'!$E$9/12,0)+IF(AND(M$6&gt;='Launch Readiness'!$B$11,M$6&lt;'Launch Readiness'!$E$6),'Launch Readiness'!$E$9*'Launch Readiness'!$B$10/12,0)+IF(M$6&gt;='Launch Readiness'!$E$14,'Launch Readiness'!$E$16/12,0))-(IF(M$6&lt;=6,'Startup 6mo'!$F$44/6,0)+IF(M$6&lt;'Launch Readiness'!$E$6,'Launch Readiness'!$E$8/MAX(1,'Launch Readiness'!$E$7),0)+IF(M$6='Launch Readiness'!$G$14,'Launch Readiness'!$E$15,0)),0)</f>
        <v>-1067873</v>
      </c>
      <c r="N52" s="103">
        <f>ROUND(M52+(IF(N$6&lt;='Launch Readiness'!$B$7,0,IF((N$6-'Launch Readiness'!$B$7)&lt;'Launch Readiness'!$E$6,0,INDEX('Scenario Engine'!$B$30:$F$30,1,ROUNDUP((N$6-'Launch Readiness'!$B$7)/12,0))/MAX(1,INDEX('Launch Readiness'!$B$26:$F$26,1,ROUNDUP((N$6-'Launch Readiness'!$B$7)/12,0))))))-IF(N$6&lt;'Launch Readiness'!$E$6,0,INDEX('Scenario Engine'!$B$47:$F$47,1,N$7)/MAX(1,INDEX('Launch Readiness'!$B$26:$F$26,1,N$7)))-INDEX('Scenario Engine'!$B$52:$F$52,1,N$7)/12-((INDEX('Scenario Engine'!$B$53:$F$53,1,N$7)-'Launch Readiness'!$E$9*INDEX('Launch Readiness'!$B$34:$F$34,1,N$7)-'Launch Readiness'!$E$9*'Launch Readiness'!$B$10*INDEX('Launch Readiness'!$B$30:$F$30,1,N$7)-'Launch Readiness'!$E$16*INDEX('Launch Readiness'!$B$32:$F$32,1,N$7))/12+IF(AND(N$6&gt;='Launch Readiness'!$E$6,N$6&lt;'Launch Readiness'!$E$14),'Launch Readiness'!$E$9/12,0)+IF(AND(N$6&gt;='Launch Readiness'!$B$11,N$6&lt;'Launch Readiness'!$E$6),'Launch Readiness'!$E$9*'Launch Readiness'!$B$10/12,0)+IF(N$6&gt;='Launch Readiness'!$E$14,'Launch Readiness'!$E$16/12,0))-(IF(N$6&lt;=6,'Startup 6mo'!$F$44/6,0)+IF(N$6&lt;'Launch Readiness'!$E$6,'Launch Readiness'!$E$8/MAX(1,'Launch Readiness'!$E$7),0)+IF(N$6='Launch Readiness'!$G$14,'Launch Readiness'!$E$15,0)),0)</f>
        <v>-1168659</v>
      </c>
      <c r="O52" s="103">
        <f>ROUND(N52+(IF(O$6&lt;='Launch Readiness'!$B$7,0,IF((O$6-'Launch Readiness'!$B$7)&lt;'Launch Readiness'!$E$6,0,INDEX('Scenario Engine'!$B$30:$F$30,1,ROUNDUP((O$6-'Launch Readiness'!$B$7)/12,0))/MAX(1,INDEX('Launch Readiness'!$B$26:$F$26,1,ROUNDUP((O$6-'Launch Readiness'!$B$7)/12,0))))))-IF(O$6&lt;'Launch Readiness'!$E$6,0,INDEX('Scenario Engine'!$B$47:$F$47,1,O$7)/MAX(1,INDEX('Launch Readiness'!$B$26:$F$26,1,O$7)))-INDEX('Scenario Engine'!$B$52:$F$52,1,O$7)/12-((INDEX('Scenario Engine'!$B$53:$F$53,1,O$7)-'Launch Readiness'!$E$9*INDEX('Launch Readiness'!$B$34:$F$34,1,O$7)-'Launch Readiness'!$E$9*'Launch Readiness'!$B$10*INDEX('Launch Readiness'!$B$30:$F$30,1,O$7)-'Launch Readiness'!$E$16*INDEX('Launch Readiness'!$B$32:$F$32,1,O$7))/12+IF(AND(O$6&gt;='Launch Readiness'!$E$6,O$6&lt;'Launch Readiness'!$E$14),'Launch Readiness'!$E$9/12,0)+IF(AND(O$6&gt;='Launch Readiness'!$B$11,O$6&lt;'Launch Readiness'!$E$6),'Launch Readiness'!$E$9*'Launch Readiness'!$B$10/12,0)+IF(O$6&gt;='Launch Readiness'!$E$14,'Launch Readiness'!$E$16/12,0))-(IF(O$6&lt;=6,'Startup 6mo'!$F$44/6,0)+IF(O$6&lt;'Launch Readiness'!$E$6,'Launch Readiness'!$E$8/MAX(1,'Launch Readiness'!$E$7),0)+IF(O$6='Launch Readiness'!$G$14,'Launch Readiness'!$E$15,0)),0)</f>
        <v>-1251119</v>
      </c>
      <c r="P52" s="103">
        <f>ROUND(O52+(IF(P$6&lt;='Launch Readiness'!$B$7,0,IF((P$6-'Launch Readiness'!$B$7)&lt;'Launch Readiness'!$E$6,0,INDEX('Scenario Engine'!$B$30:$F$30,1,ROUNDUP((P$6-'Launch Readiness'!$B$7)/12,0))/MAX(1,INDEX('Launch Readiness'!$B$26:$F$26,1,ROUNDUP((P$6-'Launch Readiness'!$B$7)/12,0))))))-IF(P$6&lt;'Launch Readiness'!$E$6,0,INDEX('Scenario Engine'!$B$47:$F$47,1,P$7)/MAX(1,INDEX('Launch Readiness'!$B$26:$F$26,1,P$7)))-INDEX('Scenario Engine'!$B$52:$F$52,1,P$7)/12-((INDEX('Scenario Engine'!$B$53:$F$53,1,P$7)-'Launch Readiness'!$E$9*INDEX('Launch Readiness'!$B$34:$F$34,1,P$7)-'Launch Readiness'!$E$9*'Launch Readiness'!$B$10*INDEX('Launch Readiness'!$B$30:$F$30,1,P$7)-'Launch Readiness'!$E$16*INDEX('Launch Readiness'!$B$32:$F$32,1,P$7))/12+IF(AND(P$6&gt;='Launch Readiness'!$E$6,P$6&lt;'Launch Readiness'!$E$14),'Launch Readiness'!$E$9/12,0)+IF(AND(P$6&gt;='Launch Readiness'!$B$11,P$6&lt;'Launch Readiness'!$E$6),'Launch Readiness'!$E$9*'Launch Readiness'!$B$10/12,0)+IF(P$6&gt;='Launch Readiness'!$E$14,'Launch Readiness'!$E$16/12,0))-(IF(P$6&lt;=6,'Startup 6mo'!$F$44/6,0)+IF(P$6&lt;'Launch Readiness'!$E$6,'Launch Readiness'!$E$8/MAX(1,'Launch Readiness'!$E$7),0)+IF(P$6='Launch Readiness'!$G$14,'Launch Readiness'!$E$15,0)),0)</f>
        <v>-1333579</v>
      </c>
      <c r="Q52" s="103">
        <f>ROUND(P52+(IF(Q$6&lt;='Launch Readiness'!$B$7,0,IF((Q$6-'Launch Readiness'!$B$7)&lt;'Launch Readiness'!$E$6,0,INDEX('Scenario Engine'!$B$30:$F$30,1,ROUNDUP((Q$6-'Launch Readiness'!$B$7)/12,0))/MAX(1,INDEX('Launch Readiness'!$B$26:$F$26,1,ROUNDUP((Q$6-'Launch Readiness'!$B$7)/12,0))))))-IF(Q$6&lt;'Launch Readiness'!$E$6,0,INDEX('Scenario Engine'!$B$47:$F$47,1,Q$7)/MAX(1,INDEX('Launch Readiness'!$B$26:$F$26,1,Q$7)))-INDEX('Scenario Engine'!$B$52:$F$52,1,Q$7)/12-((INDEX('Scenario Engine'!$B$53:$F$53,1,Q$7)-'Launch Readiness'!$E$9*INDEX('Launch Readiness'!$B$34:$F$34,1,Q$7)-'Launch Readiness'!$E$9*'Launch Readiness'!$B$10*INDEX('Launch Readiness'!$B$30:$F$30,1,Q$7)-'Launch Readiness'!$E$16*INDEX('Launch Readiness'!$B$32:$F$32,1,Q$7))/12+IF(AND(Q$6&gt;='Launch Readiness'!$E$6,Q$6&lt;'Launch Readiness'!$E$14),'Launch Readiness'!$E$9/12,0)+IF(AND(Q$6&gt;='Launch Readiness'!$B$11,Q$6&lt;'Launch Readiness'!$E$6),'Launch Readiness'!$E$9*'Launch Readiness'!$B$10/12,0)+IF(Q$6&gt;='Launch Readiness'!$E$14,'Launch Readiness'!$E$16/12,0))-(IF(Q$6&lt;=6,'Startup 6mo'!$F$44/6,0)+IF(Q$6&lt;'Launch Readiness'!$E$6,'Launch Readiness'!$E$8/MAX(1,'Launch Readiness'!$E$7),0)+IF(Q$6='Launch Readiness'!$G$14,'Launch Readiness'!$E$15,0)),0)</f>
        <v>-1416039</v>
      </c>
      <c r="R52" s="103">
        <f>ROUND(Q52+(IF(R$6&lt;='Launch Readiness'!$B$7,0,IF((R$6-'Launch Readiness'!$B$7)&lt;'Launch Readiness'!$E$6,0,INDEX('Scenario Engine'!$B$30:$F$30,1,ROUNDUP((R$6-'Launch Readiness'!$B$7)/12,0))/MAX(1,INDEX('Launch Readiness'!$B$26:$F$26,1,ROUNDUP((R$6-'Launch Readiness'!$B$7)/12,0))))))-IF(R$6&lt;'Launch Readiness'!$E$6,0,INDEX('Scenario Engine'!$B$47:$F$47,1,R$7)/MAX(1,INDEX('Launch Readiness'!$B$26:$F$26,1,R$7)))-INDEX('Scenario Engine'!$B$52:$F$52,1,R$7)/12-((INDEX('Scenario Engine'!$B$53:$F$53,1,R$7)-'Launch Readiness'!$E$9*INDEX('Launch Readiness'!$B$34:$F$34,1,R$7)-'Launch Readiness'!$E$9*'Launch Readiness'!$B$10*INDEX('Launch Readiness'!$B$30:$F$30,1,R$7)-'Launch Readiness'!$E$16*INDEX('Launch Readiness'!$B$32:$F$32,1,R$7))/12+IF(AND(R$6&gt;='Launch Readiness'!$E$6,R$6&lt;'Launch Readiness'!$E$14),'Launch Readiness'!$E$9/12,0)+IF(AND(R$6&gt;='Launch Readiness'!$B$11,R$6&lt;'Launch Readiness'!$E$6),'Launch Readiness'!$E$9*'Launch Readiness'!$B$10/12,0)+IF(R$6&gt;='Launch Readiness'!$E$14,'Launch Readiness'!$E$16/12,0))-(IF(R$6&lt;=6,'Startup 6mo'!$F$44/6,0)+IF(R$6&lt;'Launch Readiness'!$E$6,'Launch Readiness'!$E$8/MAX(1,'Launch Readiness'!$E$7),0)+IF(R$6='Launch Readiness'!$G$14,'Launch Readiness'!$E$15,0)),0)</f>
        <v>-1498499</v>
      </c>
      <c r="S52" s="103">
        <f>ROUND(R52+(IF(S$6&lt;='Launch Readiness'!$B$7,0,IF((S$6-'Launch Readiness'!$B$7)&lt;'Launch Readiness'!$E$6,0,INDEX('Scenario Engine'!$B$30:$F$30,1,ROUNDUP((S$6-'Launch Readiness'!$B$7)/12,0))/MAX(1,INDEX('Launch Readiness'!$B$26:$F$26,1,ROUNDUP((S$6-'Launch Readiness'!$B$7)/12,0))))))-IF(S$6&lt;'Launch Readiness'!$E$6,0,INDEX('Scenario Engine'!$B$47:$F$47,1,S$7)/MAX(1,INDEX('Launch Readiness'!$B$26:$F$26,1,S$7)))-INDEX('Scenario Engine'!$B$52:$F$52,1,S$7)/12-((INDEX('Scenario Engine'!$B$53:$F$53,1,S$7)-'Launch Readiness'!$E$9*INDEX('Launch Readiness'!$B$34:$F$34,1,S$7)-'Launch Readiness'!$E$9*'Launch Readiness'!$B$10*INDEX('Launch Readiness'!$B$30:$F$30,1,S$7)-'Launch Readiness'!$E$16*INDEX('Launch Readiness'!$B$32:$F$32,1,S$7))/12+IF(AND(S$6&gt;='Launch Readiness'!$E$6,S$6&lt;'Launch Readiness'!$E$14),'Launch Readiness'!$E$9/12,0)+IF(AND(S$6&gt;='Launch Readiness'!$B$11,S$6&lt;'Launch Readiness'!$E$6),'Launch Readiness'!$E$9*'Launch Readiness'!$B$10/12,0)+IF(S$6&gt;='Launch Readiness'!$E$14,'Launch Readiness'!$E$16/12,0))-(IF(S$6&lt;=6,'Startup 6mo'!$F$44/6,0)+IF(S$6&lt;'Launch Readiness'!$E$6,'Launch Readiness'!$E$8/MAX(1,'Launch Readiness'!$E$7),0)+IF(S$6='Launch Readiness'!$G$14,'Launch Readiness'!$E$15,0)),0)</f>
        <v>-1623505</v>
      </c>
      <c r="T52" s="103">
        <f>ROUND(S52+(IF(T$6&lt;='Launch Readiness'!$B$7,0,IF((T$6-'Launch Readiness'!$B$7)&lt;'Launch Readiness'!$E$6,0,INDEX('Scenario Engine'!$B$30:$F$30,1,ROUNDUP((T$6-'Launch Readiness'!$B$7)/12,0))/MAX(1,INDEX('Launch Readiness'!$B$26:$F$26,1,ROUNDUP((T$6-'Launch Readiness'!$B$7)/12,0))))))-IF(T$6&lt;'Launch Readiness'!$E$6,0,INDEX('Scenario Engine'!$B$47:$F$47,1,T$7)/MAX(1,INDEX('Launch Readiness'!$B$26:$F$26,1,T$7)))-INDEX('Scenario Engine'!$B$52:$F$52,1,T$7)/12-((INDEX('Scenario Engine'!$B$53:$F$53,1,T$7)-'Launch Readiness'!$E$9*INDEX('Launch Readiness'!$B$34:$F$34,1,T$7)-'Launch Readiness'!$E$9*'Launch Readiness'!$B$10*INDEX('Launch Readiness'!$B$30:$F$30,1,T$7)-'Launch Readiness'!$E$16*INDEX('Launch Readiness'!$B$32:$F$32,1,T$7))/12+IF(AND(T$6&gt;='Launch Readiness'!$E$6,T$6&lt;'Launch Readiness'!$E$14),'Launch Readiness'!$E$9/12,0)+IF(AND(T$6&gt;='Launch Readiness'!$B$11,T$6&lt;'Launch Readiness'!$E$6),'Launch Readiness'!$E$9*'Launch Readiness'!$B$10/12,0)+IF(T$6&gt;='Launch Readiness'!$E$14,'Launch Readiness'!$E$16/12,0))-(IF(T$6&lt;=6,'Startup 6mo'!$F$44/6,0)+IF(T$6&lt;'Launch Readiness'!$E$6,'Launch Readiness'!$E$8/MAX(1,'Launch Readiness'!$E$7),0)+IF(T$6='Launch Readiness'!$G$14,'Launch Readiness'!$E$15,0)),0)</f>
        <v>-1705965</v>
      </c>
      <c r="U52" s="103">
        <f>ROUND(T52+(IF(U$6&lt;='Launch Readiness'!$B$7,0,IF((U$6-'Launch Readiness'!$B$7)&lt;'Launch Readiness'!$E$6,0,INDEX('Scenario Engine'!$B$30:$F$30,1,ROUNDUP((U$6-'Launch Readiness'!$B$7)/12,0))/MAX(1,INDEX('Launch Readiness'!$B$26:$F$26,1,ROUNDUP((U$6-'Launch Readiness'!$B$7)/12,0))))))-IF(U$6&lt;'Launch Readiness'!$E$6,0,INDEX('Scenario Engine'!$B$47:$F$47,1,U$7)/MAX(1,INDEX('Launch Readiness'!$B$26:$F$26,1,U$7)))-INDEX('Scenario Engine'!$B$52:$F$52,1,U$7)/12-((INDEX('Scenario Engine'!$B$53:$F$53,1,U$7)-'Launch Readiness'!$E$9*INDEX('Launch Readiness'!$B$34:$F$34,1,U$7)-'Launch Readiness'!$E$9*'Launch Readiness'!$B$10*INDEX('Launch Readiness'!$B$30:$F$30,1,U$7)-'Launch Readiness'!$E$16*INDEX('Launch Readiness'!$B$32:$F$32,1,U$7))/12+IF(AND(U$6&gt;='Launch Readiness'!$E$6,U$6&lt;'Launch Readiness'!$E$14),'Launch Readiness'!$E$9/12,0)+IF(AND(U$6&gt;='Launch Readiness'!$B$11,U$6&lt;'Launch Readiness'!$E$6),'Launch Readiness'!$E$9*'Launch Readiness'!$B$10/12,0)+IF(U$6&gt;='Launch Readiness'!$E$14,'Launch Readiness'!$E$16/12,0))-(IF(U$6&lt;=6,'Startup 6mo'!$F$44/6,0)+IF(U$6&lt;'Launch Readiness'!$E$6,'Launch Readiness'!$E$8/MAX(1,'Launch Readiness'!$E$7),0)+IF(U$6='Launch Readiness'!$G$14,'Launch Readiness'!$E$15,0)),0)</f>
        <v>-1788425</v>
      </c>
      <c r="V52" s="103">
        <f>ROUND(U52+(IF(V$6&lt;='Launch Readiness'!$B$7,0,IF((V$6-'Launch Readiness'!$B$7)&lt;'Launch Readiness'!$E$6,0,INDEX('Scenario Engine'!$B$30:$F$30,1,ROUNDUP((V$6-'Launch Readiness'!$B$7)/12,0))/MAX(1,INDEX('Launch Readiness'!$B$26:$F$26,1,ROUNDUP((V$6-'Launch Readiness'!$B$7)/12,0))))))-IF(V$6&lt;'Launch Readiness'!$E$6,0,INDEX('Scenario Engine'!$B$47:$F$47,1,V$7)/MAX(1,INDEX('Launch Readiness'!$B$26:$F$26,1,V$7)))-INDEX('Scenario Engine'!$B$52:$F$52,1,V$7)/12-((INDEX('Scenario Engine'!$B$53:$F$53,1,V$7)-'Launch Readiness'!$E$9*INDEX('Launch Readiness'!$B$34:$F$34,1,V$7)-'Launch Readiness'!$E$9*'Launch Readiness'!$B$10*INDEX('Launch Readiness'!$B$30:$F$30,1,V$7)-'Launch Readiness'!$E$16*INDEX('Launch Readiness'!$B$32:$F$32,1,V$7))/12+IF(AND(V$6&gt;='Launch Readiness'!$E$6,V$6&lt;'Launch Readiness'!$E$14),'Launch Readiness'!$E$9/12,0)+IF(AND(V$6&gt;='Launch Readiness'!$B$11,V$6&lt;'Launch Readiness'!$E$6),'Launch Readiness'!$E$9*'Launch Readiness'!$B$10/12,0)+IF(V$6&gt;='Launch Readiness'!$E$14,'Launch Readiness'!$E$16/12,0))-(IF(V$6&lt;=6,'Startup 6mo'!$F$44/6,0)+IF(V$6&lt;'Launch Readiness'!$E$6,'Launch Readiness'!$E$8/MAX(1,'Launch Readiness'!$E$7),0)+IF(V$6='Launch Readiness'!$G$14,'Launch Readiness'!$E$15,0)),0)</f>
        <v>-1870885</v>
      </c>
      <c r="W52" s="103">
        <f>ROUND(V52+(IF(W$6&lt;='Launch Readiness'!$B$7,0,IF((W$6-'Launch Readiness'!$B$7)&lt;'Launch Readiness'!$E$6,0,INDEX('Scenario Engine'!$B$30:$F$30,1,ROUNDUP((W$6-'Launch Readiness'!$B$7)/12,0))/MAX(1,INDEX('Launch Readiness'!$B$26:$F$26,1,ROUNDUP((W$6-'Launch Readiness'!$B$7)/12,0))))))-IF(W$6&lt;'Launch Readiness'!$E$6,0,INDEX('Scenario Engine'!$B$47:$F$47,1,W$7)/MAX(1,INDEX('Launch Readiness'!$B$26:$F$26,1,W$7)))-INDEX('Scenario Engine'!$B$52:$F$52,1,W$7)/12-((INDEX('Scenario Engine'!$B$53:$F$53,1,W$7)-'Launch Readiness'!$E$9*INDEX('Launch Readiness'!$B$34:$F$34,1,W$7)-'Launch Readiness'!$E$9*'Launch Readiness'!$B$10*INDEX('Launch Readiness'!$B$30:$F$30,1,W$7)-'Launch Readiness'!$E$16*INDEX('Launch Readiness'!$B$32:$F$32,1,W$7))/12+IF(AND(W$6&gt;='Launch Readiness'!$E$6,W$6&lt;'Launch Readiness'!$E$14),'Launch Readiness'!$E$9/12,0)+IF(AND(W$6&gt;='Launch Readiness'!$B$11,W$6&lt;'Launch Readiness'!$E$6),'Launch Readiness'!$E$9*'Launch Readiness'!$B$10/12,0)+IF(W$6&gt;='Launch Readiness'!$E$14,'Launch Readiness'!$E$16/12,0))-(IF(W$6&lt;=6,'Startup 6mo'!$F$44/6,0)+IF(W$6&lt;'Launch Readiness'!$E$6,'Launch Readiness'!$E$8/MAX(1,'Launch Readiness'!$E$7),0)+IF(W$6='Launch Readiness'!$G$14,'Launch Readiness'!$E$15,0)),0)</f>
        <v>-1953345</v>
      </c>
      <c r="X52" s="103">
        <f>ROUND(W52+(IF(X$6&lt;='Launch Readiness'!$B$7,0,IF((X$6-'Launch Readiness'!$B$7)&lt;'Launch Readiness'!$E$6,0,INDEX('Scenario Engine'!$B$30:$F$30,1,ROUNDUP((X$6-'Launch Readiness'!$B$7)/12,0))/MAX(1,INDEX('Launch Readiness'!$B$26:$F$26,1,ROUNDUP((X$6-'Launch Readiness'!$B$7)/12,0))))))-IF(X$6&lt;'Launch Readiness'!$E$6,0,INDEX('Scenario Engine'!$B$47:$F$47,1,X$7)/MAX(1,INDEX('Launch Readiness'!$B$26:$F$26,1,X$7)))-INDEX('Scenario Engine'!$B$52:$F$52,1,X$7)/12-((INDEX('Scenario Engine'!$B$53:$F$53,1,X$7)-'Launch Readiness'!$E$9*INDEX('Launch Readiness'!$B$34:$F$34,1,X$7)-'Launch Readiness'!$E$9*'Launch Readiness'!$B$10*INDEX('Launch Readiness'!$B$30:$F$30,1,X$7)-'Launch Readiness'!$E$16*INDEX('Launch Readiness'!$B$32:$F$32,1,X$7))/12+IF(AND(X$6&gt;='Launch Readiness'!$E$6,X$6&lt;'Launch Readiness'!$E$14),'Launch Readiness'!$E$9/12,0)+IF(AND(X$6&gt;='Launch Readiness'!$B$11,X$6&lt;'Launch Readiness'!$E$6),'Launch Readiness'!$E$9*'Launch Readiness'!$B$10/12,0)+IF(X$6&gt;='Launch Readiness'!$E$14,'Launch Readiness'!$E$16/12,0))-(IF(X$6&lt;=6,'Startup 6mo'!$F$44/6,0)+IF(X$6&lt;'Launch Readiness'!$E$6,'Launch Readiness'!$E$8/MAX(1,'Launch Readiness'!$E$7),0)+IF(X$6='Launch Readiness'!$G$14,'Launch Readiness'!$E$15,0)),0)</f>
        <v>-2035805</v>
      </c>
      <c r="Y52" s="103">
        <f>ROUND(X52+(IF(Y$6&lt;='Launch Readiness'!$B$7,0,IF((Y$6-'Launch Readiness'!$B$7)&lt;'Launch Readiness'!$E$6,0,INDEX('Scenario Engine'!$B$30:$F$30,1,ROUNDUP((Y$6-'Launch Readiness'!$B$7)/12,0))/MAX(1,INDEX('Launch Readiness'!$B$26:$F$26,1,ROUNDUP((Y$6-'Launch Readiness'!$B$7)/12,0))))))-IF(Y$6&lt;'Launch Readiness'!$E$6,0,INDEX('Scenario Engine'!$B$47:$F$47,1,Y$7)/MAX(1,INDEX('Launch Readiness'!$B$26:$F$26,1,Y$7)))-INDEX('Scenario Engine'!$B$52:$F$52,1,Y$7)/12-((INDEX('Scenario Engine'!$B$53:$F$53,1,Y$7)-'Launch Readiness'!$E$9*INDEX('Launch Readiness'!$B$34:$F$34,1,Y$7)-'Launch Readiness'!$E$9*'Launch Readiness'!$B$10*INDEX('Launch Readiness'!$B$30:$F$30,1,Y$7)-'Launch Readiness'!$E$16*INDEX('Launch Readiness'!$B$32:$F$32,1,Y$7))/12+IF(AND(Y$6&gt;='Launch Readiness'!$E$6,Y$6&lt;'Launch Readiness'!$E$14),'Launch Readiness'!$E$9/12,0)+IF(AND(Y$6&gt;='Launch Readiness'!$B$11,Y$6&lt;'Launch Readiness'!$E$6),'Launch Readiness'!$E$9*'Launch Readiness'!$B$10/12,0)+IF(Y$6&gt;='Launch Readiness'!$E$14,'Launch Readiness'!$E$16/12,0))-(IF(Y$6&lt;=6,'Startup 6mo'!$F$44/6,0)+IF(Y$6&lt;'Launch Readiness'!$E$6,'Launch Readiness'!$E$8/MAX(1,'Launch Readiness'!$E$7),0)+IF(Y$6='Launch Readiness'!$G$14,'Launch Readiness'!$E$15,0)),0)</f>
        <v>-2118265</v>
      </c>
      <c r="Z52" s="103">
        <f>ROUND(Y52+(IF(Z$6&lt;='Launch Readiness'!$B$7,0,IF((Z$6-'Launch Readiness'!$B$7)&lt;'Launch Readiness'!$E$6,0,INDEX('Scenario Engine'!$B$30:$F$30,1,ROUNDUP((Z$6-'Launch Readiness'!$B$7)/12,0))/MAX(1,INDEX('Launch Readiness'!$B$26:$F$26,1,ROUNDUP((Z$6-'Launch Readiness'!$B$7)/12,0))))))-IF(Z$6&lt;'Launch Readiness'!$E$6,0,INDEX('Scenario Engine'!$B$47:$F$47,1,Z$7)/MAX(1,INDEX('Launch Readiness'!$B$26:$F$26,1,Z$7)))-INDEX('Scenario Engine'!$B$52:$F$52,1,Z$7)/12-((INDEX('Scenario Engine'!$B$53:$F$53,1,Z$7)-'Launch Readiness'!$E$9*INDEX('Launch Readiness'!$B$34:$F$34,1,Z$7)-'Launch Readiness'!$E$9*'Launch Readiness'!$B$10*INDEX('Launch Readiness'!$B$30:$F$30,1,Z$7)-'Launch Readiness'!$E$16*INDEX('Launch Readiness'!$B$32:$F$32,1,Z$7))/12+IF(AND(Z$6&gt;='Launch Readiness'!$E$6,Z$6&lt;'Launch Readiness'!$E$14),'Launch Readiness'!$E$9/12,0)+IF(AND(Z$6&gt;='Launch Readiness'!$B$11,Z$6&lt;'Launch Readiness'!$E$6),'Launch Readiness'!$E$9*'Launch Readiness'!$B$10/12,0)+IF(Z$6&gt;='Launch Readiness'!$E$14,'Launch Readiness'!$E$16/12,0))-(IF(Z$6&lt;=6,'Startup 6mo'!$F$44/6,0)+IF(Z$6&lt;'Launch Readiness'!$E$6,'Launch Readiness'!$E$8/MAX(1,'Launch Readiness'!$E$7),0)+IF(Z$6='Launch Readiness'!$G$14,'Launch Readiness'!$E$15,0)),0)</f>
        <v>-2244864</v>
      </c>
      <c r="AA52" s="103">
        <f>ROUND(Z52+(IF(AA$6&lt;='Launch Readiness'!$B$7,0,IF((AA$6-'Launch Readiness'!$B$7)&lt;'Launch Readiness'!$E$6,0,INDEX('Scenario Engine'!$B$30:$F$30,1,ROUNDUP((AA$6-'Launch Readiness'!$B$7)/12,0))/MAX(1,INDEX('Launch Readiness'!$B$26:$F$26,1,ROUNDUP((AA$6-'Launch Readiness'!$B$7)/12,0))))))-IF(AA$6&lt;'Launch Readiness'!$E$6,0,INDEX('Scenario Engine'!$B$47:$F$47,1,AA$7)/MAX(1,INDEX('Launch Readiness'!$B$26:$F$26,1,AA$7)))-INDEX('Scenario Engine'!$B$52:$F$52,1,AA$7)/12-((INDEX('Scenario Engine'!$B$53:$F$53,1,AA$7)-'Launch Readiness'!$E$9*INDEX('Launch Readiness'!$B$34:$F$34,1,AA$7)-'Launch Readiness'!$E$9*'Launch Readiness'!$B$10*INDEX('Launch Readiness'!$B$30:$F$30,1,AA$7)-'Launch Readiness'!$E$16*INDEX('Launch Readiness'!$B$32:$F$32,1,AA$7))/12+IF(AND(AA$6&gt;='Launch Readiness'!$E$6,AA$6&lt;'Launch Readiness'!$E$14),'Launch Readiness'!$E$9/12,0)+IF(AND(AA$6&gt;='Launch Readiness'!$B$11,AA$6&lt;'Launch Readiness'!$E$6),'Launch Readiness'!$E$9*'Launch Readiness'!$B$10/12,0)+IF(AA$6&gt;='Launch Readiness'!$E$14,'Launch Readiness'!$E$16/12,0))-(IF(AA$6&lt;=6,'Startup 6mo'!$F$44/6,0)+IF(AA$6&lt;'Launch Readiness'!$E$6,'Launch Readiness'!$E$8/MAX(1,'Launch Readiness'!$E$7),0)+IF(AA$6='Launch Readiness'!$G$14,'Launch Readiness'!$E$15,0)),0)</f>
        <v>-2302520</v>
      </c>
      <c r="AB52" s="103">
        <f>ROUND(AA52+(IF(AB$6&lt;='Launch Readiness'!$B$7,0,IF((AB$6-'Launch Readiness'!$B$7)&lt;'Launch Readiness'!$E$6,0,INDEX('Scenario Engine'!$B$30:$F$30,1,ROUNDUP((AB$6-'Launch Readiness'!$B$7)/12,0))/MAX(1,INDEX('Launch Readiness'!$B$26:$F$26,1,ROUNDUP((AB$6-'Launch Readiness'!$B$7)/12,0))))))-IF(AB$6&lt;'Launch Readiness'!$E$6,0,INDEX('Scenario Engine'!$B$47:$F$47,1,AB$7)/MAX(1,INDEX('Launch Readiness'!$B$26:$F$26,1,AB$7)))-INDEX('Scenario Engine'!$B$52:$F$52,1,AB$7)/12-((INDEX('Scenario Engine'!$B$53:$F$53,1,AB$7)-'Launch Readiness'!$E$9*INDEX('Launch Readiness'!$B$34:$F$34,1,AB$7)-'Launch Readiness'!$E$9*'Launch Readiness'!$B$10*INDEX('Launch Readiness'!$B$30:$F$30,1,AB$7)-'Launch Readiness'!$E$16*INDEX('Launch Readiness'!$B$32:$F$32,1,AB$7))/12+IF(AND(AB$6&gt;='Launch Readiness'!$E$6,AB$6&lt;'Launch Readiness'!$E$14),'Launch Readiness'!$E$9/12,0)+IF(AND(AB$6&gt;='Launch Readiness'!$B$11,AB$6&lt;'Launch Readiness'!$E$6),'Launch Readiness'!$E$9*'Launch Readiness'!$B$10/12,0)+IF(AB$6&gt;='Launch Readiness'!$E$14,'Launch Readiness'!$E$16/12,0))-(IF(AB$6&lt;=6,'Startup 6mo'!$F$44/6,0)+IF(AB$6&lt;'Launch Readiness'!$E$6,'Launch Readiness'!$E$8/MAX(1,'Launch Readiness'!$E$7),0)+IF(AB$6='Launch Readiness'!$G$14,'Launch Readiness'!$E$15,0)),0)</f>
        <v>-2360176</v>
      </c>
      <c r="AC52" s="103">
        <f>ROUND(AB52+(IF(AC$6&lt;='Launch Readiness'!$B$7,0,IF((AC$6-'Launch Readiness'!$B$7)&lt;'Launch Readiness'!$E$6,0,INDEX('Scenario Engine'!$B$30:$F$30,1,ROUNDUP((AC$6-'Launch Readiness'!$B$7)/12,0))/MAX(1,INDEX('Launch Readiness'!$B$26:$F$26,1,ROUNDUP((AC$6-'Launch Readiness'!$B$7)/12,0))))))-IF(AC$6&lt;'Launch Readiness'!$E$6,0,INDEX('Scenario Engine'!$B$47:$F$47,1,AC$7)/MAX(1,INDEX('Launch Readiness'!$B$26:$F$26,1,AC$7)))-INDEX('Scenario Engine'!$B$52:$F$52,1,AC$7)/12-((INDEX('Scenario Engine'!$B$53:$F$53,1,AC$7)-'Launch Readiness'!$E$9*INDEX('Launch Readiness'!$B$34:$F$34,1,AC$7)-'Launch Readiness'!$E$9*'Launch Readiness'!$B$10*INDEX('Launch Readiness'!$B$30:$F$30,1,AC$7)-'Launch Readiness'!$E$16*INDEX('Launch Readiness'!$B$32:$F$32,1,AC$7))/12+IF(AND(AC$6&gt;='Launch Readiness'!$E$6,AC$6&lt;'Launch Readiness'!$E$14),'Launch Readiness'!$E$9/12,0)+IF(AND(AC$6&gt;='Launch Readiness'!$B$11,AC$6&lt;'Launch Readiness'!$E$6),'Launch Readiness'!$E$9*'Launch Readiness'!$B$10/12,0)+IF(AC$6&gt;='Launch Readiness'!$E$14,'Launch Readiness'!$E$16/12,0))-(IF(AC$6&lt;=6,'Startup 6mo'!$F$44/6,0)+IF(AC$6&lt;'Launch Readiness'!$E$6,'Launch Readiness'!$E$8/MAX(1,'Launch Readiness'!$E$7),0)+IF(AC$6='Launch Readiness'!$G$14,'Launch Readiness'!$E$15,0)),0)</f>
        <v>-2417832</v>
      </c>
      <c r="AD52" s="103">
        <f>ROUND(AC52+(IF(AD$6&lt;='Launch Readiness'!$B$7,0,IF((AD$6-'Launch Readiness'!$B$7)&lt;'Launch Readiness'!$E$6,0,INDEX('Scenario Engine'!$B$30:$F$30,1,ROUNDUP((AD$6-'Launch Readiness'!$B$7)/12,0))/MAX(1,INDEX('Launch Readiness'!$B$26:$F$26,1,ROUNDUP((AD$6-'Launch Readiness'!$B$7)/12,0))))))-IF(AD$6&lt;'Launch Readiness'!$E$6,0,INDEX('Scenario Engine'!$B$47:$F$47,1,AD$7)/MAX(1,INDEX('Launch Readiness'!$B$26:$F$26,1,AD$7)))-INDEX('Scenario Engine'!$B$52:$F$52,1,AD$7)/12-((INDEX('Scenario Engine'!$B$53:$F$53,1,AD$7)-'Launch Readiness'!$E$9*INDEX('Launch Readiness'!$B$34:$F$34,1,AD$7)-'Launch Readiness'!$E$9*'Launch Readiness'!$B$10*INDEX('Launch Readiness'!$B$30:$F$30,1,AD$7)-'Launch Readiness'!$E$16*INDEX('Launch Readiness'!$B$32:$F$32,1,AD$7))/12+IF(AND(AD$6&gt;='Launch Readiness'!$E$6,AD$6&lt;'Launch Readiness'!$E$14),'Launch Readiness'!$E$9/12,0)+IF(AND(AD$6&gt;='Launch Readiness'!$B$11,AD$6&lt;'Launch Readiness'!$E$6),'Launch Readiness'!$E$9*'Launch Readiness'!$B$10/12,0)+IF(AD$6&gt;='Launch Readiness'!$E$14,'Launch Readiness'!$E$16/12,0))-(IF(AD$6&lt;=6,'Startup 6mo'!$F$44/6,0)+IF(AD$6&lt;'Launch Readiness'!$E$6,'Launch Readiness'!$E$8/MAX(1,'Launch Readiness'!$E$7),0)+IF(AD$6='Launch Readiness'!$G$14,'Launch Readiness'!$E$15,0)),0)</f>
        <v>-2475488</v>
      </c>
      <c r="AE52" s="103">
        <f>ROUND(AD52+(IF(AE$6&lt;='Launch Readiness'!$B$7,0,IF((AE$6-'Launch Readiness'!$B$7)&lt;'Launch Readiness'!$E$6,0,INDEX('Scenario Engine'!$B$30:$F$30,1,ROUNDUP((AE$6-'Launch Readiness'!$B$7)/12,0))/MAX(1,INDEX('Launch Readiness'!$B$26:$F$26,1,ROUNDUP((AE$6-'Launch Readiness'!$B$7)/12,0))))))-IF(AE$6&lt;'Launch Readiness'!$E$6,0,INDEX('Scenario Engine'!$B$47:$F$47,1,AE$7)/MAX(1,INDEX('Launch Readiness'!$B$26:$F$26,1,AE$7)))-INDEX('Scenario Engine'!$B$52:$F$52,1,AE$7)/12-((INDEX('Scenario Engine'!$B$53:$F$53,1,AE$7)-'Launch Readiness'!$E$9*INDEX('Launch Readiness'!$B$34:$F$34,1,AE$7)-'Launch Readiness'!$E$9*'Launch Readiness'!$B$10*INDEX('Launch Readiness'!$B$30:$F$30,1,AE$7)-'Launch Readiness'!$E$16*INDEX('Launch Readiness'!$B$32:$F$32,1,AE$7))/12+IF(AND(AE$6&gt;='Launch Readiness'!$E$6,AE$6&lt;'Launch Readiness'!$E$14),'Launch Readiness'!$E$9/12,0)+IF(AND(AE$6&gt;='Launch Readiness'!$B$11,AE$6&lt;'Launch Readiness'!$E$6),'Launch Readiness'!$E$9*'Launch Readiness'!$B$10/12,0)+IF(AE$6&gt;='Launch Readiness'!$E$14,'Launch Readiness'!$E$16/12,0))-(IF(AE$6&lt;=6,'Startup 6mo'!$F$44/6,0)+IF(AE$6&lt;'Launch Readiness'!$E$6,'Launch Readiness'!$E$8/MAX(1,'Launch Readiness'!$E$7),0)+IF(AE$6='Launch Readiness'!$G$14,'Launch Readiness'!$E$15,0)),0)</f>
        <v>-2536070</v>
      </c>
      <c r="AF52" s="103">
        <f>ROUND(AE52+(IF(AF$6&lt;='Launch Readiness'!$B$7,0,IF((AF$6-'Launch Readiness'!$B$7)&lt;'Launch Readiness'!$E$6,0,INDEX('Scenario Engine'!$B$30:$F$30,1,ROUNDUP((AF$6-'Launch Readiness'!$B$7)/12,0))/MAX(1,INDEX('Launch Readiness'!$B$26:$F$26,1,ROUNDUP((AF$6-'Launch Readiness'!$B$7)/12,0))))))-IF(AF$6&lt;'Launch Readiness'!$E$6,0,INDEX('Scenario Engine'!$B$47:$F$47,1,AF$7)/MAX(1,INDEX('Launch Readiness'!$B$26:$F$26,1,AF$7)))-INDEX('Scenario Engine'!$B$52:$F$52,1,AF$7)/12-((INDEX('Scenario Engine'!$B$53:$F$53,1,AF$7)-'Launch Readiness'!$E$9*INDEX('Launch Readiness'!$B$34:$F$34,1,AF$7)-'Launch Readiness'!$E$9*'Launch Readiness'!$B$10*INDEX('Launch Readiness'!$B$30:$F$30,1,AF$7)-'Launch Readiness'!$E$16*INDEX('Launch Readiness'!$B$32:$F$32,1,AF$7))/12+IF(AND(AF$6&gt;='Launch Readiness'!$E$6,AF$6&lt;'Launch Readiness'!$E$14),'Launch Readiness'!$E$9/12,0)+IF(AND(AF$6&gt;='Launch Readiness'!$B$11,AF$6&lt;'Launch Readiness'!$E$6),'Launch Readiness'!$E$9*'Launch Readiness'!$B$10/12,0)+IF(AF$6&gt;='Launch Readiness'!$E$14,'Launch Readiness'!$E$16/12,0))-(IF(AF$6&lt;=6,'Startup 6mo'!$F$44/6,0)+IF(AF$6&lt;'Launch Readiness'!$E$6,'Launch Readiness'!$E$8/MAX(1,'Launch Readiness'!$E$7),0)+IF(AF$6='Launch Readiness'!$G$14,'Launch Readiness'!$E$15,0)),0)</f>
        <v>-2596652</v>
      </c>
      <c r="AG52" s="103">
        <f>ROUND(AF52+(IF(AG$6&lt;='Launch Readiness'!$B$7,0,IF((AG$6-'Launch Readiness'!$B$7)&lt;'Launch Readiness'!$E$6,0,INDEX('Scenario Engine'!$B$30:$F$30,1,ROUNDUP((AG$6-'Launch Readiness'!$B$7)/12,0))/MAX(1,INDEX('Launch Readiness'!$B$26:$F$26,1,ROUNDUP((AG$6-'Launch Readiness'!$B$7)/12,0))))))-IF(AG$6&lt;'Launch Readiness'!$E$6,0,INDEX('Scenario Engine'!$B$47:$F$47,1,AG$7)/MAX(1,INDEX('Launch Readiness'!$B$26:$F$26,1,AG$7)))-INDEX('Scenario Engine'!$B$52:$F$52,1,AG$7)/12-((INDEX('Scenario Engine'!$B$53:$F$53,1,AG$7)-'Launch Readiness'!$E$9*INDEX('Launch Readiness'!$B$34:$F$34,1,AG$7)-'Launch Readiness'!$E$9*'Launch Readiness'!$B$10*INDEX('Launch Readiness'!$B$30:$F$30,1,AG$7)-'Launch Readiness'!$E$16*INDEX('Launch Readiness'!$B$32:$F$32,1,AG$7))/12+IF(AND(AG$6&gt;='Launch Readiness'!$E$6,AG$6&lt;'Launch Readiness'!$E$14),'Launch Readiness'!$E$9/12,0)+IF(AND(AG$6&gt;='Launch Readiness'!$B$11,AG$6&lt;'Launch Readiness'!$E$6),'Launch Readiness'!$E$9*'Launch Readiness'!$B$10/12,0)+IF(AG$6&gt;='Launch Readiness'!$E$14,'Launch Readiness'!$E$16/12,0))-(IF(AG$6&lt;=6,'Startup 6mo'!$F$44/6,0)+IF(AG$6&lt;'Launch Readiness'!$E$6,'Launch Readiness'!$E$8/MAX(1,'Launch Readiness'!$E$7),0)+IF(AG$6='Launch Readiness'!$G$14,'Launch Readiness'!$E$15,0)),0)</f>
        <v>-2657234</v>
      </c>
      <c r="AH52" s="103">
        <f>ROUND(AG52+(IF(AH$6&lt;='Launch Readiness'!$B$7,0,IF((AH$6-'Launch Readiness'!$B$7)&lt;'Launch Readiness'!$E$6,0,INDEX('Scenario Engine'!$B$30:$F$30,1,ROUNDUP((AH$6-'Launch Readiness'!$B$7)/12,0))/MAX(1,INDEX('Launch Readiness'!$B$26:$F$26,1,ROUNDUP((AH$6-'Launch Readiness'!$B$7)/12,0))))))-IF(AH$6&lt;'Launch Readiness'!$E$6,0,INDEX('Scenario Engine'!$B$47:$F$47,1,AH$7)/MAX(1,INDEX('Launch Readiness'!$B$26:$F$26,1,AH$7)))-INDEX('Scenario Engine'!$B$52:$F$52,1,AH$7)/12-((INDEX('Scenario Engine'!$B$53:$F$53,1,AH$7)-'Launch Readiness'!$E$9*INDEX('Launch Readiness'!$B$34:$F$34,1,AH$7)-'Launch Readiness'!$E$9*'Launch Readiness'!$B$10*INDEX('Launch Readiness'!$B$30:$F$30,1,AH$7)-'Launch Readiness'!$E$16*INDEX('Launch Readiness'!$B$32:$F$32,1,AH$7))/12+IF(AND(AH$6&gt;='Launch Readiness'!$E$6,AH$6&lt;'Launch Readiness'!$E$14),'Launch Readiness'!$E$9/12,0)+IF(AND(AH$6&gt;='Launch Readiness'!$B$11,AH$6&lt;'Launch Readiness'!$E$6),'Launch Readiness'!$E$9*'Launch Readiness'!$B$10/12,0)+IF(AH$6&gt;='Launch Readiness'!$E$14,'Launch Readiness'!$E$16/12,0))-(IF(AH$6&lt;=6,'Startup 6mo'!$F$44/6,0)+IF(AH$6&lt;'Launch Readiness'!$E$6,'Launch Readiness'!$E$8/MAX(1,'Launch Readiness'!$E$7),0)+IF(AH$6='Launch Readiness'!$G$14,'Launch Readiness'!$E$15,0)),0)</f>
        <v>-2717816</v>
      </c>
      <c r="AI52" s="103">
        <f>ROUND(AH52+(IF(AI$6&lt;='Launch Readiness'!$B$7,0,IF((AI$6-'Launch Readiness'!$B$7)&lt;'Launch Readiness'!$E$6,0,INDEX('Scenario Engine'!$B$30:$F$30,1,ROUNDUP((AI$6-'Launch Readiness'!$B$7)/12,0))/MAX(1,INDEX('Launch Readiness'!$B$26:$F$26,1,ROUNDUP((AI$6-'Launch Readiness'!$B$7)/12,0))))))-IF(AI$6&lt;'Launch Readiness'!$E$6,0,INDEX('Scenario Engine'!$B$47:$F$47,1,AI$7)/MAX(1,INDEX('Launch Readiness'!$B$26:$F$26,1,AI$7)))-INDEX('Scenario Engine'!$B$52:$F$52,1,AI$7)/12-((INDEX('Scenario Engine'!$B$53:$F$53,1,AI$7)-'Launch Readiness'!$E$9*INDEX('Launch Readiness'!$B$34:$F$34,1,AI$7)-'Launch Readiness'!$E$9*'Launch Readiness'!$B$10*INDEX('Launch Readiness'!$B$30:$F$30,1,AI$7)-'Launch Readiness'!$E$16*INDEX('Launch Readiness'!$B$32:$F$32,1,AI$7))/12+IF(AND(AI$6&gt;='Launch Readiness'!$E$6,AI$6&lt;'Launch Readiness'!$E$14),'Launch Readiness'!$E$9/12,0)+IF(AND(AI$6&gt;='Launch Readiness'!$B$11,AI$6&lt;'Launch Readiness'!$E$6),'Launch Readiness'!$E$9*'Launch Readiness'!$B$10/12,0)+IF(AI$6&gt;='Launch Readiness'!$E$14,'Launch Readiness'!$E$16/12,0))-(IF(AI$6&lt;=6,'Startup 6mo'!$F$44/6,0)+IF(AI$6&lt;'Launch Readiness'!$E$6,'Launch Readiness'!$E$8/MAX(1,'Launch Readiness'!$E$7),0)+IF(AI$6='Launch Readiness'!$G$14,'Launch Readiness'!$E$15,0)),0)</f>
        <v>-2778398</v>
      </c>
      <c r="AJ52" s="103">
        <f>ROUND(AI52+(IF(AJ$6&lt;='Launch Readiness'!$B$7,0,IF((AJ$6-'Launch Readiness'!$B$7)&lt;'Launch Readiness'!$E$6,0,INDEX('Scenario Engine'!$B$30:$F$30,1,ROUNDUP((AJ$6-'Launch Readiness'!$B$7)/12,0))/MAX(1,INDEX('Launch Readiness'!$B$26:$F$26,1,ROUNDUP((AJ$6-'Launch Readiness'!$B$7)/12,0))))))-IF(AJ$6&lt;'Launch Readiness'!$E$6,0,INDEX('Scenario Engine'!$B$47:$F$47,1,AJ$7)/MAX(1,INDEX('Launch Readiness'!$B$26:$F$26,1,AJ$7)))-INDEX('Scenario Engine'!$B$52:$F$52,1,AJ$7)/12-((INDEX('Scenario Engine'!$B$53:$F$53,1,AJ$7)-'Launch Readiness'!$E$9*INDEX('Launch Readiness'!$B$34:$F$34,1,AJ$7)-'Launch Readiness'!$E$9*'Launch Readiness'!$B$10*INDEX('Launch Readiness'!$B$30:$F$30,1,AJ$7)-'Launch Readiness'!$E$16*INDEX('Launch Readiness'!$B$32:$F$32,1,AJ$7))/12+IF(AND(AJ$6&gt;='Launch Readiness'!$E$6,AJ$6&lt;'Launch Readiness'!$E$14),'Launch Readiness'!$E$9/12,0)+IF(AND(AJ$6&gt;='Launch Readiness'!$B$11,AJ$6&lt;'Launch Readiness'!$E$6),'Launch Readiness'!$E$9*'Launch Readiness'!$B$10/12,0)+IF(AJ$6&gt;='Launch Readiness'!$E$14,'Launch Readiness'!$E$16/12,0))-(IF(AJ$6&lt;=6,'Startup 6mo'!$F$44/6,0)+IF(AJ$6&lt;'Launch Readiness'!$E$6,'Launch Readiness'!$E$8/MAX(1,'Launch Readiness'!$E$7),0)+IF(AJ$6='Launch Readiness'!$G$14,'Launch Readiness'!$E$15,0)),0)</f>
        <v>-2838980</v>
      </c>
      <c r="AK52" s="103">
        <f>ROUND(AJ52+(IF(AK$6&lt;='Launch Readiness'!$B$7,0,IF((AK$6-'Launch Readiness'!$B$7)&lt;'Launch Readiness'!$E$6,0,INDEX('Scenario Engine'!$B$30:$F$30,1,ROUNDUP((AK$6-'Launch Readiness'!$B$7)/12,0))/MAX(1,INDEX('Launch Readiness'!$B$26:$F$26,1,ROUNDUP((AK$6-'Launch Readiness'!$B$7)/12,0))))))-IF(AK$6&lt;'Launch Readiness'!$E$6,0,INDEX('Scenario Engine'!$B$47:$F$47,1,AK$7)/MAX(1,INDEX('Launch Readiness'!$B$26:$F$26,1,AK$7)))-INDEX('Scenario Engine'!$B$52:$F$52,1,AK$7)/12-((INDEX('Scenario Engine'!$B$53:$F$53,1,AK$7)-'Launch Readiness'!$E$9*INDEX('Launch Readiness'!$B$34:$F$34,1,AK$7)-'Launch Readiness'!$E$9*'Launch Readiness'!$B$10*INDEX('Launch Readiness'!$B$30:$F$30,1,AK$7)-'Launch Readiness'!$E$16*INDEX('Launch Readiness'!$B$32:$F$32,1,AK$7))/12+IF(AND(AK$6&gt;='Launch Readiness'!$E$6,AK$6&lt;'Launch Readiness'!$E$14),'Launch Readiness'!$E$9/12,0)+IF(AND(AK$6&gt;='Launch Readiness'!$B$11,AK$6&lt;'Launch Readiness'!$E$6),'Launch Readiness'!$E$9*'Launch Readiness'!$B$10/12,0)+IF(AK$6&gt;='Launch Readiness'!$E$14,'Launch Readiness'!$E$16/12,0))-(IF(AK$6&lt;=6,'Startup 6mo'!$F$44/6,0)+IF(AK$6&lt;'Launch Readiness'!$E$6,'Launch Readiness'!$E$8/MAX(1,'Launch Readiness'!$E$7),0)+IF(AK$6='Launch Readiness'!$G$14,'Launch Readiness'!$E$15,0)),0)</f>
        <v>-2899562</v>
      </c>
      <c r="AL52" s="103">
        <f>ROUND(AK52+(IF(AL$6&lt;='Launch Readiness'!$B$7,0,IF((AL$6-'Launch Readiness'!$B$7)&lt;'Launch Readiness'!$E$6,0,INDEX('Scenario Engine'!$B$30:$F$30,1,ROUNDUP((AL$6-'Launch Readiness'!$B$7)/12,0))/MAX(1,INDEX('Launch Readiness'!$B$26:$F$26,1,ROUNDUP((AL$6-'Launch Readiness'!$B$7)/12,0))))))-IF(AL$6&lt;'Launch Readiness'!$E$6,0,INDEX('Scenario Engine'!$B$47:$F$47,1,AL$7)/MAX(1,INDEX('Launch Readiness'!$B$26:$F$26,1,AL$7)))-INDEX('Scenario Engine'!$B$52:$F$52,1,AL$7)/12-((INDEX('Scenario Engine'!$B$53:$F$53,1,AL$7)-'Launch Readiness'!$E$9*INDEX('Launch Readiness'!$B$34:$F$34,1,AL$7)-'Launch Readiness'!$E$9*'Launch Readiness'!$B$10*INDEX('Launch Readiness'!$B$30:$F$30,1,AL$7)-'Launch Readiness'!$E$16*INDEX('Launch Readiness'!$B$32:$F$32,1,AL$7))/12+IF(AND(AL$6&gt;='Launch Readiness'!$E$6,AL$6&lt;'Launch Readiness'!$E$14),'Launch Readiness'!$E$9/12,0)+IF(AND(AL$6&gt;='Launch Readiness'!$B$11,AL$6&lt;'Launch Readiness'!$E$6),'Launch Readiness'!$E$9*'Launch Readiness'!$B$10/12,0)+IF(AL$6&gt;='Launch Readiness'!$E$14,'Launch Readiness'!$E$16/12,0))-(IF(AL$6&lt;=6,'Startup 6mo'!$F$44/6,0)+IF(AL$6&lt;'Launch Readiness'!$E$6,'Launch Readiness'!$E$8/MAX(1,'Launch Readiness'!$E$7),0)+IF(AL$6='Launch Readiness'!$G$14,'Launch Readiness'!$E$15,0)),0)</f>
        <v>-3006933</v>
      </c>
      <c r="AM52" s="103">
        <f>ROUND(AL52+(IF(AM$6&lt;='Launch Readiness'!$B$7,0,IF((AM$6-'Launch Readiness'!$B$7)&lt;'Launch Readiness'!$E$6,0,INDEX('Scenario Engine'!$B$30:$F$30,1,ROUNDUP((AM$6-'Launch Readiness'!$B$7)/12,0))/MAX(1,INDEX('Launch Readiness'!$B$26:$F$26,1,ROUNDUP((AM$6-'Launch Readiness'!$B$7)/12,0))))))-IF(AM$6&lt;'Launch Readiness'!$E$6,0,INDEX('Scenario Engine'!$B$47:$F$47,1,AM$7)/MAX(1,INDEX('Launch Readiness'!$B$26:$F$26,1,AM$7)))-INDEX('Scenario Engine'!$B$52:$F$52,1,AM$7)/12-((INDEX('Scenario Engine'!$B$53:$F$53,1,AM$7)-'Launch Readiness'!$E$9*INDEX('Launch Readiness'!$B$34:$F$34,1,AM$7)-'Launch Readiness'!$E$9*'Launch Readiness'!$B$10*INDEX('Launch Readiness'!$B$30:$F$30,1,AM$7)-'Launch Readiness'!$E$16*INDEX('Launch Readiness'!$B$32:$F$32,1,AM$7))/12+IF(AND(AM$6&gt;='Launch Readiness'!$E$6,AM$6&lt;'Launch Readiness'!$E$14),'Launch Readiness'!$E$9/12,0)+IF(AND(AM$6&gt;='Launch Readiness'!$B$11,AM$6&lt;'Launch Readiness'!$E$6),'Launch Readiness'!$E$9*'Launch Readiness'!$B$10/12,0)+IF(AM$6&gt;='Launch Readiness'!$E$14,'Launch Readiness'!$E$16/12,0))-(IF(AM$6&lt;=6,'Startup 6mo'!$F$44/6,0)+IF(AM$6&lt;'Launch Readiness'!$E$6,'Launch Readiness'!$E$8/MAX(1,'Launch Readiness'!$E$7),0)+IF(AM$6='Launch Readiness'!$G$14,'Launch Readiness'!$E$15,0)),0)</f>
        <v>-3075599</v>
      </c>
      <c r="AN52" s="103">
        <f>ROUND(AM52+(IF(AN$6&lt;='Launch Readiness'!$B$7,0,IF((AN$6-'Launch Readiness'!$B$7)&lt;'Launch Readiness'!$E$6,0,INDEX('Scenario Engine'!$B$30:$F$30,1,ROUNDUP((AN$6-'Launch Readiness'!$B$7)/12,0))/MAX(1,INDEX('Launch Readiness'!$B$26:$F$26,1,ROUNDUP((AN$6-'Launch Readiness'!$B$7)/12,0))))))-IF(AN$6&lt;'Launch Readiness'!$E$6,0,INDEX('Scenario Engine'!$B$47:$F$47,1,AN$7)/MAX(1,INDEX('Launch Readiness'!$B$26:$F$26,1,AN$7)))-INDEX('Scenario Engine'!$B$52:$F$52,1,AN$7)/12-((INDEX('Scenario Engine'!$B$53:$F$53,1,AN$7)-'Launch Readiness'!$E$9*INDEX('Launch Readiness'!$B$34:$F$34,1,AN$7)-'Launch Readiness'!$E$9*'Launch Readiness'!$B$10*INDEX('Launch Readiness'!$B$30:$F$30,1,AN$7)-'Launch Readiness'!$E$16*INDEX('Launch Readiness'!$B$32:$F$32,1,AN$7))/12+IF(AND(AN$6&gt;='Launch Readiness'!$E$6,AN$6&lt;'Launch Readiness'!$E$14),'Launch Readiness'!$E$9/12,0)+IF(AND(AN$6&gt;='Launch Readiness'!$B$11,AN$6&lt;'Launch Readiness'!$E$6),'Launch Readiness'!$E$9*'Launch Readiness'!$B$10/12,0)+IF(AN$6&gt;='Launch Readiness'!$E$14,'Launch Readiness'!$E$16/12,0))-(IF(AN$6&lt;=6,'Startup 6mo'!$F$44/6,0)+IF(AN$6&lt;'Launch Readiness'!$E$6,'Launch Readiness'!$E$8/MAX(1,'Launch Readiness'!$E$7),0)+IF(AN$6='Launch Readiness'!$G$14,'Launch Readiness'!$E$15,0)),0)</f>
        <v>-3144265</v>
      </c>
      <c r="AO52" s="103">
        <f>ROUND(AN52+(IF(AO$6&lt;='Launch Readiness'!$B$7,0,IF((AO$6-'Launch Readiness'!$B$7)&lt;'Launch Readiness'!$E$6,0,INDEX('Scenario Engine'!$B$30:$F$30,1,ROUNDUP((AO$6-'Launch Readiness'!$B$7)/12,0))/MAX(1,INDEX('Launch Readiness'!$B$26:$F$26,1,ROUNDUP((AO$6-'Launch Readiness'!$B$7)/12,0))))))-IF(AO$6&lt;'Launch Readiness'!$E$6,0,INDEX('Scenario Engine'!$B$47:$F$47,1,AO$7)/MAX(1,INDEX('Launch Readiness'!$B$26:$F$26,1,AO$7)))-INDEX('Scenario Engine'!$B$52:$F$52,1,AO$7)/12-((INDEX('Scenario Engine'!$B$53:$F$53,1,AO$7)-'Launch Readiness'!$E$9*INDEX('Launch Readiness'!$B$34:$F$34,1,AO$7)-'Launch Readiness'!$E$9*'Launch Readiness'!$B$10*INDEX('Launch Readiness'!$B$30:$F$30,1,AO$7)-'Launch Readiness'!$E$16*INDEX('Launch Readiness'!$B$32:$F$32,1,AO$7))/12+IF(AND(AO$6&gt;='Launch Readiness'!$E$6,AO$6&lt;'Launch Readiness'!$E$14),'Launch Readiness'!$E$9/12,0)+IF(AND(AO$6&gt;='Launch Readiness'!$B$11,AO$6&lt;'Launch Readiness'!$E$6),'Launch Readiness'!$E$9*'Launch Readiness'!$B$10/12,0)+IF(AO$6&gt;='Launch Readiness'!$E$14,'Launch Readiness'!$E$16/12,0))-(IF(AO$6&lt;=6,'Startup 6mo'!$F$44/6,0)+IF(AO$6&lt;'Launch Readiness'!$E$6,'Launch Readiness'!$E$8/MAX(1,'Launch Readiness'!$E$7),0)+IF(AO$6='Launch Readiness'!$G$14,'Launch Readiness'!$E$15,0)),0)</f>
        <v>-3212931</v>
      </c>
      <c r="AP52" s="103">
        <f>ROUND(AO52+(IF(AP$6&lt;='Launch Readiness'!$B$7,0,IF((AP$6-'Launch Readiness'!$B$7)&lt;'Launch Readiness'!$E$6,0,INDEX('Scenario Engine'!$B$30:$F$30,1,ROUNDUP((AP$6-'Launch Readiness'!$B$7)/12,0))/MAX(1,INDEX('Launch Readiness'!$B$26:$F$26,1,ROUNDUP((AP$6-'Launch Readiness'!$B$7)/12,0))))))-IF(AP$6&lt;'Launch Readiness'!$E$6,0,INDEX('Scenario Engine'!$B$47:$F$47,1,AP$7)/MAX(1,INDEX('Launch Readiness'!$B$26:$F$26,1,AP$7)))-INDEX('Scenario Engine'!$B$52:$F$52,1,AP$7)/12-((INDEX('Scenario Engine'!$B$53:$F$53,1,AP$7)-'Launch Readiness'!$E$9*INDEX('Launch Readiness'!$B$34:$F$34,1,AP$7)-'Launch Readiness'!$E$9*'Launch Readiness'!$B$10*INDEX('Launch Readiness'!$B$30:$F$30,1,AP$7)-'Launch Readiness'!$E$16*INDEX('Launch Readiness'!$B$32:$F$32,1,AP$7))/12+IF(AND(AP$6&gt;='Launch Readiness'!$E$6,AP$6&lt;'Launch Readiness'!$E$14),'Launch Readiness'!$E$9/12,0)+IF(AND(AP$6&gt;='Launch Readiness'!$B$11,AP$6&lt;'Launch Readiness'!$E$6),'Launch Readiness'!$E$9*'Launch Readiness'!$B$10/12,0)+IF(AP$6&gt;='Launch Readiness'!$E$14,'Launch Readiness'!$E$16/12,0))-(IF(AP$6&lt;=6,'Startup 6mo'!$F$44/6,0)+IF(AP$6&lt;'Launch Readiness'!$E$6,'Launch Readiness'!$E$8/MAX(1,'Launch Readiness'!$E$7),0)+IF(AP$6='Launch Readiness'!$G$14,'Launch Readiness'!$E$15,0)),0)</f>
        <v>-3281597</v>
      </c>
      <c r="AQ52" s="103">
        <f>ROUND(AP52+(IF(AQ$6&lt;='Launch Readiness'!$B$7,0,IF((AQ$6-'Launch Readiness'!$B$7)&lt;'Launch Readiness'!$E$6,0,INDEX('Scenario Engine'!$B$30:$F$30,1,ROUNDUP((AQ$6-'Launch Readiness'!$B$7)/12,0))/MAX(1,INDEX('Launch Readiness'!$B$26:$F$26,1,ROUNDUP((AQ$6-'Launch Readiness'!$B$7)/12,0))))))-IF(AQ$6&lt;'Launch Readiness'!$E$6,0,INDEX('Scenario Engine'!$B$47:$F$47,1,AQ$7)/MAX(1,INDEX('Launch Readiness'!$B$26:$F$26,1,AQ$7)))-INDEX('Scenario Engine'!$B$52:$F$52,1,AQ$7)/12-((INDEX('Scenario Engine'!$B$53:$F$53,1,AQ$7)-'Launch Readiness'!$E$9*INDEX('Launch Readiness'!$B$34:$F$34,1,AQ$7)-'Launch Readiness'!$E$9*'Launch Readiness'!$B$10*INDEX('Launch Readiness'!$B$30:$F$30,1,AQ$7)-'Launch Readiness'!$E$16*INDEX('Launch Readiness'!$B$32:$F$32,1,AQ$7))/12+IF(AND(AQ$6&gt;='Launch Readiness'!$E$6,AQ$6&lt;'Launch Readiness'!$E$14),'Launch Readiness'!$E$9/12,0)+IF(AND(AQ$6&gt;='Launch Readiness'!$B$11,AQ$6&lt;'Launch Readiness'!$E$6),'Launch Readiness'!$E$9*'Launch Readiness'!$B$10/12,0)+IF(AQ$6&gt;='Launch Readiness'!$E$14,'Launch Readiness'!$E$16/12,0))-(IF(AQ$6&lt;=6,'Startup 6mo'!$F$44/6,0)+IF(AQ$6&lt;'Launch Readiness'!$E$6,'Launch Readiness'!$E$8/MAX(1,'Launch Readiness'!$E$7),0)+IF(AQ$6='Launch Readiness'!$G$14,'Launch Readiness'!$E$15,0)),0)</f>
        <v>-3350263</v>
      </c>
      <c r="AR52" s="103">
        <f>ROUND(AQ52+(IF(AR$6&lt;='Launch Readiness'!$B$7,0,IF((AR$6-'Launch Readiness'!$B$7)&lt;'Launch Readiness'!$E$6,0,INDEX('Scenario Engine'!$B$30:$F$30,1,ROUNDUP((AR$6-'Launch Readiness'!$B$7)/12,0))/MAX(1,INDEX('Launch Readiness'!$B$26:$F$26,1,ROUNDUP((AR$6-'Launch Readiness'!$B$7)/12,0))))))-IF(AR$6&lt;'Launch Readiness'!$E$6,0,INDEX('Scenario Engine'!$B$47:$F$47,1,AR$7)/MAX(1,INDEX('Launch Readiness'!$B$26:$F$26,1,AR$7)))-INDEX('Scenario Engine'!$B$52:$F$52,1,AR$7)/12-((INDEX('Scenario Engine'!$B$53:$F$53,1,AR$7)-'Launch Readiness'!$E$9*INDEX('Launch Readiness'!$B$34:$F$34,1,AR$7)-'Launch Readiness'!$E$9*'Launch Readiness'!$B$10*INDEX('Launch Readiness'!$B$30:$F$30,1,AR$7)-'Launch Readiness'!$E$16*INDEX('Launch Readiness'!$B$32:$F$32,1,AR$7))/12+IF(AND(AR$6&gt;='Launch Readiness'!$E$6,AR$6&lt;'Launch Readiness'!$E$14),'Launch Readiness'!$E$9/12,0)+IF(AND(AR$6&gt;='Launch Readiness'!$B$11,AR$6&lt;'Launch Readiness'!$E$6),'Launch Readiness'!$E$9*'Launch Readiness'!$B$10/12,0)+IF(AR$6&gt;='Launch Readiness'!$E$14,'Launch Readiness'!$E$16/12,0))-(IF(AR$6&lt;=6,'Startup 6mo'!$F$44/6,0)+IF(AR$6&lt;'Launch Readiness'!$E$6,'Launch Readiness'!$E$8/MAX(1,'Launch Readiness'!$E$7),0)+IF(AR$6='Launch Readiness'!$G$14,'Launch Readiness'!$E$15,0)),0)</f>
        <v>-3418929</v>
      </c>
      <c r="AS52" s="103">
        <f>ROUND(AR52+(IF(AS$6&lt;='Launch Readiness'!$B$7,0,IF((AS$6-'Launch Readiness'!$B$7)&lt;'Launch Readiness'!$E$6,0,INDEX('Scenario Engine'!$B$30:$F$30,1,ROUNDUP((AS$6-'Launch Readiness'!$B$7)/12,0))/MAX(1,INDEX('Launch Readiness'!$B$26:$F$26,1,ROUNDUP((AS$6-'Launch Readiness'!$B$7)/12,0))))))-IF(AS$6&lt;'Launch Readiness'!$E$6,0,INDEX('Scenario Engine'!$B$47:$F$47,1,AS$7)/MAX(1,INDEX('Launch Readiness'!$B$26:$F$26,1,AS$7)))-INDEX('Scenario Engine'!$B$52:$F$52,1,AS$7)/12-((INDEX('Scenario Engine'!$B$53:$F$53,1,AS$7)-'Launch Readiness'!$E$9*INDEX('Launch Readiness'!$B$34:$F$34,1,AS$7)-'Launch Readiness'!$E$9*'Launch Readiness'!$B$10*INDEX('Launch Readiness'!$B$30:$F$30,1,AS$7)-'Launch Readiness'!$E$16*INDEX('Launch Readiness'!$B$32:$F$32,1,AS$7))/12+IF(AND(AS$6&gt;='Launch Readiness'!$E$6,AS$6&lt;'Launch Readiness'!$E$14),'Launch Readiness'!$E$9/12,0)+IF(AND(AS$6&gt;='Launch Readiness'!$B$11,AS$6&lt;'Launch Readiness'!$E$6),'Launch Readiness'!$E$9*'Launch Readiness'!$B$10/12,0)+IF(AS$6&gt;='Launch Readiness'!$E$14,'Launch Readiness'!$E$16/12,0))-(IF(AS$6&lt;=6,'Startup 6mo'!$F$44/6,0)+IF(AS$6&lt;'Launch Readiness'!$E$6,'Launch Readiness'!$E$8/MAX(1,'Launch Readiness'!$E$7),0)+IF(AS$6='Launch Readiness'!$G$14,'Launch Readiness'!$E$15,0)),0)</f>
        <v>-3487595</v>
      </c>
      <c r="AT52" s="103">
        <f>ROUND(AS52+(IF(AT$6&lt;='Launch Readiness'!$B$7,0,IF((AT$6-'Launch Readiness'!$B$7)&lt;'Launch Readiness'!$E$6,0,INDEX('Scenario Engine'!$B$30:$F$30,1,ROUNDUP((AT$6-'Launch Readiness'!$B$7)/12,0))/MAX(1,INDEX('Launch Readiness'!$B$26:$F$26,1,ROUNDUP((AT$6-'Launch Readiness'!$B$7)/12,0))))))-IF(AT$6&lt;'Launch Readiness'!$E$6,0,INDEX('Scenario Engine'!$B$47:$F$47,1,AT$7)/MAX(1,INDEX('Launch Readiness'!$B$26:$F$26,1,AT$7)))-INDEX('Scenario Engine'!$B$52:$F$52,1,AT$7)/12-((INDEX('Scenario Engine'!$B$53:$F$53,1,AT$7)-'Launch Readiness'!$E$9*INDEX('Launch Readiness'!$B$34:$F$34,1,AT$7)-'Launch Readiness'!$E$9*'Launch Readiness'!$B$10*INDEX('Launch Readiness'!$B$30:$F$30,1,AT$7)-'Launch Readiness'!$E$16*INDEX('Launch Readiness'!$B$32:$F$32,1,AT$7))/12+IF(AND(AT$6&gt;='Launch Readiness'!$E$6,AT$6&lt;'Launch Readiness'!$E$14),'Launch Readiness'!$E$9/12,0)+IF(AND(AT$6&gt;='Launch Readiness'!$B$11,AT$6&lt;'Launch Readiness'!$E$6),'Launch Readiness'!$E$9*'Launch Readiness'!$B$10/12,0)+IF(AT$6&gt;='Launch Readiness'!$E$14,'Launch Readiness'!$E$16/12,0))-(IF(AT$6&lt;=6,'Startup 6mo'!$F$44/6,0)+IF(AT$6&lt;'Launch Readiness'!$E$6,'Launch Readiness'!$E$8/MAX(1,'Launch Readiness'!$E$7),0)+IF(AT$6='Launch Readiness'!$G$14,'Launch Readiness'!$E$15,0)),0)</f>
        <v>-3556261</v>
      </c>
      <c r="AU52" s="103">
        <f>ROUND(AT52+(IF(AU$6&lt;='Launch Readiness'!$B$7,0,IF((AU$6-'Launch Readiness'!$B$7)&lt;'Launch Readiness'!$E$6,0,INDEX('Scenario Engine'!$B$30:$F$30,1,ROUNDUP((AU$6-'Launch Readiness'!$B$7)/12,0))/MAX(1,INDEX('Launch Readiness'!$B$26:$F$26,1,ROUNDUP((AU$6-'Launch Readiness'!$B$7)/12,0))))))-IF(AU$6&lt;'Launch Readiness'!$E$6,0,INDEX('Scenario Engine'!$B$47:$F$47,1,AU$7)/MAX(1,INDEX('Launch Readiness'!$B$26:$F$26,1,AU$7)))-INDEX('Scenario Engine'!$B$52:$F$52,1,AU$7)/12-((INDEX('Scenario Engine'!$B$53:$F$53,1,AU$7)-'Launch Readiness'!$E$9*INDEX('Launch Readiness'!$B$34:$F$34,1,AU$7)-'Launch Readiness'!$E$9*'Launch Readiness'!$B$10*INDEX('Launch Readiness'!$B$30:$F$30,1,AU$7)-'Launch Readiness'!$E$16*INDEX('Launch Readiness'!$B$32:$F$32,1,AU$7))/12+IF(AND(AU$6&gt;='Launch Readiness'!$E$6,AU$6&lt;'Launch Readiness'!$E$14),'Launch Readiness'!$E$9/12,0)+IF(AND(AU$6&gt;='Launch Readiness'!$B$11,AU$6&lt;'Launch Readiness'!$E$6),'Launch Readiness'!$E$9*'Launch Readiness'!$B$10/12,0)+IF(AU$6&gt;='Launch Readiness'!$E$14,'Launch Readiness'!$E$16/12,0))-(IF(AU$6&lt;=6,'Startup 6mo'!$F$44/6,0)+IF(AU$6&lt;'Launch Readiness'!$E$6,'Launch Readiness'!$E$8/MAX(1,'Launch Readiness'!$E$7),0)+IF(AU$6='Launch Readiness'!$G$14,'Launch Readiness'!$E$15,0)),0)</f>
        <v>-3624927</v>
      </c>
      <c r="AV52" s="103">
        <f>ROUND(AU52+(IF(AV$6&lt;='Launch Readiness'!$B$7,0,IF((AV$6-'Launch Readiness'!$B$7)&lt;'Launch Readiness'!$E$6,0,INDEX('Scenario Engine'!$B$30:$F$30,1,ROUNDUP((AV$6-'Launch Readiness'!$B$7)/12,0))/MAX(1,INDEX('Launch Readiness'!$B$26:$F$26,1,ROUNDUP((AV$6-'Launch Readiness'!$B$7)/12,0))))))-IF(AV$6&lt;'Launch Readiness'!$E$6,0,INDEX('Scenario Engine'!$B$47:$F$47,1,AV$7)/MAX(1,INDEX('Launch Readiness'!$B$26:$F$26,1,AV$7)))-INDEX('Scenario Engine'!$B$52:$F$52,1,AV$7)/12-((INDEX('Scenario Engine'!$B$53:$F$53,1,AV$7)-'Launch Readiness'!$E$9*INDEX('Launch Readiness'!$B$34:$F$34,1,AV$7)-'Launch Readiness'!$E$9*'Launch Readiness'!$B$10*INDEX('Launch Readiness'!$B$30:$F$30,1,AV$7)-'Launch Readiness'!$E$16*INDEX('Launch Readiness'!$B$32:$F$32,1,AV$7))/12+IF(AND(AV$6&gt;='Launch Readiness'!$E$6,AV$6&lt;'Launch Readiness'!$E$14),'Launch Readiness'!$E$9/12,0)+IF(AND(AV$6&gt;='Launch Readiness'!$B$11,AV$6&lt;'Launch Readiness'!$E$6),'Launch Readiness'!$E$9*'Launch Readiness'!$B$10/12,0)+IF(AV$6&gt;='Launch Readiness'!$E$14,'Launch Readiness'!$E$16/12,0))-(IF(AV$6&lt;=6,'Startup 6mo'!$F$44/6,0)+IF(AV$6&lt;'Launch Readiness'!$E$6,'Launch Readiness'!$E$8/MAX(1,'Launch Readiness'!$E$7),0)+IF(AV$6='Launch Readiness'!$G$14,'Launch Readiness'!$E$15,0)),0)</f>
        <v>-3693593</v>
      </c>
      <c r="AW52" s="103">
        <f>ROUND(AV52+(IF(AW$6&lt;='Launch Readiness'!$B$7,0,IF((AW$6-'Launch Readiness'!$B$7)&lt;'Launch Readiness'!$E$6,0,INDEX('Scenario Engine'!$B$30:$F$30,1,ROUNDUP((AW$6-'Launch Readiness'!$B$7)/12,0))/MAX(1,INDEX('Launch Readiness'!$B$26:$F$26,1,ROUNDUP((AW$6-'Launch Readiness'!$B$7)/12,0))))))-IF(AW$6&lt;'Launch Readiness'!$E$6,0,INDEX('Scenario Engine'!$B$47:$F$47,1,AW$7)/MAX(1,INDEX('Launch Readiness'!$B$26:$F$26,1,AW$7)))-INDEX('Scenario Engine'!$B$52:$F$52,1,AW$7)/12-((INDEX('Scenario Engine'!$B$53:$F$53,1,AW$7)-'Launch Readiness'!$E$9*INDEX('Launch Readiness'!$B$34:$F$34,1,AW$7)-'Launch Readiness'!$E$9*'Launch Readiness'!$B$10*INDEX('Launch Readiness'!$B$30:$F$30,1,AW$7)-'Launch Readiness'!$E$16*INDEX('Launch Readiness'!$B$32:$F$32,1,AW$7))/12+IF(AND(AW$6&gt;='Launch Readiness'!$E$6,AW$6&lt;'Launch Readiness'!$E$14),'Launch Readiness'!$E$9/12,0)+IF(AND(AW$6&gt;='Launch Readiness'!$B$11,AW$6&lt;'Launch Readiness'!$E$6),'Launch Readiness'!$E$9*'Launch Readiness'!$B$10/12,0)+IF(AW$6&gt;='Launch Readiness'!$E$14,'Launch Readiness'!$E$16/12,0))-(IF(AW$6&lt;=6,'Startup 6mo'!$F$44/6,0)+IF(AW$6&lt;'Launch Readiness'!$E$6,'Launch Readiness'!$E$8/MAX(1,'Launch Readiness'!$E$7),0)+IF(AW$6='Launch Readiness'!$G$14,'Launch Readiness'!$E$15,0)),0)</f>
        <v>-3762259</v>
      </c>
      <c r="AX52" s="103">
        <f>ROUND(AW52+(IF(AX$6&lt;='Launch Readiness'!$B$7,0,IF((AX$6-'Launch Readiness'!$B$7)&lt;'Launch Readiness'!$E$6,0,INDEX('Scenario Engine'!$B$30:$F$30,1,ROUNDUP((AX$6-'Launch Readiness'!$B$7)/12,0))/MAX(1,INDEX('Launch Readiness'!$B$26:$F$26,1,ROUNDUP((AX$6-'Launch Readiness'!$B$7)/12,0))))))-IF(AX$6&lt;'Launch Readiness'!$E$6,0,INDEX('Scenario Engine'!$B$47:$F$47,1,AX$7)/MAX(1,INDEX('Launch Readiness'!$B$26:$F$26,1,AX$7)))-INDEX('Scenario Engine'!$B$52:$F$52,1,AX$7)/12-((INDEX('Scenario Engine'!$B$53:$F$53,1,AX$7)-'Launch Readiness'!$E$9*INDEX('Launch Readiness'!$B$34:$F$34,1,AX$7)-'Launch Readiness'!$E$9*'Launch Readiness'!$B$10*INDEX('Launch Readiness'!$B$30:$F$30,1,AX$7)-'Launch Readiness'!$E$16*INDEX('Launch Readiness'!$B$32:$F$32,1,AX$7))/12+IF(AND(AX$6&gt;='Launch Readiness'!$E$6,AX$6&lt;'Launch Readiness'!$E$14),'Launch Readiness'!$E$9/12,0)+IF(AND(AX$6&gt;='Launch Readiness'!$B$11,AX$6&lt;'Launch Readiness'!$E$6),'Launch Readiness'!$E$9*'Launch Readiness'!$B$10/12,0)+IF(AX$6&gt;='Launch Readiness'!$E$14,'Launch Readiness'!$E$16/12,0))-(IF(AX$6&lt;=6,'Startup 6mo'!$F$44/6,0)+IF(AX$6&lt;'Launch Readiness'!$E$6,'Launch Readiness'!$E$8/MAX(1,'Launch Readiness'!$E$7),0)+IF(AX$6='Launch Readiness'!$G$14,'Launch Readiness'!$E$15,0)),0)</f>
        <v>-3915862</v>
      </c>
      <c r="AY52" s="103">
        <f>ROUND(AX52+(IF(AY$6&lt;='Launch Readiness'!$B$7,0,IF((AY$6-'Launch Readiness'!$B$7)&lt;'Launch Readiness'!$E$6,0,INDEX('Scenario Engine'!$B$30:$F$30,1,ROUNDUP((AY$6-'Launch Readiness'!$B$7)/12,0))/MAX(1,INDEX('Launch Readiness'!$B$26:$F$26,1,ROUNDUP((AY$6-'Launch Readiness'!$B$7)/12,0))))))-IF(AY$6&lt;'Launch Readiness'!$E$6,0,INDEX('Scenario Engine'!$B$47:$F$47,1,AY$7)/MAX(1,INDEX('Launch Readiness'!$B$26:$F$26,1,AY$7)))-INDEX('Scenario Engine'!$B$52:$F$52,1,AY$7)/12-((INDEX('Scenario Engine'!$B$53:$F$53,1,AY$7)-'Launch Readiness'!$E$9*INDEX('Launch Readiness'!$B$34:$F$34,1,AY$7)-'Launch Readiness'!$E$9*'Launch Readiness'!$B$10*INDEX('Launch Readiness'!$B$30:$F$30,1,AY$7)-'Launch Readiness'!$E$16*INDEX('Launch Readiness'!$B$32:$F$32,1,AY$7))/12+IF(AND(AY$6&gt;='Launch Readiness'!$E$6,AY$6&lt;'Launch Readiness'!$E$14),'Launch Readiness'!$E$9/12,0)+IF(AND(AY$6&gt;='Launch Readiness'!$B$11,AY$6&lt;'Launch Readiness'!$E$6),'Launch Readiness'!$E$9*'Launch Readiness'!$B$10/12,0)+IF(AY$6&gt;='Launch Readiness'!$E$14,'Launch Readiness'!$E$16/12,0))-(IF(AY$6&lt;=6,'Startup 6mo'!$F$44/6,0)+IF(AY$6&lt;'Launch Readiness'!$E$6,'Launch Readiness'!$E$8/MAX(1,'Launch Readiness'!$E$7),0)+IF(AY$6='Launch Readiness'!$G$14,'Launch Readiness'!$E$15,0)),0)</f>
        <v>-3825718</v>
      </c>
      <c r="AZ52" s="103">
        <f>ROUND(AY52+(IF(AZ$6&lt;='Launch Readiness'!$B$7,0,IF((AZ$6-'Launch Readiness'!$B$7)&lt;'Launch Readiness'!$E$6,0,INDEX('Scenario Engine'!$B$30:$F$30,1,ROUNDUP((AZ$6-'Launch Readiness'!$B$7)/12,0))/MAX(1,INDEX('Launch Readiness'!$B$26:$F$26,1,ROUNDUP((AZ$6-'Launch Readiness'!$B$7)/12,0))))))-IF(AZ$6&lt;'Launch Readiness'!$E$6,0,INDEX('Scenario Engine'!$B$47:$F$47,1,AZ$7)/MAX(1,INDEX('Launch Readiness'!$B$26:$F$26,1,AZ$7)))-INDEX('Scenario Engine'!$B$52:$F$52,1,AZ$7)/12-((INDEX('Scenario Engine'!$B$53:$F$53,1,AZ$7)-'Launch Readiness'!$E$9*INDEX('Launch Readiness'!$B$34:$F$34,1,AZ$7)-'Launch Readiness'!$E$9*'Launch Readiness'!$B$10*INDEX('Launch Readiness'!$B$30:$F$30,1,AZ$7)-'Launch Readiness'!$E$16*INDEX('Launch Readiness'!$B$32:$F$32,1,AZ$7))/12+IF(AND(AZ$6&gt;='Launch Readiness'!$E$6,AZ$6&lt;'Launch Readiness'!$E$14),'Launch Readiness'!$E$9/12,0)+IF(AND(AZ$6&gt;='Launch Readiness'!$B$11,AZ$6&lt;'Launch Readiness'!$E$6),'Launch Readiness'!$E$9*'Launch Readiness'!$B$10/12,0)+IF(AZ$6&gt;='Launch Readiness'!$E$14,'Launch Readiness'!$E$16/12,0))-(IF(AZ$6&lt;=6,'Startup 6mo'!$F$44/6,0)+IF(AZ$6&lt;'Launch Readiness'!$E$6,'Launch Readiness'!$E$8/MAX(1,'Launch Readiness'!$E$7),0)+IF(AZ$6='Launch Readiness'!$G$14,'Launch Readiness'!$E$15,0)),0)</f>
        <v>-3735574</v>
      </c>
      <c r="BA52" s="103">
        <f>ROUND(AZ52+(IF(BA$6&lt;='Launch Readiness'!$B$7,0,IF((BA$6-'Launch Readiness'!$B$7)&lt;'Launch Readiness'!$E$6,0,INDEX('Scenario Engine'!$B$30:$F$30,1,ROUNDUP((BA$6-'Launch Readiness'!$B$7)/12,0))/MAX(1,INDEX('Launch Readiness'!$B$26:$F$26,1,ROUNDUP((BA$6-'Launch Readiness'!$B$7)/12,0))))))-IF(BA$6&lt;'Launch Readiness'!$E$6,0,INDEX('Scenario Engine'!$B$47:$F$47,1,BA$7)/MAX(1,INDEX('Launch Readiness'!$B$26:$F$26,1,BA$7)))-INDEX('Scenario Engine'!$B$52:$F$52,1,BA$7)/12-((INDEX('Scenario Engine'!$B$53:$F$53,1,BA$7)-'Launch Readiness'!$E$9*INDEX('Launch Readiness'!$B$34:$F$34,1,BA$7)-'Launch Readiness'!$E$9*'Launch Readiness'!$B$10*INDEX('Launch Readiness'!$B$30:$F$30,1,BA$7)-'Launch Readiness'!$E$16*INDEX('Launch Readiness'!$B$32:$F$32,1,BA$7))/12+IF(AND(BA$6&gt;='Launch Readiness'!$E$6,BA$6&lt;'Launch Readiness'!$E$14),'Launch Readiness'!$E$9/12,0)+IF(AND(BA$6&gt;='Launch Readiness'!$B$11,BA$6&lt;'Launch Readiness'!$E$6),'Launch Readiness'!$E$9*'Launch Readiness'!$B$10/12,0)+IF(BA$6&gt;='Launch Readiness'!$E$14,'Launch Readiness'!$E$16/12,0))-(IF(BA$6&lt;=6,'Startup 6mo'!$F$44/6,0)+IF(BA$6&lt;'Launch Readiness'!$E$6,'Launch Readiness'!$E$8/MAX(1,'Launch Readiness'!$E$7),0)+IF(BA$6='Launch Readiness'!$G$14,'Launch Readiness'!$E$15,0)),0)</f>
        <v>-3645430</v>
      </c>
      <c r="BB52" s="103">
        <f>ROUND(BA52+(IF(BB$6&lt;='Launch Readiness'!$B$7,0,IF((BB$6-'Launch Readiness'!$B$7)&lt;'Launch Readiness'!$E$6,0,INDEX('Scenario Engine'!$B$30:$F$30,1,ROUNDUP((BB$6-'Launch Readiness'!$B$7)/12,0))/MAX(1,INDEX('Launch Readiness'!$B$26:$F$26,1,ROUNDUP((BB$6-'Launch Readiness'!$B$7)/12,0))))))-IF(BB$6&lt;'Launch Readiness'!$E$6,0,INDEX('Scenario Engine'!$B$47:$F$47,1,BB$7)/MAX(1,INDEX('Launch Readiness'!$B$26:$F$26,1,BB$7)))-INDEX('Scenario Engine'!$B$52:$F$52,1,BB$7)/12-((INDEX('Scenario Engine'!$B$53:$F$53,1,BB$7)-'Launch Readiness'!$E$9*INDEX('Launch Readiness'!$B$34:$F$34,1,BB$7)-'Launch Readiness'!$E$9*'Launch Readiness'!$B$10*INDEX('Launch Readiness'!$B$30:$F$30,1,BB$7)-'Launch Readiness'!$E$16*INDEX('Launch Readiness'!$B$32:$F$32,1,BB$7))/12+IF(AND(BB$6&gt;='Launch Readiness'!$E$6,BB$6&lt;'Launch Readiness'!$E$14),'Launch Readiness'!$E$9/12,0)+IF(AND(BB$6&gt;='Launch Readiness'!$B$11,BB$6&lt;'Launch Readiness'!$E$6),'Launch Readiness'!$E$9*'Launch Readiness'!$B$10/12,0)+IF(BB$6&gt;='Launch Readiness'!$E$14,'Launch Readiness'!$E$16/12,0))-(IF(BB$6&lt;=6,'Startup 6mo'!$F$44/6,0)+IF(BB$6&lt;'Launch Readiness'!$E$6,'Launch Readiness'!$E$8/MAX(1,'Launch Readiness'!$E$7),0)+IF(BB$6='Launch Readiness'!$G$14,'Launch Readiness'!$E$15,0)),0)</f>
        <v>-3555286</v>
      </c>
      <c r="BC52" s="103">
        <f>ROUND(BB52+(IF(BC$6&lt;='Launch Readiness'!$B$7,0,IF((BC$6-'Launch Readiness'!$B$7)&lt;'Launch Readiness'!$E$6,0,INDEX('Scenario Engine'!$B$30:$F$30,1,ROUNDUP((BC$6-'Launch Readiness'!$B$7)/12,0))/MAX(1,INDEX('Launch Readiness'!$B$26:$F$26,1,ROUNDUP((BC$6-'Launch Readiness'!$B$7)/12,0))))))-IF(BC$6&lt;'Launch Readiness'!$E$6,0,INDEX('Scenario Engine'!$B$47:$F$47,1,BC$7)/MAX(1,INDEX('Launch Readiness'!$B$26:$F$26,1,BC$7)))-INDEX('Scenario Engine'!$B$52:$F$52,1,BC$7)/12-((INDEX('Scenario Engine'!$B$53:$F$53,1,BC$7)-'Launch Readiness'!$E$9*INDEX('Launch Readiness'!$B$34:$F$34,1,BC$7)-'Launch Readiness'!$E$9*'Launch Readiness'!$B$10*INDEX('Launch Readiness'!$B$30:$F$30,1,BC$7)-'Launch Readiness'!$E$16*INDEX('Launch Readiness'!$B$32:$F$32,1,BC$7))/12+IF(AND(BC$6&gt;='Launch Readiness'!$E$6,BC$6&lt;'Launch Readiness'!$E$14),'Launch Readiness'!$E$9/12,0)+IF(AND(BC$6&gt;='Launch Readiness'!$B$11,BC$6&lt;'Launch Readiness'!$E$6),'Launch Readiness'!$E$9*'Launch Readiness'!$B$10/12,0)+IF(BC$6&gt;='Launch Readiness'!$E$14,'Launch Readiness'!$E$16/12,0))-(IF(BC$6&lt;=6,'Startup 6mo'!$F$44/6,0)+IF(BC$6&lt;'Launch Readiness'!$E$6,'Launch Readiness'!$E$8/MAX(1,'Launch Readiness'!$E$7),0)+IF(BC$6='Launch Readiness'!$G$14,'Launch Readiness'!$E$15,0)),0)</f>
        <v>-3465142</v>
      </c>
      <c r="BD52" s="103">
        <f>ROUND(BC52+(IF(BD$6&lt;='Launch Readiness'!$B$7,0,IF((BD$6-'Launch Readiness'!$B$7)&lt;'Launch Readiness'!$E$6,0,INDEX('Scenario Engine'!$B$30:$F$30,1,ROUNDUP((BD$6-'Launch Readiness'!$B$7)/12,0))/MAX(1,INDEX('Launch Readiness'!$B$26:$F$26,1,ROUNDUP((BD$6-'Launch Readiness'!$B$7)/12,0))))))-IF(BD$6&lt;'Launch Readiness'!$E$6,0,INDEX('Scenario Engine'!$B$47:$F$47,1,BD$7)/MAX(1,INDEX('Launch Readiness'!$B$26:$F$26,1,BD$7)))-INDEX('Scenario Engine'!$B$52:$F$52,1,BD$7)/12-((INDEX('Scenario Engine'!$B$53:$F$53,1,BD$7)-'Launch Readiness'!$E$9*INDEX('Launch Readiness'!$B$34:$F$34,1,BD$7)-'Launch Readiness'!$E$9*'Launch Readiness'!$B$10*INDEX('Launch Readiness'!$B$30:$F$30,1,BD$7)-'Launch Readiness'!$E$16*INDEX('Launch Readiness'!$B$32:$F$32,1,BD$7))/12+IF(AND(BD$6&gt;='Launch Readiness'!$E$6,BD$6&lt;'Launch Readiness'!$E$14),'Launch Readiness'!$E$9/12,0)+IF(AND(BD$6&gt;='Launch Readiness'!$B$11,BD$6&lt;'Launch Readiness'!$E$6),'Launch Readiness'!$E$9*'Launch Readiness'!$B$10/12,0)+IF(BD$6&gt;='Launch Readiness'!$E$14,'Launch Readiness'!$E$16/12,0))-(IF(BD$6&lt;=6,'Startup 6mo'!$F$44/6,0)+IF(BD$6&lt;'Launch Readiness'!$E$6,'Launch Readiness'!$E$8/MAX(1,'Launch Readiness'!$E$7),0)+IF(BD$6='Launch Readiness'!$G$14,'Launch Readiness'!$E$15,0)),0)</f>
        <v>-3374998</v>
      </c>
      <c r="BE52" s="103">
        <f>ROUND(BD52+(IF(BE$6&lt;='Launch Readiness'!$B$7,0,IF((BE$6-'Launch Readiness'!$B$7)&lt;'Launch Readiness'!$E$6,0,INDEX('Scenario Engine'!$B$30:$F$30,1,ROUNDUP((BE$6-'Launch Readiness'!$B$7)/12,0))/MAX(1,INDEX('Launch Readiness'!$B$26:$F$26,1,ROUNDUP((BE$6-'Launch Readiness'!$B$7)/12,0))))))-IF(BE$6&lt;'Launch Readiness'!$E$6,0,INDEX('Scenario Engine'!$B$47:$F$47,1,BE$7)/MAX(1,INDEX('Launch Readiness'!$B$26:$F$26,1,BE$7)))-INDEX('Scenario Engine'!$B$52:$F$52,1,BE$7)/12-((INDEX('Scenario Engine'!$B$53:$F$53,1,BE$7)-'Launch Readiness'!$E$9*INDEX('Launch Readiness'!$B$34:$F$34,1,BE$7)-'Launch Readiness'!$E$9*'Launch Readiness'!$B$10*INDEX('Launch Readiness'!$B$30:$F$30,1,BE$7)-'Launch Readiness'!$E$16*INDEX('Launch Readiness'!$B$32:$F$32,1,BE$7))/12+IF(AND(BE$6&gt;='Launch Readiness'!$E$6,BE$6&lt;'Launch Readiness'!$E$14),'Launch Readiness'!$E$9/12,0)+IF(AND(BE$6&gt;='Launch Readiness'!$B$11,BE$6&lt;'Launch Readiness'!$E$6),'Launch Readiness'!$E$9*'Launch Readiness'!$B$10/12,0)+IF(BE$6&gt;='Launch Readiness'!$E$14,'Launch Readiness'!$E$16/12,0))-(IF(BE$6&lt;=6,'Startup 6mo'!$F$44/6,0)+IF(BE$6&lt;'Launch Readiness'!$E$6,'Launch Readiness'!$E$8/MAX(1,'Launch Readiness'!$E$7),0)+IF(BE$6='Launch Readiness'!$G$14,'Launch Readiness'!$E$15,0)),0)</f>
        <v>-3284854</v>
      </c>
      <c r="BF52" s="103">
        <f>ROUND(BE52+(IF(BF$6&lt;='Launch Readiness'!$B$7,0,IF((BF$6-'Launch Readiness'!$B$7)&lt;'Launch Readiness'!$E$6,0,INDEX('Scenario Engine'!$B$30:$F$30,1,ROUNDUP((BF$6-'Launch Readiness'!$B$7)/12,0))/MAX(1,INDEX('Launch Readiness'!$B$26:$F$26,1,ROUNDUP((BF$6-'Launch Readiness'!$B$7)/12,0))))))-IF(BF$6&lt;'Launch Readiness'!$E$6,0,INDEX('Scenario Engine'!$B$47:$F$47,1,BF$7)/MAX(1,INDEX('Launch Readiness'!$B$26:$F$26,1,BF$7)))-INDEX('Scenario Engine'!$B$52:$F$52,1,BF$7)/12-((INDEX('Scenario Engine'!$B$53:$F$53,1,BF$7)-'Launch Readiness'!$E$9*INDEX('Launch Readiness'!$B$34:$F$34,1,BF$7)-'Launch Readiness'!$E$9*'Launch Readiness'!$B$10*INDEX('Launch Readiness'!$B$30:$F$30,1,BF$7)-'Launch Readiness'!$E$16*INDEX('Launch Readiness'!$B$32:$F$32,1,BF$7))/12+IF(AND(BF$6&gt;='Launch Readiness'!$E$6,BF$6&lt;'Launch Readiness'!$E$14),'Launch Readiness'!$E$9/12,0)+IF(AND(BF$6&gt;='Launch Readiness'!$B$11,BF$6&lt;'Launch Readiness'!$E$6),'Launch Readiness'!$E$9*'Launch Readiness'!$B$10/12,0)+IF(BF$6&gt;='Launch Readiness'!$E$14,'Launch Readiness'!$E$16/12,0))-(IF(BF$6&lt;=6,'Startup 6mo'!$F$44/6,0)+IF(BF$6&lt;'Launch Readiness'!$E$6,'Launch Readiness'!$E$8/MAX(1,'Launch Readiness'!$E$7),0)+IF(BF$6='Launch Readiness'!$G$14,'Launch Readiness'!$E$15,0)),0)</f>
        <v>-3194710</v>
      </c>
      <c r="BG52" s="103">
        <f>ROUND(BF52+(IF(BG$6&lt;='Launch Readiness'!$B$7,0,IF((BG$6-'Launch Readiness'!$B$7)&lt;'Launch Readiness'!$E$6,0,INDEX('Scenario Engine'!$B$30:$F$30,1,ROUNDUP((BG$6-'Launch Readiness'!$B$7)/12,0))/MAX(1,INDEX('Launch Readiness'!$B$26:$F$26,1,ROUNDUP((BG$6-'Launch Readiness'!$B$7)/12,0))))))-IF(BG$6&lt;'Launch Readiness'!$E$6,0,INDEX('Scenario Engine'!$B$47:$F$47,1,BG$7)/MAX(1,INDEX('Launch Readiness'!$B$26:$F$26,1,BG$7)))-INDEX('Scenario Engine'!$B$52:$F$52,1,BG$7)/12-((INDEX('Scenario Engine'!$B$53:$F$53,1,BG$7)-'Launch Readiness'!$E$9*INDEX('Launch Readiness'!$B$34:$F$34,1,BG$7)-'Launch Readiness'!$E$9*'Launch Readiness'!$B$10*INDEX('Launch Readiness'!$B$30:$F$30,1,BG$7)-'Launch Readiness'!$E$16*INDEX('Launch Readiness'!$B$32:$F$32,1,BG$7))/12+IF(AND(BG$6&gt;='Launch Readiness'!$E$6,BG$6&lt;'Launch Readiness'!$E$14),'Launch Readiness'!$E$9/12,0)+IF(AND(BG$6&gt;='Launch Readiness'!$B$11,BG$6&lt;'Launch Readiness'!$E$6),'Launch Readiness'!$E$9*'Launch Readiness'!$B$10/12,0)+IF(BG$6&gt;='Launch Readiness'!$E$14,'Launch Readiness'!$E$16/12,0))-(IF(BG$6&lt;=6,'Startup 6mo'!$F$44/6,0)+IF(BG$6&lt;'Launch Readiness'!$E$6,'Launch Readiness'!$E$8/MAX(1,'Launch Readiness'!$E$7),0)+IF(BG$6='Launch Readiness'!$G$14,'Launch Readiness'!$E$15,0)),0)</f>
        <v>-3104566</v>
      </c>
      <c r="BH52" s="103">
        <f>ROUND(BG52+(IF(BH$6&lt;='Launch Readiness'!$B$7,0,IF((BH$6-'Launch Readiness'!$B$7)&lt;'Launch Readiness'!$E$6,0,INDEX('Scenario Engine'!$B$30:$F$30,1,ROUNDUP((BH$6-'Launch Readiness'!$B$7)/12,0))/MAX(1,INDEX('Launch Readiness'!$B$26:$F$26,1,ROUNDUP((BH$6-'Launch Readiness'!$B$7)/12,0))))))-IF(BH$6&lt;'Launch Readiness'!$E$6,0,INDEX('Scenario Engine'!$B$47:$F$47,1,BH$7)/MAX(1,INDEX('Launch Readiness'!$B$26:$F$26,1,BH$7)))-INDEX('Scenario Engine'!$B$52:$F$52,1,BH$7)/12-((INDEX('Scenario Engine'!$B$53:$F$53,1,BH$7)-'Launch Readiness'!$E$9*INDEX('Launch Readiness'!$B$34:$F$34,1,BH$7)-'Launch Readiness'!$E$9*'Launch Readiness'!$B$10*INDEX('Launch Readiness'!$B$30:$F$30,1,BH$7)-'Launch Readiness'!$E$16*INDEX('Launch Readiness'!$B$32:$F$32,1,BH$7))/12+IF(AND(BH$6&gt;='Launch Readiness'!$E$6,BH$6&lt;'Launch Readiness'!$E$14),'Launch Readiness'!$E$9/12,0)+IF(AND(BH$6&gt;='Launch Readiness'!$B$11,BH$6&lt;'Launch Readiness'!$E$6),'Launch Readiness'!$E$9*'Launch Readiness'!$B$10/12,0)+IF(BH$6&gt;='Launch Readiness'!$E$14,'Launch Readiness'!$E$16/12,0))-(IF(BH$6&lt;=6,'Startup 6mo'!$F$44/6,0)+IF(BH$6&lt;'Launch Readiness'!$E$6,'Launch Readiness'!$E$8/MAX(1,'Launch Readiness'!$E$7),0)+IF(BH$6='Launch Readiness'!$G$14,'Launch Readiness'!$E$15,0)),0)</f>
        <v>-3014422</v>
      </c>
      <c r="BI52" s="103">
        <f>ROUND(BH52+(IF(BI$6&lt;='Launch Readiness'!$B$7,0,IF((BI$6-'Launch Readiness'!$B$7)&lt;'Launch Readiness'!$E$6,0,INDEX('Scenario Engine'!$B$30:$F$30,1,ROUNDUP((BI$6-'Launch Readiness'!$B$7)/12,0))/MAX(1,INDEX('Launch Readiness'!$B$26:$F$26,1,ROUNDUP((BI$6-'Launch Readiness'!$B$7)/12,0))))))-IF(BI$6&lt;'Launch Readiness'!$E$6,0,INDEX('Scenario Engine'!$B$47:$F$47,1,BI$7)/MAX(1,INDEX('Launch Readiness'!$B$26:$F$26,1,BI$7)))-INDEX('Scenario Engine'!$B$52:$F$52,1,BI$7)/12-((INDEX('Scenario Engine'!$B$53:$F$53,1,BI$7)-'Launch Readiness'!$E$9*INDEX('Launch Readiness'!$B$34:$F$34,1,BI$7)-'Launch Readiness'!$E$9*'Launch Readiness'!$B$10*INDEX('Launch Readiness'!$B$30:$F$30,1,BI$7)-'Launch Readiness'!$E$16*INDEX('Launch Readiness'!$B$32:$F$32,1,BI$7))/12+IF(AND(BI$6&gt;='Launch Readiness'!$E$6,BI$6&lt;'Launch Readiness'!$E$14),'Launch Readiness'!$E$9/12,0)+IF(AND(BI$6&gt;='Launch Readiness'!$B$11,BI$6&lt;'Launch Readiness'!$E$6),'Launch Readiness'!$E$9*'Launch Readiness'!$B$10/12,0)+IF(BI$6&gt;='Launch Readiness'!$E$14,'Launch Readiness'!$E$16/12,0))-(IF(BI$6&lt;=6,'Startup 6mo'!$F$44/6,0)+IF(BI$6&lt;'Launch Readiness'!$E$6,'Launch Readiness'!$E$8/MAX(1,'Launch Readiness'!$E$7),0)+IF(BI$6='Launch Readiness'!$G$14,'Launch Readiness'!$E$15,0)),0)</f>
        <v>-2924278</v>
      </c>
    </row>
    <row r="53" spans="1:61" ht="12" customHeight="1" x14ac:dyDescent="0.2">
      <c r="A53" s="49" t="s">
        <v>111</v>
      </c>
      <c r="B53" s="103">
        <f>ROUND((IF(B$6&lt;='Launch Readiness'!$B$7,0,IF((B$6-'Launch Readiness'!$B$7)&lt;'Launch Readiness'!$E$6,0,INDEX('Scenario Engine'!$H$30:$L$30,1,ROUNDUP((B$6-'Launch Readiness'!$B$7)/12,0))/MAX(1,INDEX('Launch Readiness'!$B$26:$F$26,1,ROUNDUP((B$6-'Launch Readiness'!$B$7)/12,0))))))-IF(B$6&lt;'Launch Readiness'!$E$6,0,INDEX('Scenario Engine'!$H$47:$L$47,1,B$7)/MAX(1,INDEX('Launch Readiness'!$B$26:$F$26,1,B$7)))-INDEX('Scenario Engine'!$H$52:$L$52,1,B$7)/12-((INDEX('Scenario Engine'!$H$53:$L$53,1,B$7)-'Launch Readiness'!$E$9*INDEX('Launch Readiness'!$B$34:$F$34,1,B$7)-'Launch Readiness'!$E$9*'Launch Readiness'!$B$10*INDEX('Launch Readiness'!$B$30:$F$30,1,B$7)-'Launch Readiness'!$E$16*INDEX('Launch Readiness'!$B$32:$F$32,1,B$7))/12+IF(AND(B$6&gt;='Launch Readiness'!$E$6,B$6&lt;'Launch Readiness'!$E$14),'Launch Readiness'!$E$9/12,0)+IF(AND(B$6&gt;='Launch Readiness'!$B$11,B$6&lt;'Launch Readiness'!$E$6),'Launch Readiness'!$E$9*'Launch Readiness'!$B$10/12,0)+IF(B$6&gt;='Launch Readiness'!$E$14,'Launch Readiness'!$E$16/12,0))-(IF(B$6&lt;=6,'Startup 6mo'!$F$44/6,0)+IF(B$6&lt;'Launch Readiness'!$E$6,'Launch Readiness'!$E$8/MAX(1,'Launch Readiness'!$E$7),0)+IF(B$6='Launch Readiness'!$G$14,'Launch Readiness'!$E$15,0)),0)</f>
        <v>-107605</v>
      </c>
      <c r="C53" s="103">
        <f>ROUND(B53+(IF(C$6&lt;='Launch Readiness'!$B$7,0,IF((C$6-'Launch Readiness'!$B$7)&lt;'Launch Readiness'!$E$6,0,INDEX('Scenario Engine'!$H$30:$L$30,1,ROUNDUP((C$6-'Launch Readiness'!$B$7)/12,0))/MAX(1,INDEX('Launch Readiness'!$B$26:$F$26,1,ROUNDUP((C$6-'Launch Readiness'!$B$7)/12,0))))))-IF(C$6&lt;'Launch Readiness'!$E$6,0,INDEX('Scenario Engine'!$H$47:$L$47,1,C$7)/MAX(1,INDEX('Launch Readiness'!$B$26:$F$26,1,C$7)))-INDEX('Scenario Engine'!$H$52:$L$52,1,C$7)/12-((INDEX('Scenario Engine'!$H$53:$L$53,1,C$7)-'Launch Readiness'!$E$9*INDEX('Launch Readiness'!$B$34:$F$34,1,C$7)-'Launch Readiness'!$E$9*'Launch Readiness'!$B$10*INDEX('Launch Readiness'!$B$30:$F$30,1,C$7)-'Launch Readiness'!$E$16*INDEX('Launch Readiness'!$B$32:$F$32,1,C$7))/12+IF(AND(C$6&gt;='Launch Readiness'!$E$6,C$6&lt;'Launch Readiness'!$E$14),'Launch Readiness'!$E$9/12,0)+IF(AND(C$6&gt;='Launch Readiness'!$B$11,C$6&lt;'Launch Readiness'!$E$6),'Launch Readiness'!$E$9*'Launch Readiness'!$B$10/12,0)+IF(C$6&gt;='Launch Readiness'!$E$14,'Launch Readiness'!$E$16/12,0))-(IF(C$6&lt;=6,'Startup 6mo'!$F$44/6,0)+IF(C$6&lt;'Launch Readiness'!$E$6,'Launch Readiness'!$E$8/MAX(1,'Launch Readiness'!$E$7),0)+IF(C$6='Launch Readiness'!$G$14,'Launch Readiness'!$E$15,0)),0)</f>
        <v>-217164</v>
      </c>
      <c r="D53" s="103">
        <f>ROUND(C53+(IF(D$6&lt;='Launch Readiness'!$B$7,0,IF((D$6-'Launch Readiness'!$B$7)&lt;'Launch Readiness'!$E$6,0,INDEX('Scenario Engine'!$H$30:$L$30,1,ROUNDUP((D$6-'Launch Readiness'!$B$7)/12,0))/MAX(1,INDEX('Launch Readiness'!$B$26:$F$26,1,ROUNDUP((D$6-'Launch Readiness'!$B$7)/12,0))))))-IF(D$6&lt;'Launch Readiness'!$E$6,0,INDEX('Scenario Engine'!$H$47:$L$47,1,D$7)/MAX(1,INDEX('Launch Readiness'!$B$26:$F$26,1,D$7)))-INDEX('Scenario Engine'!$H$52:$L$52,1,D$7)/12-((INDEX('Scenario Engine'!$H$53:$L$53,1,D$7)-'Launch Readiness'!$E$9*INDEX('Launch Readiness'!$B$34:$F$34,1,D$7)-'Launch Readiness'!$E$9*'Launch Readiness'!$B$10*INDEX('Launch Readiness'!$B$30:$F$30,1,D$7)-'Launch Readiness'!$E$16*INDEX('Launch Readiness'!$B$32:$F$32,1,D$7))/12+IF(AND(D$6&gt;='Launch Readiness'!$E$6,D$6&lt;'Launch Readiness'!$E$14),'Launch Readiness'!$E$9/12,0)+IF(AND(D$6&gt;='Launch Readiness'!$B$11,D$6&lt;'Launch Readiness'!$E$6),'Launch Readiness'!$E$9*'Launch Readiness'!$B$10/12,0)+IF(D$6&gt;='Launch Readiness'!$E$14,'Launch Readiness'!$E$16/12,0))-(IF(D$6&lt;=6,'Startup 6mo'!$F$44/6,0)+IF(D$6&lt;'Launch Readiness'!$E$6,'Launch Readiness'!$E$8/MAX(1,'Launch Readiness'!$E$7),0)+IF(D$6='Launch Readiness'!$G$14,'Launch Readiness'!$E$15,0)),0)</f>
        <v>-326723</v>
      </c>
      <c r="E53" s="103">
        <f>ROUND(D53+(IF(E$6&lt;='Launch Readiness'!$B$7,0,IF((E$6-'Launch Readiness'!$B$7)&lt;'Launch Readiness'!$E$6,0,INDEX('Scenario Engine'!$H$30:$L$30,1,ROUNDUP((E$6-'Launch Readiness'!$B$7)/12,0))/MAX(1,INDEX('Launch Readiness'!$B$26:$F$26,1,ROUNDUP((E$6-'Launch Readiness'!$B$7)/12,0))))))-IF(E$6&lt;'Launch Readiness'!$E$6,0,INDEX('Scenario Engine'!$H$47:$L$47,1,E$7)/MAX(1,INDEX('Launch Readiness'!$B$26:$F$26,1,E$7)))-INDEX('Scenario Engine'!$H$52:$L$52,1,E$7)/12-((INDEX('Scenario Engine'!$H$53:$L$53,1,E$7)-'Launch Readiness'!$E$9*INDEX('Launch Readiness'!$B$34:$F$34,1,E$7)-'Launch Readiness'!$E$9*'Launch Readiness'!$B$10*INDEX('Launch Readiness'!$B$30:$F$30,1,E$7)-'Launch Readiness'!$E$16*INDEX('Launch Readiness'!$B$32:$F$32,1,E$7))/12+IF(AND(E$6&gt;='Launch Readiness'!$E$6,E$6&lt;'Launch Readiness'!$E$14),'Launch Readiness'!$E$9/12,0)+IF(AND(E$6&gt;='Launch Readiness'!$B$11,E$6&lt;'Launch Readiness'!$E$6),'Launch Readiness'!$E$9*'Launch Readiness'!$B$10/12,0)+IF(E$6&gt;='Launch Readiness'!$E$14,'Launch Readiness'!$E$16/12,0))-(IF(E$6&lt;=6,'Startup 6mo'!$F$44/6,0)+IF(E$6&lt;'Launch Readiness'!$E$6,'Launch Readiness'!$E$8/MAX(1,'Launch Readiness'!$E$7),0)+IF(E$6='Launch Readiness'!$G$14,'Launch Readiness'!$E$15,0)),0)</f>
        <v>-436282</v>
      </c>
      <c r="F53" s="103">
        <f>ROUND(E53+(IF(F$6&lt;='Launch Readiness'!$B$7,0,IF((F$6-'Launch Readiness'!$B$7)&lt;'Launch Readiness'!$E$6,0,INDEX('Scenario Engine'!$H$30:$L$30,1,ROUNDUP((F$6-'Launch Readiness'!$B$7)/12,0))/MAX(1,INDEX('Launch Readiness'!$B$26:$F$26,1,ROUNDUP((F$6-'Launch Readiness'!$B$7)/12,0))))))-IF(F$6&lt;'Launch Readiness'!$E$6,0,INDEX('Scenario Engine'!$H$47:$L$47,1,F$7)/MAX(1,INDEX('Launch Readiness'!$B$26:$F$26,1,F$7)))-INDEX('Scenario Engine'!$H$52:$L$52,1,F$7)/12-((INDEX('Scenario Engine'!$H$53:$L$53,1,F$7)-'Launch Readiness'!$E$9*INDEX('Launch Readiness'!$B$34:$F$34,1,F$7)-'Launch Readiness'!$E$9*'Launch Readiness'!$B$10*INDEX('Launch Readiness'!$B$30:$F$30,1,F$7)-'Launch Readiness'!$E$16*INDEX('Launch Readiness'!$B$32:$F$32,1,F$7))/12+IF(AND(F$6&gt;='Launch Readiness'!$E$6,F$6&lt;'Launch Readiness'!$E$14),'Launch Readiness'!$E$9/12,0)+IF(AND(F$6&gt;='Launch Readiness'!$B$11,F$6&lt;'Launch Readiness'!$E$6),'Launch Readiness'!$E$9*'Launch Readiness'!$B$10/12,0)+IF(F$6&gt;='Launch Readiness'!$E$14,'Launch Readiness'!$E$16/12,0))-(IF(F$6&lt;=6,'Startup 6mo'!$F$44/6,0)+IF(F$6&lt;'Launch Readiness'!$E$6,'Launch Readiness'!$E$8/MAX(1,'Launch Readiness'!$E$7),0)+IF(F$6='Launch Readiness'!$G$14,'Launch Readiness'!$E$15,0)),0)</f>
        <v>-545841</v>
      </c>
      <c r="G53" s="103">
        <f>ROUND(F53+(IF(G$6&lt;='Launch Readiness'!$B$7,0,IF((G$6-'Launch Readiness'!$B$7)&lt;'Launch Readiness'!$E$6,0,INDEX('Scenario Engine'!$H$30:$L$30,1,ROUNDUP((G$6-'Launch Readiness'!$B$7)/12,0))/MAX(1,INDEX('Launch Readiness'!$B$26:$F$26,1,ROUNDUP((G$6-'Launch Readiness'!$B$7)/12,0))))))-IF(G$6&lt;'Launch Readiness'!$E$6,0,INDEX('Scenario Engine'!$H$47:$L$47,1,G$7)/MAX(1,INDEX('Launch Readiness'!$B$26:$F$26,1,G$7)))-INDEX('Scenario Engine'!$H$52:$L$52,1,G$7)/12-((INDEX('Scenario Engine'!$H$53:$L$53,1,G$7)-'Launch Readiness'!$E$9*INDEX('Launch Readiness'!$B$34:$F$34,1,G$7)-'Launch Readiness'!$E$9*'Launch Readiness'!$B$10*INDEX('Launch Readiness'!$B$30:$F$30,1,G$7)-'Launch Readiness'!$E$16*INDEX('Launch Readiness'!$B$32:$F$32,1,G$7))/12+IF(AND(G$6&gt;='Launch Readiness'!$E$6,G$6&lt;'Launch Readiness'!$E$14),'Launch Readiness'!$E$9/12,0)+IF(AND(G$6&gt;='Launch Readiness'!$B$11,G$6&lt;'Launch Readiness'!$E$6),'Launch Readiness'!$E$9*'Launch Readiness'!$B$10/12,0)+IF(G$6&gt;='Launch Readiness'!$E$14,'Launch Readiness'!$E$16/12,0))-(IF(G$6&lt;=6,'Startup 6mo'!$F$44/6,0)+IF(G$6&lt;'Launch Readiness'!$E$6,'Launch Readiness'!$E$8/MAX(1,'Launch Readiness'!$E$7),0)+IF(G$6='Launch Readiness'!$G$14,'Launch Readiness'!$E$15,0)),0)</f>
        <v>-655400</v>
      </c>
      <c r="H53" s="103">
        <f>ROUND(G53+(IF(H$6&lt;='Launch Readiness'!$B$7,0,IF((H$6-'Launch Readiness'!$B$7)&lt;'Launch Readiness'!$E$6,0,INDEX('Scenario Engine'!$H$30:$L$30,1,ROUNDUP((H$6-'Launch Readiness'!$B$7)/12,0))/MAX(1,INDEX('Launch Readiness'!$B$26:$F$26,1,ROUNDUP((H$6-'Launch Readiness'!$B$7)/12,0))))))-IF(H$6&lt;'Launch Readiness'!$E$6,0,INDEX('Scenario Engine'!$H$47:$L$47,1,H$7)/MAX(1,INDEX('Launch Readiness'!$B$26:$F$26,1,H$7)))-INDEX('Scenario Engine'!$H$52:$L$52,1,H$7)/12-((INDEX('Scenario Engine'!$H$53:$L$53,1,H$7)-'Launch Readiness'!$E$9*INDEX('Launch Readiness'!$B$34:$F$34,1,H$7)-'Launch Readiness'!$E$9*'Launch Readiness'!$B$10*INDEX('Launch Readiness'!$B$30:$F$30,1,H$7)-'Launch Readiness'!$E$16*INDEX('Launch Readiness'!$B$32:$F$32,1,H$7))/12+IF(AND(H$6&gt;='Launch Readiness'!$E$6,H$6&lt;'Launch Readiness'!$E$14),'Launch Readiness'!$E$9/12,0)+IF(AND(H$6&gt;='Launch Readiness'!$B$11,H$6&lt;'Launch Readiness'!$E$6),'Launch Readiness'!$E$9*'Launch Readiness'!$B$10/12,0)+IF(H$6&gt;='Launch Readiness'!$E$14,'Launch Readiness'!$E$16/12,0))-(IF(H$6&lt;=6,'Startup 6mo'!$F$44/6,0)+IF(H$6&lt;'Launch Readiness'!$E$6,'Launch Readiness'!$E$8/MAX(1,'Launch Readiness'!$E$7),0)+IF(H$6='Launch Readiness'!$G$14,'Launch Readiness'!$E$15,0)),0)</f>
        <v>-724391</v>
      </c>
      <c r="I53" s="103">
        <f>ROUND(H53+(IF(I$6&lt;='Launch Readiness'!$B$7,0,IF((I$6-'Launch Readiness'!$B$7)&lt;'Launch Readiness'!$E$6,0,INDEX('Scenario Engine'!$H$30:$L$30,1,ROUNDUP((I$6-'Launch Readiness'!$B$7)/12,0))/MAX(1,INDEX('Launch Readiness'!$B$26:$F$26,1,ROUNDUP((I$6-'Launch Readiness'!$B$7)/12,0))))))-IF(I$6&lt;'Launch Readiness'!$E$6,0,INDEX('Scenario Engine'!$H$47:$L$47,1,I$7)/MAX(1,INDEX('Launch Readiness'!$B$26:$F$26,1,I$7)))-INDEX('Scenario Engine'!$H$52:$L$52,1,I$7)/12-((INDEX('Scenario Engine'!$H$53:$L$53,1,I$7)-'Launch Readiness'!$E$9*INDEX('Launch Readiness'!$B$34:$F$34,1,I$7)-'Launch Readiness'!$E$9*'Launch Readiness'!$B$10*INDEX('Launch Readiness'!$B$30:$F$30,1,I$7)-'Launch Readiness'!$E$16*INDEX('Launch Readiness'!$B$32:$F$32,1,I$7))/12+IF(AND(I$6&gt;='Launch Readiness'!$E$6,I$6&lt;'Launch Readiness'!$E$14),'Launch Readiness'!$E$9/12,0)+IF(AND(I$6&gt;='Launch Readiness'!$B$11,I$6&lt;'Launch Readiness'!$E$6),'Launch Readiness'!$E$9*'Launch Readiness'!$B$10/12,0)+IF(I$6&gt;='Launch Readiness'!$E$14,'Launch Readiness'!$E$16/12,0))-(IF(I$6&lt;=6,'Startup 6mo'!$F$44/6,0)+IF(I$6&lt;'Launch Readiness'!$E$6,'Launch Readiness'!$E$8/MAX(1,'Launch Readiness'!$E$7),0)+IF(I$6='Launch Readiness'!$G$14,'Launch Readiness'!$E$15,0)),0)</f>
        <v>-793382</v>
      </c>
      <c r="J53" s="103">
        <f>ROUND(I53+(IF(J$6&lt;='Launch Readiness'!$B$7,0,IF((J$6-'Launch Readiness'!$B$7)&lt;'Launch Readiness'!$E$6,0,INDEX('Scenario Engine'!$H$30:$L$30,1,ROUNDUP((J$6-'Launch Readiness'!$B$7)/12,0))/MAX(1,INDEX('Launch Readiness'!$B$26:$F$26,1,ROUNDUP((J$6-'Launch Readiness'!$B$7)/12,0))))))-IF(J$6&lt;'Launch Readiness'!$E$6,0,INDEX('Scenario Engine'!$H$47:$L$47,1,J$7)/MAX(1,INDEX('Launch Readiness'!$B$26:$F$26,1,J$7)))-INDEX('Scenario Engine'!$H$52:$L$52,1,J$7)/12-((INDEX('Scenario Engine'!$H$53:$L$53,1,J$7)-'Launch Readiness'!$E$9*INDEX('Launch Readiness'!$B$34:$F$34,1,J$7)-'Launch Readiness'!$E$9*'Launch Readiness'!$B$10*INDEX('Launch Readiness'!$B$30:$F$30,1,J$7)-'Launch Readiness'!$E$16*INDEX('Launch Readiness'!$B$32:$F$32,1,J$7))/12+IF(AND(J$6&gt;='Launch Readiness'!$E$6,J$6&lt;'Launch Readiness'!$E$14),'Launch Readiness'!$E$9/12,0)+IF(AND(J$6&gt;='Launch Readiness'!$B$11,J$6&lt;'Launch Readiness'!$E$6),'Launch Readiness'!$E$9*'Launch Readiness'!$B$10/12,0)+IF(J$6&gt;='Launch Readiness'!$E$14,'Launch Readiness'!$E$16/12,0))-(IF(J$6&lt;=6,'Startup 6mo'!$F$44/6,0)+IF(J$6&lt;'Launch Readiness'!$E$6,'Launch Readiness'!$E$8/MAX(1,'Launch Readiness'!$E$7),0)+IF(J$6='Launch Readiness'!$G$14,'Launch Readiness'!$E$15,0)),0)</f>
        <v>-862373</v>
      </c>
      <c r="K53" s="103">
        <f>ROUND(J53+(IF(K$6&lt;='Launch Readiness'!$B$7,0,IF((K$6-'Launch Readiness'!$B$7)&lt;'Launch Readiness'!$E$6,0,INDEX('Scenario Engine'!$H$30:$L$30,1,ROUNDUP((K$6-'Launch Readiness'!$B$7)/12,0))/MAX(1,INDEX('Launch Readiness'!$B$26:$F$26,1,ROUNDUP((K$6-'Launch Readiness'!$B$7)/12,0))))))-IF(K$6&lt;'Launch Readiness'!$E$6,0,INDEX('Scenario Engine'!$H$47:$L$47,1,K$7)/MAX(1,INDEX('Launch Readiness'!$B$26:$F$26,1,K$7)))-INDEX('Scenario Engine'!$H$52:$L$52,1,K$7)/12-((INDEX('Scenario Engine'!$H$53:$L$53,1,K$7)-'Launch Readiness'!$E$9*INDEX('Launch Readiness'!$B$34:$F$34,1,K$7)-'Launch Readiness'!$E$9*'Launch Readiness'!$B$10*INDEX('Launch Readiness'!$B$30:$F$30,1,K$7)-'Launch Readiness'!$E$16*INDEX('Launch Readiness'!$B$32:$F$32,1,K$7))/12+IF(AND(K$6&gt;='Launch Readiness'!$E$6,K$6&lt;'Launch Readiness'!$E$14),'Launch Readiness'!$E$9/12,0)+IF(AND(K$6&gt;='Launch Readiness'!$B$11,K$6&lt;'Launch Readiness'!$E$6),'Launch Readiness'!$E$9*'Launch Readiness'!$B$10/12,0)+IF(K$6&gt;='Launch Readiness'!$E$14,'Launch Readiness'!$E$16/12,0))-(IF(K$6&lt;=6,'Startup 6mo'!$F$44/6,0)+IF(K$6&lt;'Launch Readiness'!$E$6,'Launch Readiness'!$E$8/MAX(1,'Launch Readiness'!$E$7),0)+IF(K$6='Launch Readiness'!$G$14,'Launch Readiness'!$E$15,0)),0)</f>
        <v>-931364</v>
      </c>
      <c r="L53" s="103">
        <f>ROUND(K53+(IF(L$6&lt;='Launch Readiness'!$B$7,0,IF((L$6-'Launch Readiness'!$B$7)&lt;'Launch Readiness'!$E$6,0,INDEX('Scenario Engine'!$H$30:$L$30,1,ROUNDUP((L$6-'Launch Readiness'!$B$7)/12,0))/MAX(1,INDEX('Launch Readiness'!$B$26:$F$26,1,ROUNDUP((L$6-'Launch Readiness'!$B$7)/12,0))))))-IF(L$6&lt;'Launch Readiness'!$E$6,0,INDEX('Scenario Engine'!$H$47:$L$47,1,L$7)/MAX(1,INDEX('Launch Readiness'!$B$26:$F$26,1,L$7)))-INDEX('Scenario Engine'!$H$52:$L$52,1,L$7)/12-((INDEX('Scenario Engine'!$H$53:$L$53,1,L$7)-'Launch Readiness'!$E$9*INDEX('Launch Readiness'!$B$34:$F$34,1,L$7)-'Launch Readiness'!$E$9*'Launch Readiness'!$B$10*INDEX('Launch Readiness'!$B$30:$F$30,1,L$7)-'Launch Readiness'!$E$16*INDEX('Launch Readiness'!$B$32:$F$32,1,L$7))/12+IF(AND(L$6&gt;='Launch Readiness'!$E$6,L$6&lt;'Launch Readiness'!$E$14),'Launch Readiness'!$E$9/12,0)+IF(AND(L$6&gt;='Launch Readiness'!$B$11,L$6&lt;'Launch Readiness'!$E$6),'Launch Readiness'!$E$9*'Launch Readiness'!$B$10/12,0)+IF(L$6&gt;='Launch Readiness'!$E$14,'Launch Readiness'!$E$16/12,0))-(IF(L$6&lt;=6,'Startup 6mo'!$F$44/6,0)+IF(L$6&lt;'Launch Readiness'!$E$6,'Launch Readiness'!$E$8/MAX(1,'Launch Readiness'!$E$7),0)+IF(L$6='Launch Readiness'!$G$14,'Launch Readiness'!$E$15,0)),0)</f>
        <v>-1000355</v>
      </c>
      <c r="M53" s="103">
        <f>ROUND(L53+(IF(M$6&lt;='Launch Readiness'!$B$7,0,IF((M$6-'Launch Readiness'!$B$7)&lt;'Launch Readiness'!$E$6,0,INDEX('Scenario Engine'!$H$30:$L$30,1,ROUNDUP((M$6-'Launch Readiness'!$B$7)/12,0))/MAX(1,INDEX('Launch Readiness'!$B$26:$F$26,1,ROUNDUP((M$6-'Launch Readiness'!$B$7)/12,0))))))-IF(M$6&lt;'Launch Readiness'!$E$6,0,INDEX('Scenario Engine'!$H$47:$L$47,1,M$7)/MAX(1,INDEX('Launch Readiness'!$B$26:$F$26,1,M$7)))-INDEX('Scenario Engine'!$H$52:$L$52,1,M$7)/12-((INDEX('Scenario Engine'!$H$53:$L$53,1,M$7)-'Launch Readiness'!$E$9*INDEX('Launch Readiness'!$B$34:$F$34,1,M$7)-'Launch Readiness'!$E$9*'Launch Readiness'!$B$10*INDEX('Launch Readiness'!$B$30:$F$30,1,M$7)-'Launch Readiness'!$E$16*INDEX('Launch Readiness'!$B$32:$F$32,1,M$7))/12+IF(AND(M$6&gt;='Launch Readiness'!$E$6,M$6&lt;'Launch Readiness'!$E$14),'Launch Readiness'!$E$9/12,0)+IF(AND(M$6&gt;='Launch Readiness'!$B$11,M$6&lt;'Launch Readiness'!$E$6),'Launch Readiness'!$E$9*'Launch Readiness'!$B$10/12,0)+IF(M$6&gt;='Launch Readiness'!$E$14,'Launch Readiness'!$E$16/12,0))-(IF(M$6&lt;=6,'Startup 6mo'!$F$44/6,0)+IF(M$6&lt;'Launch Readiness'!$E$6,'Launch Readiness'!$E$8/MAX(1,'Launch Readiness'!$E$7),0)+IF(M$6='Launch Readiness'!$G$14,'Launch Readiness'!$E$15,0)),0)</f>
        <v>-1068227</v>
      </c>
      <c r="N53" s="103">
        <f>ROUND(M53+(IF(N$6&lt;='Launch Readiness'!$B$7,0,IF((N$6-'Launch Readiness'!$B$7)&lt;'Launch Readiness'!$E$6,0,INDEX('Scenario Engine'!$H$30:$L$30,1,ROUNDUP((N$6-'Launch Readiness'!$B$7)/12,0))/MAX(1,INDEX('Launch Readiness'!$B$26:$F$26,1,ROUNDUP((N$6-'Launch Readiness'!$B$7)/12,0))))))-IF(N$6&lt;'Launch Readiness'!$E$6,0,INDEX('Scenario Engine'!$H$47:$L$47,1,N$7)/MAX(1,INDEX('Launch Readiness'!$B$26:$F$26,1,N$7)))-INDEX('Scenario Engine'!$H$52:$L$52,1,N$7)/12-((INDEX('Scenario Engine'!$H$53:$L$53,1,N$7)-'Launch Readiness'!$E$9*INDEX('Launch Readiness'!$B$34:$F$34,1,N$7)-'Launch Readiness'!$E$9*'Launch Readiness'!$B$10*INDEX('Launch Readiness'!$B$30:$F$30,1,N$7)-'Launch Readiness'!$E$16*INDEX('Launch Readiness'!$B$32:$F$32,1,N$7))/12+IF(AND(N$6&gt;='Launch Readiness'!$E$6,N$6&lt;'Launch Readiness'!$E$14),'Launch Readiness'!$E$9/12,0)+IF(AND(N$6&gt;='Launch Readiness'!$B$11,N$6&lt;'Launch Readiness'!$E$6),'Launch Readiness'!$E$9*'Launch Readiness'!$B$10/12,0)+IF(N$6&gt;='Launch Readiness'!$E$14,'Launch Readiness'!$E$16/12,0))-(IF(N$6&lt;=6,'Startup 6mo'!$F$44/6,0)+IF(N$6&lt;'Launch Readiness'!$E$6,'Launch Readiness'!$E$8/MAX(1,'Launch Readiness'!$E$7),0)+IF(N$6='Launch Readiness'!$G$14,'Launch Readiness'!$E$15,0)),0)</f>
        <v>-1169011</v>
      </c>
      <c r="O53" s="103">
        <f>ROUND(N53+(IF(O$6&lt;='Launch Readiness'!$B$7,0,IF((O$6-'Launch Readiness'!$B$7)&lt;'Launch Readiness'!$E$6,0,INDEX('Scenario Engine'!$H$30:$L$30,1,ROUNDUP((O$6-'Launch Readiness'!$B$7)/12,0))/MAX(1,INDEX('Launch Readiness'!$B$26:$F$26,1,ROUNDUP((O$6-'Launch Readiness'!$B$7)/12,0))))))-IF(O$6&lt;'Launch Readiness'!$E$6,0,INDEX('Scenario Engine'!$H$47:$L$47,1,O$7)/MAX(1,INDEX('Launch Readiness'!$B$26:$F$26,1,O$7)))-INDEX('Scenario Engine'!$H$52:$L$52,1,O$7)/12-((INDEX('Scenario Engine'!$H$53:$L$53,1,O$7)-'Launch Readiness'!$E$9*INDEX('Launch Readiness'!$B$34:$F$34,1,O$7)-'Launch Readiness'!$E$9*'Launch Readiness'!$B$10*INDEX('Launch Readiness'!$B$30:$F$30,1,O$7)-'Launch Readiness'!$E$16*INDEX('Launch Readiness'!$B$32:$F$32,1,O$7))/12+IF(AND(O$6&gt;='Launch Readiness'!$E$6,O$6&lt;'Launch Readiness'!$E$14),'Launch Readiness'!$E$9/12,0)+IF(AND(O$6&gt;='Launch Readiness'!$B$11,O$6&lt;'Launch Readiness'!$E$6),'Launch Readiness'!$E$9*'Launch Readiness'!$B$10/12,0)+IF(O$6&gt;='Launch Readiness'!$E$14,'Launch Readiness'!$E$16/12,0))-(IF(O$6&lt;=6,'Startup 6mo'!$F$44/6,0)+IF(O$6&lt;'Launch Readiness'!$E$6,'Launch Readiness'!$E$8/MAX(1,'Launch Readiness'!$E$7),0)+IF(O$6='Launch Readiness'!$G$14,'Launch Readiness'!$E$15,0)),0)</f>
        <v>-1238532</v>
      </c>
      <c r="P53" s="103">
        <f>ROUND(O53+(IF(P$6&lt;='Launch Readiness'!$B$7,0,IF((P$6-'Launch Readiness'!$B$7)&lt;'Launch Readiness'!$E$6,0,INDEX('Scenario Engine'!$H$30:$L$30,1,ROUNDUP((P$6-'Launch Readiness'!$B$7)/12,0))/MAX(1,INDEX('Launch Readiness'!$B$26:$F$26,1,ROUNDUP((P$6-'Launch Readiness'!$B$7)/12,0))))))-IF(P$6&lt;'Launch Readiness'!$E$6,0,INDEX('Scenario Engine'!$H$47:$L$47,1,P$7)/MAX(1,INDEX('Launch Readiness'!$B$26:$F$26,1,P$7)))-INDEX('Scenario Engine'!$H$52:$L$52,1,P$7)/12-((INDEX('Scenario Engine'!$H$53:$L$53,1,P$7)-'Launch Readiness'!$E$9*INDEX('Launch Readiness'!$B$34:$F$34,1,P$7)-'Launch Readiness'!$E$9*'Launch Readiness'!$B$10*INDEX('Launch Readiness'!$B$30:$F$30,1,P$7)-'Launch Readiness'!$E$16*INDEX('Launch Readiness'!$B$32:$F$32,1,P$7))/12+IF(AND(P$6&gt;='Launch Readiness'!$E$6,P$6&lt;'Launch Readiness'!$E$14),'Launch Readiness'!$E$9/12,0)+IF(AND(P$6&gt;='Launch Readiness'!$B$11,P$6&lt;'Launch Readiness'!$E$6),'Launch Readiness'!$E$9*'Launch Readiness'!$B$10/12,0)+IF(P$6&gt;='Launch Readiness'!$E$14,'Launch Readiness'!$E$16/12,0))-(IF(P$6&lt;=6,'Startup 6mo'!$F$44/6,0)+IF(P$6&lt;'Launch Readiness'!$E$6,'Launch Readiness'!$E$8/MAX(1,'Launch Readiness'!$E$7),0)+IF(P$6='Launch Readiness'!$G$14,'Launch Readiness'!$E$15,0)),0)</f>
        <v>-1308053</v>
      </c>
      <c r="Q53" s="103">
        <f>ROUND(P53+(IF(Q$6&lt;='Launch Readiness'!$B$7,0,IF((Q$6-'Launch Readiness'!$B$7)&lt;'Launch Readiness'!$E$6,0,INDEX('Scenario Engine'!$H$30:$L$30,1,ROUNDUP((Q$6-'Launch Readiness'!$B$7)/12,0))/MAX(1,INDEX('Launch Readiness'!$B$26:$F$26,1,ROUNDUP((Q$6-'Launch Readiness'!$B$7)/12,0))))))-IF(Q$6&lt;'Launch Readiness'!$E$6,0,INDEX('Scenario Engine'!$H$47:$L$47,1,Q$7)/MAX(1,INDEX('Launch Readiness'!$B$26:$F$26,1,Q$7)))-INDEX('Scenario Engine'!$H$52:$L$52,1,Q$7)/12-((INDEX('Scenario Engine'!$H$53:$L$53,1,Q$7)-'Launch Readiness'!$E$9*INDEX('Launch Readiness'!$B$34:$F$34,1,Q$7)-'Launch Readiness'!$E$9*'Launch Readiness'!$B$10*INDEX('Launch Readiness'!$B$30:$F$30,1,Q$7)-'Launch Readiness'!$E$16*INDEX('Launch Readiness'!$B$32:$F$32,1,Q$7))/12+IF(AND(Q$6&gt;='Launch Readiness'!$E$6,Q$6&lt;'Launch Readiness'!$E$14),'Launch Readiness'!$E$9/12,0)+IF(AND(Q$6&gt;='Launch Readiness'!$B$11,Q$6&lt;'Launch Readiness'!$E$6),'Launch Readiness'!$E$9*'Launch Readiness'!$B$10/12,0)+IF(Q$6&gt;='Launch Readiness'!$E$14,'Launch Readiness'!$E$16/12,0))-(IF(Q$6&lt;=6,'Startup 6mo'!$F$44/6,0)+IF(Q$6&lt;'Launch Readiness'!$E$6,'Launch Readiness'!$E$8/MAX(1,'Launch Readiness'!$E$7),0)+IF(Q$6='Launch Readiness'!$G$14,'Launch Readiness'!$E$15,0)),0)</f>
        <v>-1377574</v>
      </c>
      <c r="R53" s="103">
        <f>ROUND(Q53+(IF(R$6&lt;='Launch Readiness'!$B$7,0,IF((R$6-'Launch Readiness'!$B$7)&lt;'Launch Readiness'!$E$6,0,INDEX('Scenario Engine'!$H$30:$L$30,1,ROUNDUP((R$6-'Launch Readiness'!$B$7)/12,0))/MAX(1,INDEX('Launch Readiness'!$B$26:$F$26,1,ROUNDUP((R$6-'Launch Readiness'!$B$7)/12,0))))))-IF(R$6&lt;'Launch Readiness'!$E$6,0,INDEX('Scenario Engine'!$H$47:$L$47,1,R$7)/MAX(1,INDEX('Launch Readiness'!$B$26:$F$26,1,R$7)))-INDEX('Scenario Engine'!$H$52:$L$52,1,R$7)/12-((INDEX('Scenario Engine'!$H$53:$L$53,1,R$7)-'Launch Readiness'!$E$9*INDEX('Launch Readiness'!$B$34:$F$34,1,R$7)-'Launch Readiness'!$E$9*'Launch Readiness'!$B$10*INDEX('Launch Readiness'!$B$30:$F$30,1,R$7)-'Launch Readiness'!$E$16*INDEX('Launch Readiness'!$B$32:$F$32,1,R$7))/12+IF(AND(R$6&gt;='Launch Readiness'!$E$6,R$6&lt;'Launch Readiness'!$E$14),'Launch Readiness'!$E$9/12,0)+IF(AND(R$6&gt;='Launch Readiness'!$B$11,R$6&lt;'Launch Readiness'!$E$6),'Launch Readiness'!$E$9*'Launch Readiness'!$B$10/12,0)+IF(R$6&gt;='Launch Readiness'!$E$14,'Launch Readiness'!$E$16/12,0))-(IF(R$6&lt;=6,'Startup 6mo'!$F$44/6,0)+IF(R$6&lt;'Launch Readiness'!$E$6,'Launch Readiness'!$E$8/MAX(1,'Launch Readiness'!$E$7),0)+IF(R$6='Launch Readiness'!$G$14,'Launch Readiness'!$E$15,0)),0)</f>
        <v>-1447095</v>
      </c>
      <c r="S53" s="103">
        <f>ROUND(R53+(IF(S$6&lt;='Launch Readiness'!$B$7,0,IF((S$6-'Launch Readiness'!$B$7)&lt;'Launch Readiness'!$E$6,0,INDEX('Scenario Engine'!$H$30:$L$30,1,ROUNDUP((S$6-'Launch Readiness'!$B$7)/12,0))/MAX(1,INDEX('Launch Readiness'!$B$26:$F$26,1,ROUNDUP((S$6-'Launch Readiness'!$B$7)/12,0))))))-IF(S$6&lt;'Launch Readiness'!$E$6,0,INDEX('Scenario Engine'!$H$47:$L$47,1,S$7)/MAX(1,INDEX('Launch Readiness'!$B$26:$F$26,1,S$7)))-INDEX('Scenario Engine'!$H$52:$L$52,1,S$7)/12-((INDEX('Scenario Engine'!$H$53:$L$53,1,S$7)-'Launch Readiness'!$E$9*INDEX('Launch Readiness'!$B$34:$F$34,1,S$7)-'Launch Readiness'!$E$9*'Launch Readiness'!$B$10*INDEX('Launch Readiness'!$B$30:$F$30,1,S$7)-'Launch Readiness'!$E$16*INDEX('Launch Readiness'!$B$32:$F$32,1,S$7))/12+IF(AND(S$6&gt;='Launch Readiness'!$E$6,S$6&lt;'Launch Readiness'!$E$14),'Launch Readiness'!$E$9/12,0)+IF(AND(S$6&gt;='Launch Readiness'!$B$11,S$6&lt;'Launch Readiness'!$E$6),'Launch Readiness'!$E$9*'Launch Readiness'!$B$10/12,0)+IF(S$6&gt;='Launch Readiness'!$E$14,'Launch Readiness'!$E$16/12,0))-(IF(S$6&lt;=6,'Startup 6mo'!$F$44/6,0)+IF(S$6&lt;'Launch Readiness'!$E$6,'Launch Readiness'!$E$8/MAX(1,'Launch Readiness'!$E$7),0)+IF(S$6='Launch Readiness'!$G$14,'Launch Readiness'!$E$15,0)),0)</f>
        <v>-1559162</v>
      </c>
      <c r="T53" s="103">
        <f>ROUND(S53+(IF(T$6&lt;='Launch Readiness'!$B$7,0,IF((T$6-'Launch Readiness'!$B$7)&lt;'Launch Readiness'!$E$6,0,INDEX('Scenario Engine'!$H$30:$L$30,1,ROUNDUP((T$6-'Launch Readiness'!$B$7)/12,0))/MAX(1,INDEX('Launch Readiness'!$B$26:$F$26,1,ROUNDUP((T$6-'Launch Readiness'!$B$7)/12,0))))))-IF(T$6&lt;'Launch Readiness'!$E$6,0,INDEX('Scenario Engine'!$H$47:$L$47,1,T$7)/MAX(1,INDEX('Launch Readiness'!$B$26:$F$26,1,T$7)))-INDEX('Scenario Engine'!$H$52:$L$52,1,T$7)/12-((INDEX('Scenario Engine'!$H$53:$L$53,1,T$7)-'Launch Readiness'!$E$9*INDEX('Launch Readiness'!$B$34:$F$34,1,T$7)-'Launch Readiness'!$E$9*'Launch Readiness'!$B$10*INDEX('Launch Readiness'!$B$30:$F$30,1,T$7)-'Launch Readiness'!$E$16*INDEX('Launch Readiness'!$B$32:$F$32,1,T$7))/12+IF(AND(T$6&gt;='Launch Readiness'!$E$6,T$6&lt;'Launch Readiness'!$E$14),'Launch Readiness'!$E$9/12,0)+IF(AND(T$6&gt;='Launch Readiness'!$B$11,T$6&lt;'Launch Readiness'!$E$6),'Launch Readiness'!$E$9*'Launch Readiness'!$B$10/12,0)+IF(T$6&gt;='Launch Readiness'!$E$14,'Launch Readiness'!$E$16/12,0))-(IF(T$6&lt;=6,'Startup 6mo'!$F$44/6,0)+IF(T$6&lt;'Launch Readiness'!$E$6,'Launch Readiness'!$E$8/MAX(1,'Launch Readiness'!$E$7),0)+IF(T$6='Launch Readiness'!$G$14,'Launch Readiness'!$E$15,0)),0)</f>
        <v>-1628683</v>
      </c>
      <c r="U53" s="103">
        <f>ROUND(T53+(IF(U$6&lt;='Launch Readiness'!$B$7,0,IF((U$6-'Launch Readiness'!$B$7)&lt;'Launch Readiness'!$E$6,0,INDEX('Scenario Engine'!$H$30:$L$30,1,ROUNDUP((U$6-'Launch Readiness'!$B$7)/12,0))/MAX(1,INDEX('Launch Readiness'!$B$26:$F$26,1,ROUNDUP((U$6-'Launch Readiness'!$B$7)/12,0))))))-IF(U$6&lt;'Launch Readiness'!$E$6,0,INDEX('Scenario Engine'!$H$47:$L$47,1,U$7)/MAX(1,INDEX('Launch Readiness'!$B$26:$F$26,1,U$7)))-INDEX('Scenario Engine'!$H$52:$L$52,1,U$7)/12-((INDEX('Scenario Engine'!$H$53:$L$53,1,U$7)-'Launch Readiness'!$E$9*INDEX('Launch Readiness'!$B$34:$F$34,1,U$7)-'Launch Readiness'!$E$9*'Launch Readiness'!$B$10*INDEX('Launch Readiness'!$B$30:$F$30,1,U$7)-'Launch Readiness'!$E$16*INDEX('Launch Readiness'!$B$32:$F$32,1,U$7))/12+IF(AND(U$6&gt;='Launch Readiness'!$E$6,U$6&lt;'Launch Readiness'!$E$14),'Launch Readiness'!$E$9/12,0)+IF(AND(U$6&gt;='Launch Readiness'!$B$11,U$6&lt;'Launch Readiness'!$E$6),'Launch Readiness'!$E$9*'Launch Readiness'!$B$10/12,0)+IF(U$6&gt;='Launch Readiness'!$E$14,'Launch Readiness'!$E$16/12,0))-(IF(U$6&lt;=6,'Startup 6mo'!$F$44/6,0)+IF(U$6&lt;'Launch Readiness'!$E$6,'Launch Readiness'!$E$8/MAX(1,'Launch Readiness'!$E$7),0)+IF(U$6='Launch Readiness'!$G$14,'Launch Readiness'!$E$15,0)),0)</f>
        <v>-1698204</v>
      </c>
      <c r="V53" s="103">
        <f>ROUND(U53+(IF(V$6&lt;='Launch Readiness'!$B$7,0,IF((V$6-'Launch Readiness'!$B$7)&lt;'Launch Readiness'!$E$6,0,INDEX('Scenario Engine'!$H$30:$L$30,1,ROUNDUP((V$6-'Launch Readiness'!$B$7)/12,0))/MAX(1,INDEX('Launch Readiness'!$B$26:$F$26,1,ROUNDUP((V$6-'Launch Readiness'!$B$7)/12,0))))))-IF(V$6&lt;'Launch Readiness'!$E$6,0,INDEX('Scenario Engine'!$H$47:$L$47,1,V$7)/MAX(1,INDEX('Launch Readiness'!$B$26:$F$26,1,V$7)))-INDEX('Scenario Engine'!$H$52:$L$52,1,V$7)/12-((INDEX('Scenario Engine'!$H$53:$L$53,1,V$7)-'Launch Readiness'!$E$9*INDEX('Launch Readiness'!$B$34:$F$34,1,V$7)-'Launch Readiness'!$E$9*'Launch Readiness'!$B$10*INDEX('Launch Readiness'!$B$30:$F$30,1,V$7)-'Launch Readiness'!$E$16*INDEX('Launch Readiness'!$B$32:$F$32,1,V$7))/12+IF(AND(V$6&gt;='Launch Readiness'!$E$6,V$6&lt;'Launch Readiness'!$E$14),'Launch Readiness'!$E$9/12,0)+IF(AND(V$6&gt;='Launch Readiness'!$B$11,V$6&lt;'Launch Readiness'!$E$6),'Launch Readiness'!$E$9*'Launch Readiness'!$B$10/12,0)+IF(V$6&gt;='Launch Readiness'!$E$14,'Launch Readiness'!$E$16/12,0))-(IF(V$6&lt;=6,'Startup 6mo'!$F$44/6,0)+IF(V$6&lt;'Launch Readiness'!$E$6,'Launch Readiness'!$E$8/MAX(1,'Launch Readiness'!$E$7),0)+IF(V$6='Launch Readiness'!$G$14,'Launch Readiness'!$E$15,0)),0)</f>
        <v>-1767725</v>
      </c>
      <c r="W53" s="103">
        <f>ROUND(V53+(IF(W$6&lt;='Launch Readiness'!$B$7,0,IF((W$6-'Launch Readiness'!$B$7)&lt;'Launch Readiness'!$E$6,0,INDEX('Scenario Engine'!$H$30:$L$30,1,ROUNDUP((W$6-'Launch Readiness'!$B$7)/12,0))/MAX(1,INDEX('Launch Readiness'!$B$26:$F$26,1,ROUNDUP((W$6-'Launch Readiness'!$B$7)/12,0))))))-IF(W$6&lt;'Launch Readiness'!$E$6,0,INDEX('Scenario Engine'!$H$47:$L$47,1,W$7)/MAX(1,INDEX('Launch Readiness'!$B$26:$F$26,1,W$7)))-INDEX('Scenario Engine'!$H$52:$L$52,1,W$7)/12-((INDEX('Scenario Engine'!$H$53:$L$53,1,W$7)-'Launch Readiness'!$E$9*INDEX('Launch Readiness'!$B$34:$F$34,1,W$7)-'Launch Readiness'!$E$9*'Launch Readiness'!$B$10*INDEX('Launch Readiness'!$B$30:$F$30,1,W$7)-'Launch Readiness'!$E$16*INDEX('Launch Readiness'!$B$32:$F$32,1,W$7))/12+IF(AND(W$6&gt;='Launch Readiness'!$E$6,W$6&lt;'Launch Readiness'!$E$14),'Launch Readiness'!$E$9/12,0)+IF(AND(W$6&gt;='Launch Readiness'!$B$11,W$6&lt;'Launch Readiness'!$E$6),'Launch Readiness'!$E$9*'Launch Readiness'!$B$10/12,0)+IF(W$6&gt;='Launch Readiness'!$E$14,'Launch Readiness'!$E$16/12,0))-(IF(W$6&lt;=6,'Startup 6mo'!$F$44/6,0)+IF(W$6&lt;'Launch Readiness'!$E$6,'Launch Readiness'!$E$8/MAX(1,'Launch Readiness'!$E$7),0)+IF(W$6='Launch Readiness'!$G$14,'Launch Readiness'!$E$15,0)),0)</f>
        <v>-1837246</v>
      </c>
      <c r="X53" s="103">
        <f>ROUND(W53+(IF(X$6&lt;='Launch Readiness'!$B$7,0,IF((X$6-'Launch Readiness'!$B$7)&lt;'Launch Readiness'!$E$6,0,INDEX('Scenario Engine'!$H$30:$L$30,1,ROUNDUP((X$6-'Launch Readiness'!$B$7)/12,0))/MAX(1,INDEX('Launch Readiness'!$B$26:$F$26,1,ROUNDUP((X$6-'Launch Readiness'!$B$7)/12,0))))))-IF(X$6&lt;'Launch Readiness'!$E$6,0,INDEX('Scenario Engine'!$H$47:$L$47,1,X$7)/MAX(1,INDEX('Launch Readiness'!$B$26:$F$26,1,X$7)))-INDEX('Scenario Engine'!$H$52:$L$52,1,X$7)/12-((INDEX('Scenario Engine'!$H$53:$L$53,1,X$7)-'Launch Readiness'!$E$9*INDEX('Launch Readiness'!$B$34:$F$34,1,X$7)-'Launch Readiness'!$E$9*'Launch Readiness'!$B$10*INDEX('Launch Readiness'!$B$30:$F$30,1,X$7)-'Launch Readiness'!$E$16*INDEX('Launch Readiness'!$B$32:$F$32,1,X$7))/12+IF(AND(X$6&gt;='Launch Readiness'!$E$6,X$6&lt;'Launch Readiness'!$E$14),'Launch Readiness'!$E$9/12,0)+IF(AND(X$6&gt;='Launch Readiness'!$B$11,X$6&lt;'Launch Readiness'!$E$6),'Launch Readiness'!$E$9*'Launch Readiness'!$B$10/12,0)+IF(X$6&gt;='Launch Readiness'!$E$14,'Launch Readiness'!$E$16/12,0))-(IF(X$6&lt;=6,'Startup 6mo'!$F$44/6,0)+IF(X$6&lt;'Launch Readiness'!$E$6,'Launch Readiness'!$E$8/MAX(1,'Launch Readiness'!$E$7),0)+IF(X$6='Launch Readiness'!$G$14,'Launch Readiness'!$E$15,0)),0)</f>
        <v>-1906767</v>
      </c>
      <c r="Y53" s="103">
        <f>ROUND(X53+(IF(Y$6&lt;='Launch Readiness'!$B$7,0,IF((Y$6-'Launch Readiness'!$B$7)&lt;'Launch Readiness'!$E$6,0,INDEX('Scenario Engine'!$H$30:$L$30,1,ROUNDUP((Y$6-'Launch Readiness'!$B$7)/12,0))/MAX(1,INDEX('Launch Readiness'!$B$26:$F$26,1,ROUNDUP((Y$6-'Launch Readiness'!$B$7)/12,0))))))-IF(Y$6&lt;'Launch Readiness'!$E$6,0,INDEX('Scenario Engine'!$H$47:$L$47,1,Y$7)/MAX(1,INDEX('Launch Readiness'!$B$26:$F$26,1,Y$7)))-INDEX('Scenario Engine'!$H$52:$L$52,1,Y$7)/12-((INDEX('Scenario Engine'!$H$53:$L$53,1,Y$7)-'Launch Readiness'!$E$9*INDEX('Launch Readiness'!$B$34:$F$34,1,Y$7)-'Launch Readiness'!$E$9*'Launch Readiness'!$B$10*INDEX('Launch Readiness'!$B$30:$F$30,1,Y$7)-'Launch Readiness'!$E$16*INDEX('Launch Readiness'!$B$32:$F$32,1,Y$7))/12+IF(AND(Y$6&gt;='Launch Readiness'!$E$6,Y$6&lt;'Launch Readiness'!$E$14),'Launch Readiness'!$E$9/12,0)+IF(AND(Y$6&gt;='Launch Readiness'!$B$11,Y$6&lt;'Launch Readiness'!$E$6),'Launch Readiness'!$E$9*'Launch Readiness'!$B$10/12,0)+IF(Y$6&gt;='Launch Readiness'!$E$14,'Launch Readiness'!$E$16/12,0))-(IF(Y$6&lt;=6,'Startup 6mo'!$F$44/6,0)+IF(Y$6&lt;'Launch Readiness'!$E$6,'Launch Readiness'!$E$8/MAX(1,'Launch Readiness'!$E$7),0)+IF(Y$6='Launch Readiness'!$G$14,'Launch Readiness'!$E$15,0)),0)</f>
        <v>-1976288</v>
      </c>
      <c r="Z53" s="103">
        <f>ROUND(Y53+(IF(Z$6&lt;='Launch Readiness'!$B$7,0,IF((Z$6-'Launch Readiness'!$B$7)&lt;'Launch Readiness'!$E$6,0,INDEX('Scenario Engine'!$H$30:$L$30,1,ROUNDUP((Z$6-'Launch Readiness'!$B$7)/12,0))/MAX(1,INDEX('Launch Readiness'!$B$26:$F$26,1,ROUNDUP((Z$6-'Launch Readiness'!$B$7)/12,0))))))-IF(Z$6&lt;'Launch Readiness'!$E$6,0,INDEX('Scenario Engine'!$H$47:$L$47,1,Z$7)/MAX(1,INDEX('Launch Readiness'!$B$26:$F$26,1,Z$7)))-INDEX('Scenario Engine'!$H$52:$L$52,1,Z$7)/12-((INDEX('Scenario Engine'!$H$53:$L$53,1,Z$7)-'Launch Readiness'!$E$9*INDEX('Launch Readiness'!$B$34:$F$34,1,Z$7)-'Launch Readiness'!$E$9*'Launch Readiness'!$B$10*INDEX('Launch Readiness'!$B$30:$F$30,1,Z$7)-'Launch Readiness'!$E$16*INDEX('Launch Readiness'!$B$32:$F$32,1,Z$7))/12+IF(AND(Z$6&gt;='Launch Readiness'!$E$6,Z$6&lt;'Launch Readiness'!$E$14),'Launch Readiness'!$E$9/12,0)+IF(AND(Z$6&gt;='Launch Readiness'!$B$11,Z$6&lt;'Launch Readiness'!$E$6),'Launch Readiness'!$E$9*'Launch Readiness'!$B$10/12,0)+IF(Z$6&gt;='Launch Readiness'!$E$14,'Launch Readiness'!$E$16/12,0))-(IF(Z$6&lt;=6,'Startup 6mo'!$F$44/6,0)+IF(Z$6&lt;'Launch Readiness'!$E$6,'Launch Readiness'!$E$8/MAX(1,'Launch Readiness'!$E$7),0)+IF(Z$6='Launch Readiness'!$G$14,'Launch Readiness'!$E$15,0)),0)</f>
        <v>-2088065</v>
      </c>
      <c r="AA53" s="103">
        <f>ROUND(Z53+(IF(AA$6&lt;='Launch Readiness'!$B$7,0,IF((AA$6-'Launch Readiness'!$B$7)&lt;'Launch Readiness'!$E$6,0,INDEX('Scenario Engine'!$H$30:$L$30,1,ROUNDUP((AA$6-'Launch Readiness'!$B$7)/12,0))/MAX(1,INDEX('Launch Readiness'!$B$26:$F$26,1,ROUNDUP((AA$6-'Launch Readiness'!$B$7)/12,0))))))-IF(AA$6&lt;'Launch Readiness'!$E$6,0,INDEX('Scenario Engine'!$H$47:$L$47,1,AA$7)/MAX(1,INDEX('Launch Readiness'!$B$26:$F$26,1,AA$7)))-INDEX('Scenario Engine'!$H$52:$L$52,1,AA$7)/12-((INDEX('Scenario Engine'!$H$53:$L$53,1,AA$7)-'Launch Readiness'!$E$9*INDEX('Launch Readiness'!$B$34:$F$34,1,AA$7)-'Launch Readiness'!$E$9*'Launch Readiness'!$B$10*INDEX('Launch Readiness'!$B$30:$F$30,1,AA$7)-'Launch Readiness'!$E$16*INDEX('Launch Readiness'!$B$32:$F$32,1,AA$7))/12+IF(AND(AA$6&gt;='Launch Readiness'!$E$6,AA$6&lt;'Launch Readiness'!$E$14),'Launch Readiness'!$E$9/12,0)+IF(AND(AA$6&gt;='Launch Readiness'!$B$11,AA$6&lt;'Launch Readiness'!$E$6),'Launch Readiness'!$E$9*'Launch Readiness'!$B$10/12,0)+IF(AA$6&gt;='Launch Readiness'!$E$14,'Launch Readiness'!$E$16/12,0))-(IF(AA$6&lt;=6,'Startup 6mo'!$F$44/6,0)+IF(AA$6&lt;'Launch Readiness'!$E$6,'Launch Readiness'!$E$8/MAX(1,'Launch Readiness'!$E$7),0)+IF(AA$6='Launch Readiness'!$G$14,'Launch Readiness'!$E$15,0)),0)</f>
        <v>-2117896</v>
      </c>
      <c r="AB53" s="103">
        <f>ROUND(AA53+(IF(AB$6&lt;='Launch Readiness'!$B$7,0,IF((AB$6-'Launch Readiness'!$B$7)&lt;'Launch Readiness'!$E$6,0,INDEX('Scenario Engine'!$H$30:$L$30,1,ROUNDUP((AB$6-'Launch Readiness'!$B$7)/12,0))/MAX(1,INDEX('Launch Readiness'!$B$26:$F$26,1,ROUNDUP((AB$6-'Launch Readiness'!$B$7)/12,0))))))-IF(AB$6&lt;'Launch Readiness'!$E$6,0,INDEX('Scenario Engine'!$H$47:$L$47,1,AB$7)/MAX(1,INDEX('Launch Readiness'!$B$26:$F$26,1,AB$7)))-INDEX('Scenario Engine'!$H$52:$L$52,1,AB$7)/12-((INDEX('Scenario Engine'!$H$53:$L$53,1,AB$7)-'Launch Readiness'!$E$9*INDEX('Launch Readiness'!$B$34:$F$34,1,AB$7)-'Launch Readiness'!$E$9*'Launch Readiness'!$B$10*INDEX('Launch Readiness'!$B$30:$F$30,1,AB$7)-'Launch Readiness'!$E$16*INDEX('Launch Readiness'!$B$32:$F$32,1,AB$7))/12+IF(AND(AB$6&gt;='Launch Readiness'!$E$6,AB$6&lt;'Launch Readiness'!$E$14),'Launch Readiness'!$E$9/12,0)+IF(AND(AB$6&gt;='Launch Readiness'!$B$11,AB$6&lt;'Launch Readiness'!$E$6),'Launch Readiness'!$E$9*'Launch Readiness'!$B$10/12,0)+IF(AB$6&gt;='Launch Readiness'!$E$14,'Launch Readiness'!$E$16/12,0))-(IF(AB$6&lt;=6,'Startup 6mo'!$F$44/6,0)+IF(AB$6&lt;'Launch Readiness'!$E$6,'Launch Readiness'!$E$8/MAX(1,'Launch Readiness'!$E$7),0)+IF(AB$6='Launch Readiness'!$G$14,'Launch Readiness'!$E$15,0)),0)</f>
        <v>-2147727</v>
      </c>
      <c r="AC53" s="103">
        <f>ROUND(AB53+(IF(AC$6&lt;='Launch Readiness'!$B$7,0,IF((AC$6-'Launch Readiness'!$B$7)&lt;'Launch Readiness'!$E$6,0,INDEX('Scenario Engine'!$H$30:$L$30,1,ROUNDUP((AC$6-'Launch Readiness'!$B$7)/12,0))/MAX(1,INDEX('Launch Readiness'!$B$26:$F$26,1,ROUNDUP((AC$6-'Launch Readiness'!$B$7)/12,0))))))-IF(AC$6&lt;'Launch Readiness'!$E$6,0,INDEX('Scenario Engine'!$H$47:$L$47,1,AC$7)/MAX(1,INDEX('Launch Readiness'!$B$26:$F$26,1,AC$7)))-INDEX('Scenario Engine'!$H$52:$L$52,1,AC$7)/12-((INDEX('Scenario Engine'!$H$53:$L$53,1,AC$7)-'Launch Readiness'!$E$9*INDEX('Launch Readiness'!$B$34:$F$34,1,AC$7)-'Launch Readiness'!$E$9*'Launch Readiness'!$B$10*INDEX('Launch Readiness'!$B$30:$F$30,1,AC$7)-'Launch Readiness'!$E$16*INDEX('Launch Readiness'!$B$32:$F$32,1,AC$7))/12+IF(AND(AC$6&gt;='Launch Readiness'!$E$6,AC$6&lt;'Launch Readiness'!$E$14),'Launch Readiness'!$E$9/12,0)+IF(AND(AC$6&gt;='Launch Readiness'!$B$11,AC$6&lt;'Launch Readiness'!$E$6),'Launch Readiness'!$E$9*'Launch Readiness'!$B$10/12,0)+IF(AC$6&gt;='Launch Readiness'!$E$14,'Launch Readiness'!$E$16/12,0))-(IF(AC$6&lt;=6,'Startup 6mo'!$F$44/6,0)+IF(AC$6&lt;'Launch Readiness'!$E$6,'Launch Readiness'!$E$8/MAX(1,'Launch Readiness'!$E$7),0)+IF(AC$6='Launch Readiness'!$G$14,'Launch Readiness'!$E$15,0)),0)</f>
        <v>-2177558</v>
      </c>
      <c r="AD53" s="103">
        <f>ROUND(AC53+(IF(AD$6&lt;='Launch Readiness'!$B$7,0,IF((AD$6-'Launch Readiness'!$B$7)&lt;'Launch Readiness'!$E$6,0,INDEX('Scenario Engine'!$H$30:$L$30,1,ROUNDUP((AD$6-'Launch Readiness'!$B$7)/12,0))/MAX(1,INDEX('Launch Readiness'!$B$26:$F$26,1,ROUNDUP((AD$6-'Launch Readiness'!$B$7)/12,0))))))-IF(AD$6&lt;'Launch Readiness'!$E$6,0,INDEX('Scenario Engine'!$H$47:$L$47,1,AD$7)/MAX(1,INDEX('Launch Readiness'!$B$26:$F$26,1,AD$7)))-INDEX('Scenario Engine'!$H$52:$L$52,1,AD$7)/12-((INDEX('Scenario Engine'!$H$53:$L$53,1,AD$7)-'Launch Readiness'!$E$9*INDEX('Launch Readiness'!$B$34:$F$34,1,AD$7)-'Launch Readiness'!$E$9*'Launch Readiness'!$B$10*INDEX('Launch Readiness'!$B$30:$F$30,1,AD$7)-'Launch Readiness'!$E$16*INDEX('Launch Readiness'!$B$32:$F$32,1,AD$7))/12+IF(AND(AD$6&gt;='Launch Readiness'!$E$6,AD$6&lt;'Launch Readiness'!$E$14),'Launch Readiness'!$E$9/12,0)+IF(AND(AD$6&gt;='Launch Readiness'!$B$11,AD$6&lt;'Launch Readiness'!$E$6),'Launch Readiness'!$E$9*'Launch Readiness'!$B$10/12,0)+IF(AD$6&gt;='Launch Readiness'!$E$14,'Launch Readiness'!$E$16/12,0))-(IF(AD$6&lt;=6,'Startup 6mo'!$F$44/6,0)+IF(AD$6&lt;'Launch Readiness'!$E$6,'Launch Readiness'!$E$8/MAX(1,'Launch Readiness'!$E$7),0)+IF(AD$6='Launch Readiness'!$G$14,'Launch Readiness'!$E$15,0)),0)</f>
        <v>-2207389</v>
      </c>
      <c r="AE53" s="103">
        <f>ROUND(AD53+(IF(AE$6&lt;='Launch Readiness'!$B$7,0,IF((AE$6-'Launch Readiness'!$B$7)&lt;'Launch Readiness'!$E$6,0,INDEX('Scenario Engine'!$H$30:$L$30,1,ROUNDUP((AE$6-'Launch Readiness'!$B$7)/12,0))/MAX(1,INDEX('Launch Readiness'!$B$26:$F$26,1,ROUNDUP((AE$6-'Launch Readiness'!$B$7)/12,0))))))-IF(AE$6&lt;'Launch Readiness'!$E$6,0,INDEX('Scenario Engine'!$H$47:$L$47,1,AE$7)/MAX(1,INDEX('Launch Readiness'!$B$26:$F$26,1,AE$7)))-INDEX('Scenario Engine'!$H$52:$L$52,1,AE$7)/12-((INDEX('Scenario Engine'!$H$53:$L$53,1,AE$7)-'Launch Readiness'!$E$9*INDEX('Launch Readiness'!$B$34:$F$34,1,AE$7)-'Launch Readiness'!$E$9*'Launch Readiness'!$B$10*INDEX('Launch Readiness'!$B$30:$F$30,1,AE$7)-'Launch Readiness'!$E$16*INDEX('Launch Readiness'!$B$32:$F$32,1,AE$7))/12+IF(AND(AE$6&gt;='Launch Readiness'!$E$6,AE$6&lt;'Launch Readiness'!$E$14),'Launch Readiness'!$E$9/12,0)+IF(AND(AE$6&gt;='Launch Readiness'!$B$11,AE$6&lt;'Launch Readiness'!$E$6),'Launch Readiness'!$E$9*'Launch Readiness'!$B$10/12,0)+IF(AE$6&gt;='Launch Readiness'!$E$14,'Launch Readiness'!$E$16/12,0))-(IF(AE$6&lt;=6,'Startup 6mo'!$F$44/6,0)+IF(AE$6&lt;'Launch Readiness'!$E$6,'Launch Readiness'!$E$8/MAX(1,'Launch Readiness'!$E$7),0)+IF(AE$6='Launch Readiness'!$G$14,'Launch Readiness'!$E$15,0)),0)</f>
        <v>-2240146</v>
      </c>
      <c r="AF53" s="103">
        <f>ROUND(AE53+(IF(AF$6&lt;='Launch Readiness'!$B$7,0,IF((AF$6-'Launch Readiness'!$B$7)&lt;'Launch Readiness'!$E$6,0,INDEX('Scenario Engine'!$H$30:$L$30,1,ROUNDUP((AF$6-'Launch Readiness'!$B$7)/12,0))/MAX(1,INDEX('Launch Readiness'!$B$26:$F$26,1,ROUNDUP((AF$6-'Launch Readiness'!$B$7)/12,0))))))-IF(AF$6&lt;'Launch Readiness'!$E$6,0,INDEX('Scenario Engine'!$H$47:$L$47,1,AF$7)/MAX(1,INDEX('Launch Readiness'!$B$26:$F$26,1,AF$7)))-INDEX('Scenario Engine'!$H$52:$L$52,1,AF$7)/12-((INDEX('Scenario Engine'!$H$53:$L$53,1,AF$7)-'Launch Readiness'!$E$9*INDEX('Launch Readiness'!$B$34:$F$34,1,AF$7)-'Launch Readiness'!$E$9*'Launch Readiness'!$B$10*INDEX('Launch Readiness'!$B$30:$F$30,1,AF$7)-'Launch Readiness'!$E$16*INDEX('Launch Readiness'!$B$32:$F$32,1,AF$7))/12+IF(AND(AF$6&gt;='Launch Readiness'!$E$6,AF$6&lt;'Launch Readiness'!$E$14),'Launch Readiness'!$E$9/12,0)+IF(AND(AF$6&gt;='Launch Readiness'!$B$11,AF$6&lt;'Launch Readiness'!$E$6),'Launch Readiness'!$E$9*'Launch Readiness'!$B$10/12,0)+IF(AF$6&gt;='Launch Readiness'!$E$14,'Launch Readiness'!$E$16/12,0))-(IF(AF$6&lt;=6,'Startup 6mo'!$F$44/6,0)+IF(AF$6&lt;'Launch Readiness'!$E$6,'Launch Readiness'!$E$8/MAX(1,'Launch Readiness'!$E$7),0)+IF(AF$6='Launch Readiness'!$G$14,'Launch Readiness'!$E$15,0)),0)</f>
        <v>-2272903</v>
      </c>
      <c r="AG53" s="103">
        <f>ROUND(AF53+(IF(AG$6&lt;='Launch Readiness'!$B$7,0,IF((AG$6-'Launch Readiness'!$B$7)&lt;'Launch Readiness'!$E$6,0,INDEX('Scenario Engine'!$H$30:$L$30,1,ROUNDUP((AG$6-'Launch Readiness'!$B$7)/12,0))/MAX(1,INDEX('Launch Readiness'!$B$26:$F$26,1,ROUNDUP((AG$6-'Launch Readiness'!$B$7)/12,0))))))-IF(AG$6&lt;'Launch Readiness'!$E$6,0,INDEX('Scenario Engine'!$H$47:$L$47,1,AG$7)/MAX(1,INDEX('Launch Readiness'!$B$26:$F$26,1,AG$7)))-INDEX('Scenario Engine'!$H$52:$L$52,1,AG$7)/12-((INDEX('Scenario Engine'!$H$53:$L$53,1,AG$7)-'Launch Readiness'!$E$9*INDEX('Launch Readiness'!$B$34:$F$34,1,AG$7)-'Launch Readiness'!$E$9*'Launch Readiness'!$B$10*INDEX('Launch Readiness'!$B$30:$F$30,1,AG$7)-'Launch Readiness'!$E$16*INDEX('Launch Readiness'!$B$32:$F$32,1,AG$7))/12+IF(AND(AG$6&gt;='Launch Readiness'!$E$6,AG$6&lt;'Launch Readiness'!$E$14),'Launch Readiness'!$E$9/12,0)+IF(AND(AG$6&gt;='Launch Readiness'!$B$11,AG$6&lt;'Launch Readiness'!$E$6),'Launch Readiness'!$E$9*'Launch Readiness'!$B$10/12,0)+IF(AG$6&gt;='Launch Readiness'!$E$14,'Launch Readiness'!$E$16/12,0))-(IF(AG$6&lt;=6,'Startup 6mo'!$F$44/6,0)+IF(AG$6&lt;'Launch Readiness'!$E$6,'Launch Readiness'!$E$8/MAX(1,'Launch Readiness'!$E$7),0)+IF(AG$6='Launch Readiness'!$G$14,'Launch Readiness'!$E$15,0)),0)</f>
        <v>-2305660</v>
      </c>
      <c r="AH53" s="103">
        <f>ROUND(AG53+(IF(AH$6&lt;='Launch Readiness'!$B$7,0,IF((AH$6-'Launch Readiness'!$B$7)&lt;'Launch Readiness'!$E$6,0,INDEX('Scenario Engine'!$H$30:$L$30,1,ROUNDUP((AH$6-'Launch Readiness'!$B$7)/12,0))/MAX(1,INDEX('Launch Readiness'!$B$26:$F$26,1,ROUNDUP((AH$6-'Launch Readiness'!$B$7)/12,0))))))-IF(AH$6&lt;'Launch Readiness'!$E$6,0,INDEX('Scenario Engine'!$H$47:$L$47,1,AH$7)/MAX(1,INDEX('Launch Readiness'!$B$26:$F$26,1,AH$7)))-INDEX('Scenario Engine'!$H$52:$L$52,1,AH$7)/12-((INDEX('Scenario Engine'!$H$53:$L$53,1,AH$7)-'Launch Readiness'!$E$9*INDEX('Launch Readiness'!$B$34:$F$34,1,AH$7)-'Launch Readiness'!$E$9*'Launch Readiness'!$B$10*INDEX('Launch Readiness'!$B$30:$F$30,1,AH$7)-'Launch Readiness'!$E$16*INDEX('Launch Readiness'!$B$32:$F$32,1,AH$7))/12+IF(AND(AH$6&gt;='Launch Readiness'!$E$6,AH$6&lt;'Launch Readiness'!$E$14),'Launch Readiness'!$E$9/12,0)+IF(AND(AH$6&gt;='Launch Readiness'!$B$11,AH$6&lt;'Launch Readiness'!$E$6),'Launch Readiness'!$E$9*'Launch Readiness'!$B$10/12,0)+IF(AH$6&gt;='Launch Readiness'!$E$14,'Launch Readiness'!$E$16/12,0))-(IF(AH$6&lt;=6,'Startup 6mo'!$F$44/6,0)+IF(AH$6&lt;'Launch Readiness'!$E$6,'Launch Readiness'!$E$8/MAX(1,'Launch Readiness'!$E$7),0)+IF(AH$6='Launch Readiness'!$G$14,'Launch Readiness'!$E$15,0)),0)</f>
        <v>-2338417</v>
      </c>
      <c r="AI53" s="103">
        <f>ROUND(AH53+(IF(AI$6&lt;='Launch Readiness'!$B$7,0,IF((AI$6-'Launch Readiness'!$B$7)&lt;'Launch Readiness'!$E$6,0,INDEX('Scenario Engine'!$H$30:$L$30,1,ROUNDUP((AI$6-'Launch Readiness'!$B$7)/12,0))/MAX(1,INDEX('Launch Readiness'!$B$26:$F$26,1,ROUNDUP((AI$6-'Launch Readiness'!$B$7)/12,0))))))-IF(AI$6&lt;'Launch Readiness'!$E$6,0,INDEX('Scenario Engine'!$H$47:$L$47,1,AI$7)/MAX(1,INDEX('Launch Readiness'!$B$26:$F$26,1,AI$7)))-INDEX('Scenario Engine'!$H$52:$L$52,1,AI$7)/12-((INDEX('Scenario Engine'!$H$53:$L$53,1,AI$7)-'Launch Readiness'!$E$9*INDEX('Launch Readiness'!$B$34:$F$34,1,AI$7)-'Launch Readiness'!$E$9*'Launch Readiness'!$B$10*INDEX('Launch Readiness'!$B$30:$F$30,1,AI$7)-'Launch Readiness'!$E$16*INDEX('Launch Readiness'!$B$32:$F$32,1,AI$7))/12+IF(AND(AI$6&gt;='Launch Readiness'!$E$6,AI$6&lt;'Launch Readiness'!$E$14),'Launch Readiness'!$E$9/12,0)+IF(AND(AI$6&gt;='Launch Readiness'!$B$11,AI$6&lt;'Launch Readiness'!$E$6),'Launch Readiness'!$E$9*'Launch Readiness'!$B$10/12,0)+IF(AI$6&gt;='Launch Readiness'!$E$14,'Launch Readiness'!$E$16/12,0))-(IF(AI$6&lt;=6,'Startup 6mo'!$F$44/6,0)+IF(AI$6&lt;'Launch Readiness'!$E$6,'Launch Readiness'!$E$8/MAX(1,'Launch Readiness'!$E$7),0)+IF(AI$6='Launch Readiness'!$G$14,'Launch Readiness'!$E$15,0)),0)</f>
        <v>-2371174</v>
      </c>
      <c r="AJ53" s="103">
        <f>ROUND(AI53+(IF(AJ$6&lt;='Launch Readiness'!$B$7,0,IF((AJ$6-'Launch Readiness'!$B$7)&lt;'Launch Readiness'!$E$6,0,INDEX('Scenario Engine'!$H$30:$L$30,1,ROUNDUP((AJ$6-'Launch Readiness'!$B$7)/12,0))/MAX(1,INDEX('Launch Readiness'!$B$26:$F$26,1,ROUNDUP((AJ$6-'Launch Readiness'!$B$7)/12,0))))))-IF(AJ$6&lt;'Launch Readiness'!$E$6,0,INDEX('Scenario Engine'!$H$47:$L$47,1,AJ$7)/MAX(1,INDEX('Launch Readiness'!$B$26:$F$26,1,AJ$7)))-INDEX('Scenario Engine'!$H$52:$L$52,1,AJ$7)/12-((INDEX('Scenario Engine'!$H$53:$L$53,1,AJ$7)-'Launch Readiness'!$E$9*INDEX('Launch Readiness'!$B$34:$F$34,1,AJ$7)-'Launch Readiness'!$E$9*'Launch Readiness'!$B$10*INDEX('Launch Readiness'!$B$30:$F$30,1,AJ$7)-'Launch Readiness'!$E$16*INDEX('Launch Readiness'!$B$32:$F$32,1,AJ$7))/12+IF(AND(AJ$6&gt;='Launch Readiness'!$E$6,AJ$6&lt;'Launch Readiness'!$E$14),'Launch Readiness'!$E$9/12,0)+IF(AND(AJ$6&gt;='Launch Readiness'!$B$11,AJ$6&lt;'Launch Readiness'!$E$6),'Launch Readiness'!$E$9*'Launch Readiness'!$B$10/12,0)+IF(AJ$6&gt;='Launch Readiness'!$E$14,'Launch Readiness'!$E$16/12,0))-(IF(AJ$6&lt;=6,'Startup 6mo'!$F$44/6,0)+IF(AJ$6&lt;'Launch Readiness'!$E$6,'Launch Readiness'!$E$8/MAX(1,'Launch Readiness'!$E$7),0)+IF(AJ$6='Launch Readiness'!$G$14,'Launch Readiness'!$E$15,0)),0)</f>
        <v>-2403931</v>
      </c>
      <c r="AK53" s="103">
        <f>ROUND(AJ53+(IF(AK$6&lt;='Launch Readiness'!$B$7,0,IF((AK$6-'Launch Readiness'!$B$7)&lt;'Launch Readiness'!$E$6,0,INDEX('Scenario Engine'!$H$30:$L$30,1,ROUNDUP((AK$6-'Launch Readiness'!$B$7)/12,0))/MAX(1,INDEX('Launch Readiness'!$B$26:$F$26,1,ROUNDUP((AK$6-'Launch Readiness'!$B$7)/12,0))))))-IF(AK$6&lt;'Launch Readiness'!$E$6,0,INDEX('Scenario Engine'!$H$47:$L$47,1,AK$7)/MAX(1,INDEX('Launch Readiness'!$B$26:$F$26,1,AK$7)))-INDEX('Scenario Engine'!$H$52:$L$52,1,AK$7)/12-((INDEX('Scenario Engine'!$H$53:$L$53,1,AK$7)-'Launch Readiness'!$E$9*INDEX('Launch Readiness'!$B$34:$F$34,1,AK$7)-'Launch Readiness'!$E$9*'Launch Readiness'!$B$10*INDEX('Launch Readiness'!$B$30:$F$30,1,AK$7)-'Launch Readiness'!$E$16*INDEX('Launch Readiness'!$B$32:$F$32,1,AK$7))/12+IF(AND(AK$6&gt;='Launch Readiness'!$E$6,AK$6&lt;'Launch Readiness'!$E$14),'Launch Readiness'!$E$9/12,0)+IF(AND(AK$6&gt;='Launch Readiness'!$B$11,AK$6&lt;'Launch Readiness'!$E$6),'Launch Readiness'!$E$9*'Launch Readiness'!$B$10/12,0)+IF(AK$6&gt;='Launch Readiness'!$E$14,'Launch Readiness'!$E$16/12,0))-(IF(AK$6&lt;=6,'Startup 6mo'!$F$44/6,0)+IF(AK$6&lt;'Launch Readiness'!$E$6,'Launch Readiness'!$E$8/MAX(1,'Launch Readiness'!$E$7),0)+IF(AK$6='Launch Readiness'!$G$14,'Launch Readiness'!$E$15,0)),0)</f>
        <v>-2436688</v>
      </c>
      <c r="AL53" s="103">
        <f>ROUND(AK53+(IF(AL$6&lt;='Launch Readiness'!$B$7,0,IF((AL$6-'Launch Readiness'!$B$7)&lt;'Launch Readiness'!$E$6,0,INDEX('Scenario Engine'!$H$30:$L$30,1,ROUNDUP((AL$6-'Launch Readiness'!$B$7)/12,0))/MAX(1,INDEX('Launch Readiness'!$B$26:$F$26,1,ROUNDUP((AL$6-'Launch Readiness'!$B$7)/12,0))))))-IF(AL$6&lt;'Launch Readiness'!$E$6,0,INDEX('Scenario Engine'!$H$47:$L$47,1,AL$7)/MAX(1,INDEX('Launch Readiness'!$B$26:$F$26,1,AL$7)))-INDEX('Scenario Engine'!$H$52:$L$52,1,AL$7)/12-((INDEX('Scenario Engine'!$H$53:$L$53,1,AL$7)-'Launch Readiness'!$E$9*INDEX('Launch Readiness'!$B$34:$F$34,1,AL$7)-'Launch Readiness'!$E$9*'Launch Readiness'!$B$10*INDEX('Launch Readiness'!$B$30:$F$30,1,AL$7)-'Launch Readiness'!$E$16*INDEX('Launch Readiness'!$B$32:$F$32,1,AL$7))/12+IF(AND(AL$6&gt;='Launch Readiness'!$E$6,AL$6&lt;'Launch Readiness'!$E$14),'Launch Readiness'!$E$9/12,0)+IF(AND(AL$6&gt;='Launch Readiness'!$B$11,AL$6&lt;'Launch Readiness'!$E$6),'Launch Readiness'!$E$9*'Launch Readiness'!$B$10/12,0)+IF(AL$6&gt;='Launch Readiness'!$E$14,'Launch Readiness'!$E$16/12,0))-(IF(AL$6&lt;=6,'Startup 6mo'!$F$44/6,0)+IF(AL$6&lt;'Launch Readiness'!$E$6,'Launch Readiness'!$E$8/MAX(1,'Launch Readiness'!$E$7),0)+IF(AL$6='Launch Readiness'!$G$14,'Launch Readiness'!$E$15,0)),0)</f>
        <v>-2649418</v>
      </c>
      <c r="AM53" s="103">
        <f>ROUND(AL53+(IF(AM$6&lt;='Launch Readiness'!$B$7,0,IF((AM$6-'Launch Readiness'!$B$7)&lt;'Launch Readiness'!$E$6,0,INDEX('Scenario Engine'!$H$30:$L$30,1,ROUNDUP((AM$6-'Launch Readiness'!$B$7)/12,0))/MAX(1,INDEX('Launch Readiness'!$B$26:$F$26,1,ROUNDUP((AM$6-'Launch Readiness'!$B$7)/12,0))))))-IF(AM$6&lt;'Launch Readiness'!$E$6,0,INDEX('Scenario Engine'!$H$47:$L$47,1,AM$7)/MAX(1,INDEX('Launch Readiness'!$B$26:$F$26,1,AM$7)))-INDEX('Scenario Engine'!$H$52:$L$52,1,AM$7)/12-((INDEX('Scenario Engine'!$H$53:$L$53,1,AM$7)-'Launch Readiness'!$E$9*INDEX('Launch Readiness'!$B$34:$F$34,1,AM$7)-'Launch Readiness'!$E$9*'Launch Readiness'!$B$10*INDEX('Launch Readiness'!$B$30:$F$30,1,AM$7)-'Launch Readiness'!$E$16*INDEX('Launch Readiness'!$B$32:$F$32,1,AM$7))/12+IF(AND(AM$6&gt;='Launch Readiness'!$E$6,AM$6&lt;'Launch Readiness'!$E$14),'Launch Readiness'!$E$9/12,0)+IF(AND(AM$6&gt;='Launch Readiness'!$B$11,AM$6&lt;'Launch Readiness'!$E$6),'Launch Readiness'!$E$9*'Launch Readiness'!$B$10/12,0)+IF(AM$6&gt;='Launch Readiness'!$E$14,'Launch Readiness'!$E$16/12,0))-(IF(AM$6&lt;=6,'Startup 6mo'!$F$44/6,0)+IF(AM$6&lt;'Launch Readiness'!$E$6,'Launch Readiness'!$E$8/MAX(1,'Launch Readiness'!$E$7),0)+IF(AM$6='Launch Readiness'!$G$14,'Launch Readiness'!$E$15,0)),0)</f>
        <v>-2232582</v>
      </c>
      <c r="AN53" s="103">
        <f>ROUND(AM53+(IF(AN$6&lt;='Launch Readiness'!$B$7,0,IF((AN$6-'Launch Readiness'!$B$7)&lt;'Launch Readiness'!$E$6,0,INDEX('Scenario Engine'!$H$30:$L$30,1,ROUNDUP((AN$6-'Launch Readiness'!$B$7)/12,0))/MAX(1,INDEX('Launch Readiness'!$B$26:$F$26,1,ROUNDUP((AN$6-'Launch Readiness'!$B$7)/12,0))))))-IF(AN$6&lt;'Launch Readiness'!$E$6,0,INDEX('Scenario Engine'!$H$47:$L$47,1,AN$7)/MAX(1,INDEX('Launch Readiness'!$B$26:$F$26,1,AN$7)))-INDEX('Scenario Engine'!$H$52:$L$52,1,AN$7)/12-((INDEX('Scenario Engine'!$H$53:$L$53,1,AN$7)-'Launch Readiness'!$E$9*INDEX('Launch Readiness'!$B$34:$F$34,1,AN$7)-'Launch Readiness'!$E$9*'Launch Readiness'!$B$10*INDEX('Launch Readiness'!$B$30:$F$30,1,AN$7)-'Launch Readiness'!$E$16*INDEX('Launch Readiness'!$B$32:$F$32,1,AN$7))/12+IF(AND(AN$6&gt;='Launch Readiness'!$E$6,AN$6&lt;'Launch Readiness'!$E$14),'Launch Readiness'!$E$9/12,0)+IF(AND(AN$6&gt;='Launch Readiness'!$B$11,AN$6&lt;'Launch Readiness'!$E$6),'Launch Readiness'!$E$9*'Launch Readiness'!$B$10/12,0)+IF(AN$6&gt;='Launch Readiness'!$E$14,'Launch Readiness'!$E$16/12,0))-(IF(AN$6&lt;=6,'Startup 6mo'!$F$44/6,0)+IF(AN$6&lt;'Launch Readiness'!$E$6,'Launch Readiness'!$E$8/MAX(1,'Launch Readiness'!$E$7),0)+IF(AN$6='Launch Readiness'!$G$14,'Launch Readiness'!$E$15,0)),0)</f>
        <v>-1815746</v>
      </c>
      <c r="AO53" s="103">
        <f>ROUND(AN53+(IF(AO$6&lt;='Launch Readiness'!$B$7,0,IF((AO$6-'Launch Readiness'!$B$7)&lt;'Launch Readiness'!$E$6,0,INDEX('Scenario Engine'!$H$30:$L$30,1,ROUNDUP((AO$6-'Launch Readiness'!$B$7)/12,0))/MAX(1,INDEX('Launch Readiness'!$B$26:$F$26,1,ROUNDUP((AO$6-'Launch Readiness'!$B$7)/12,0))))))-IF(AO$6&lt;'Launch Readiness'!$E$6,0,INDEX('Scenario Engine'!$H$47:$L$47,1,AO$7)/MAX(1,INDEX('Launch Readiness'!$B$26:$F$26,1,AO$7)))-INDEX('Scenario Engine'!$H$52:$L$52,1,AO$7)/12-((INDEX('Scenario Engine'!$H$53:$L$53,1,AO$7)-'Launch Readiness'!$E$9*INDEX('Launch Readiness'!$B$34:$F$34,1,AO$7)-'Launch Readiness'!$E$9*'Launch Readiness'!$B$10*INDEX('Launch Readiness'!$B$30:$F$30,1,AO$7)-'Launch Readiness'!$E$16*INDEX('Launch Readiness'!$B$32:$F$32,1,AO$7))/12+IF(AND(AO$6&gt;='Launch Readiness'!$E$6,AO$6&lt;'Launch Readiness'!$E$14),'Launch Readiness'!$E$9/12,0)+IF(AND(AO$6&gt;='Launch Readiness'!$B$11,AO$6&lt;'Launch Readiness'!$E$6),'Launch Readiness'!$E$9*'Launch Readiness'!$B$10/12,0)+IF(AO$6&gt;='Launch Readiness'!$E$14,'Launch Readiness'!$E$16/12,0))-(IF(AO$6&lt;=6,'Startup 6mo'!$F$44/6,0)+IF(AO$6&lt;'Launch Readiness'!$E$6,'Launch Readiness'!$E$8/MAX(1,'Launch Readiness'!$E$7),0)+IF(AO$6='Launch Readiness'!$G$14,'Launch Readiness'!$E$15,0)),0)</f>
        <v>-1398910</v>
      </c>
      <c r="AP53" s="103">
        <f>ROUND(AO53+(IF(AP$6&lt;='Launch Readiness'!$B$7,0,IF((AP$6-'Launch Readiness'!$B$7)&lt;'Launch Readiness'!$E$6,0,INDEX('Scenario Engine'!$H$30:$L$30,1,ROUNDUP((AP$6-'Launch Readiness'!$B$7)/12,0))/MAX(1,INDEX('Launch Readiness'!$B$26:$F$26,1,ROUNDUP((AP$6-'Launch Readiness'!$B$7)/12,0))))))-IF(AP$6&lt;'Launch Readiness'!$E$6,0,INDEX('Scenario Engine'!$H$47:$L$47,1,AP$7)/MAX(1,INDEX('Launch Readiness'!$B$26:$F$26,1,AP$7)))-INDEX('Scenario Engine'!$H$52:$L$52,1,AP$7)/12-((INDEX('Scenario Engine'!$H$53:$L$53,1,AP$7)-'Launch Readiness'!$E$9*INDEX('Launch Readiness'!$B$34:$F$34,1,AP$7)-'Launch Readiness'!$E$9*'Launch Readiness'!$B$10*INDEX('Launch Readiness'!$B$30:$F$30,1,AP$7)-'Launch Readiness'!$E$16*INDEX('Launch Readiness'!$B$32:$F$32,1,AP$7))/12+IF(AND(AP$6&gt;='Launch Readiness'!$E$6,AP$6&lt;'Launch Readiness'!$E$14),'Launch Readiness'!$E$9/12,0)+IF(AND(AP$6&gt;='Launch Readiness'!$B$11,AP$6&lt;'Launch Readiness'!$E$6),'Launch Readiness'!$E$9*'Launch Readiness'!$B$10/12,0)+IF(AP$6&gt;='Launch Readiness'!$E$14,'Launch Readiness'!$E$16/12,0))-(IF(AP$6&lt;=6,'Startup 6mo'!$F$44/6,0)+IF(AP$6&lt;'Launch Readiness'!$E$6,'Launch Readiness'!$E$8/MAX(1,'Launch Readiness'!$E$7),0)+IF(AP$6='Launch Readiness'!$G$14,'Launch Readiness'!$E$15,0)),0)</f>
        <v>-982074</v>
      </c>
      <c r="AQ53" s="103">
        <f>ROUND(AP53+(IF(AQ$6&lt;='Launch Readiness'!$B$7,0,IF((AQ$6-'Launch Readiness'!$B$7)&lt;'Launch Readiness'!$E$6,0,INDEX('Scenario Engine'!$H$30:$L$30,1,ROUNDUP((AQ$6-'Launch Readiness'!$B$7)/12,0))/MAX(1,INDEX('Launch Readiness'!$B$26:$F$26,1,ROUNDUP((AQ$6-'Launch Readiness'!$B$7)/12,0))))))-IF(AQ$6&lt;'Launch Readiness'!$E$6,0,INDEX('Scenario Engine'!$H$47:$L$47,1,AQ$7)/MAX(1,INDEX('Launch Readiness'!$B$26:$F$26,1,AQ$7)))-INDEX('Scenario Engine'!$H$52:$L$52,1,AQ$7)/12-((INDEX('Scenario Engine'!$H$53:$L$53,1,AQ$7)-'Launch Readiness'!$E$9*INDEX('Launch Readiness'!$B$34:$F$34,1,AQ$7)-'Launch Readiness'!$E$9*'Launch Readiness'!$B$10*INDEX('Launch Readiness'!$B$30:$F$30,1,AQ$7)-'Launch Readiness'!$E$16*INDEX('Launch Readiness'!$B$32:$F$32,1,AQ$7))/12+IF(AND(AQ$6&gt;='Launch Readiness'!$E$6,AQ$6&lt;'Launch Readiness'!$E$14),'Launch Readiness'!$E$9/12,0)+IF(AND(AQ$6&gt;='Launch Readiness'!$B$11,AQ$6&lt;'Launch Readiness'!$E$6),'Launch Readiness'!$E$9*'Launch Readiness'!$B$10/12,0)+IF(AQ$6&gt;='Launch Readiness'!$E$14,'Launch Readiness'!$E$16/12,0))-(IF(AQ$6&lt;=6,'Startup 6mo'!$F$44/6,0)+IF(AQ$6&lt;'Launch Readiness'!$E$6,'Launch Readiness'!$E$8/MAX(1,'Launch Readiness'!$E$7),0)+IF(AQ$6='Launch Readiness'!$G$14,'Launch Readiness'!$E$15,0)),0)</f>
        <v>-565238</v>
      </c>
      <c r="AR53" s="103">
        <f>ROUND(AQ53+(IF(AR$6&lt;='Launch Readiness'!$B$7,0,IF((AR$6-'Launch Readiness'!$B$7)&lt;'Launch Readiness'!$E$6,0,INDEX('Scenario Engine'!$H$30:$L$30,1,ROUNDUP((AR$6-'Launch Readiness'!$B$7)/12,0))/MAX(1,INDEX('Launch Readiness'!$B$26:$F$26,1,ROUNDUP((AR$6-'Launch Readiness'!$B$7)/12,0))))))-IF(AR$6&lt;'Launch Readiness'!$E$6,0,INDEX('Scenario Engine'!$H$47:$L$47,1,AR$7)/MAX(1,INDEX('Launch Readiness'!$B$26:$F$26,1,AR$7)))-INDEX('Scenario Engine'!$H$52:$L$52,1,AR$7)/12-((INDEX('Scenario Engine'!$H$53:$L$53,1,AR$7)-'Launch Readiness'!$E$9*INDEX('Launch Readiness'!$B$34:$F$34,1,AR$7)-'Launch Readiness'!$E$9*'Launch Readiness'!$B$10*INDEX('Launch Readiness'!$B$30:$F$30,1,AR$7)-'Launch Readiness'!$E$16*INDEX('Launch Readiness'!$B$32:$F$32,1,AR$7))/12+IF(AND(AR$6&gt;='Launch Readiness'!$E$6,AR$6&lt;'Launch Readiness'!$E$14),'Launch Readiness'!$E$9/12,0)+IF(AND(AR$6&gt;='Launch Readiness'!$B$11,AR$6&lt;'Launch Readiness'!$E$6),'Launch Readiness'!$E$9*'Launch Readiness'!$B$10/12,0)+IF(AR$6&gt;='Launch Readiness'!$E$14,'Launch Readiness'!$E$16/12,0))-(IF(AR$6&lt;=6,'Startup 6mo'!$F$44/6,0)+IF(AR$6&lt;'Launch Readiness'!$E$6,'Launch Readiness'!$E$8/MAX(1,'Launch Readiness'!$E$7),0)+IF(AR$6='Launch Readiness'!$G$14,'Launch Readiness'!$E$15,0)),0)</f>
        <v>-148402</v>
      </c>
      <c r="AS53" s="103">
        <f>ROUND(AR53+(IF(AS$6&lt;='Launch Readiness'!$B$7,0,IF((AS$6-'Launch Readiness'!$B$7)&lt;'Launch Readiness'!$E$6,0,INDEX('Scenario Engine'!$H$30:$L$30,1,ROUNDUP((AS$6-'Launch Readiness'!$B$7)/12,0))/MAX(1,INDEX('Launch Readiness'!$B$26:$F$26,1,ROUNDUP((AS$6-'Launch Readiness'!$B$7)/12,0))))))-IF(AS$6&lt;'Launch Readiness'!$E$6,0,INDEX('Scenario Engine'!$H$47:$L$47,1,AS$7)/MAX(1,INDEX('Launch Readiness'!$B$26:$F$26,1,AS$7)))-INDEX('Scenario Engine'!$H$52:$L$52,1,AS$7)/12-((INDEX('Scenario Engine'!$H$53:$L$53,1,AS$7)-'Launch Readiness'!$E$9*INDEX('Launch Readiness'!$B$34:$F$34,1,AS$7)-'Launch Readiness'!$E$9*'Launch Readiness'!$B$10*INDEX('Launch Readiness'!$B$30:$F$30,1,AS$7)-'Launch Readiness'!$E$16*INDEX('Launch Readiness'!$B$32:$F$32,1,AS$7))/12+IF(AND(AS$6&gt;='Launch Readiness'!$E$6,AS$6&lt;'Launch Readiness'!$E$14),'Launch Readiness'!$E$9/12,0)+IF(AND(AS$6&gt;='Launch Readiness'!$B$11,AS$6&lt;'Launch Readiness'!$E$6),'Launch Readiness'!$E$9*'Launch Readiness'!$B$10/12,0)+IF(AS$6&gt;='Launch Readiness'!$E$14,'Launch Readiness'!$E$16/12,0))-(IF(AS$6&lt;=6,'Startup 6mo'!$F$44/6,0)+IF(AS$6&lt;'Launch Readiness'!$E$6,'Launch Readiness'!$E$8/MAX(1,'Launch Readiness'!$E$7),0)+IF(AS$6='Launch Readiness'!$G$14,'Launch Readiness'!$E$15,0)),0)</f>
        <v>268434</v>
      </c>
      <c r="AT53" s="103">
        <f>ROUND(AS53+(IF(AT$6&lt;='Launch Readiness'!$B$7,0,IF((AT$6-'Launch Readiness'!$B$7)&lt;'Launch Readiness'!$E$6,0,INDEX('Scenario Engine'!$H$30:$L$30,1,ROUNDUP((AT$6-'Launch Readiness'!$B$7)/12,0))/MAX(1,INDEX('Launch Readiness'!$B$26:$F$26,1,ROUNDUP((AT$6-'Launch Readiness'!$B$7)/12,0))))))-IF(AT$6&lt;'Launch Readiness'!$E$6,0,INDEX('Scenario Engine'!$H$47:$L$47,1,AT$7)/MAX(1,INDEX('Launch Readiness'!$B$26:$F$26,1,AT$7)))-INDEX('Scenario Engine'!$H$52:$L$52,1,AT$7)/12-((INDEX('Scenario Engine'!$H$53:$L$53,1,AT$7)-'Launch Readiness'!$E$9*INDEX('Launch Readiness'!$B$34:$F$34,1,AT$7)-'Launch Readiness'!$E$9*'Launch Readiness'!$B$10*INDEX('Launch Readiness'!$B$30:$F$30,1,AT$7)-'Launch Readiness'!$E$16*INDEX('Launch Readiness'!$B$32:$F$32,1,AT$7))/12+IF(AND(AT$6&gt;='Launch Readiness'!$E$6,AT$6&lt;'Launch Readiness'!$E$14),'Launch Readiness'!$E$9/12,0)+IF(AND(AT$6&gt;='Launch Readiness'!$B$11,AT$6&lt;'Launch Readiness'!$E$6),'Launch Readiness'!$E$9*'Launch Readiness'!$B$10/12,0)+IF(AT$6&gt;='Launch Readiness'!$E$14,'Launch Readiness'!$E$16/12,0))-(IF(AT$6&lt;=6,'Startup 6mo'!$F$44/6,0)+IF(AT$6&lt;'Launch Readiness'!$E$6,'Launch Readiness'!$E$8/MAX(1,'Launch Readiness'!$E$7),0)+IF(AT$6='Launch Readiness'!$G$14,'Launch Readiness'!$E$15,0)),0)</f>
        <v>685270</v>
      </c>
      <c r="AU53" s="103">
        <f>ROUND(AT53+(IF(AU$6&lt;='Launch Readiness'!$B$7,0,IF((AU$6-'Launch Readiness'!$B$7)&lt;'Launch Readiness'!$E$6,0,INDEX('Scenario Engine'!$H$30:$L$30,1,ROUNDUP((AU$6-'Launch Readiness'!$B$7)/12,0))/MAX(1,INDEX('Launch Readiness'!$B$26:$F$26,1,ROUNDUP((AU$6-'Launch Readiness'!$B$7)/12,0))))))-IF(AU$6&lt;'Launch Readiness'!$E$6,0,INDEX('Scenario Engine'!$H$47:$L$47,1,AU$7)/MAX(1,INDEX('Launch Readiness'!$B$26:$F$26,1,AU$7)))-INDEX('Scenario Engine'!$H$52:$L$52,1,AU$7)/12-((INDEX('Scenario Engine'!$H$53:$L$53,1,AU$7)-'Launch Readiness'!$E$9*INDEX('Launch Readiness'!$B$34:$F$34,1,AU$7)-'Launch Readiness'!$E$9*'Launch Readiness'!$B$10*INDEX('Launch Readiness'!$B$30:$F$30,1,AU$7)-'Launch Readiness'!$E$16*INDEX('Launch Readiness'!$B$32:$F$32,1,AU$7))/12+IF(AND(AU$6&gt;='Launch Readiness'!$E$6,AU$6&lt;'Launch Readiness'!$E$14),'Launch Readiness'!$E$9/12,0)+IF(AND(AU$6&gt;='Launch Readiness'!$B$11,AU$6&lt;'Launch Readiness'!$E$6),'Launch Readiness'!$E$9*'Launch Readiness'!$B$10/12,0)+IF(AU$6&gt;='Launch Readiness'!$E$14,'Launch Readiness'!$E$16/12,0))-(IF(AU$6&lt;=6,'Startup 6mo'!$F$44/6,0)+IF(AU$6&lt;'Launch Readiness'!$E$6,'Launch Readiness'!$E$8/MAX(1,'Launch Readiness'!$E$7),0)+IF(AU$6='Launch Readiness'!$G$14,'Launch Readiness'!$E$15,0)),0)</f>
        <v>1102106</v>
      </c>
      <c r="AV53" s="103">
        <f>ROUND(AU53+(IF(AV$6&lt;='Launch Readiness'!$B$7,0,IF((AV$6-'Launch Readiness'!$B$7)&lt;'Launch Readiness'!$E$6,0,INDEX('Scenario Engine'!$H$30:$L$30,1,ROUNDUP((AV$6-'Launch Readiness'!$B$7)/12,0))/MAX(1,INDEX('Launch Readiness'!$B$26:$F$26,1,ROUNDUP((AV$6-'Launch Readiness'!$B$7)/12,0))))))-IF(AV$6&lt;'Launch Readiness'!$E$6,0,INDEX('Scenario Engine'!$H$47:$L$47,1,AV$7)/MAX(1,INDEX('Launch Readiness'!$B$26:$F$26,1,AV$7)))-INDEX('Scenario Engine'!$H$52:$L$52,1,AV$7)/12-((INDEX('Scenario Engine'!$H$53:$L$53,1,AV$7)-'Launch Readiness'!$E$9*INDEX('Launch Readiness'!$B$34:$F$34,1,AV$7)-'Launch Readiness'!$E$9*'Launch Readiness'!$B$10*INDEX('Launch Readiness'!$B$30:$F$30,1,AV$7)-'Launch Readiness'!$E$16*INDEX('Launch Readiness'!$B$32:$F$32,1,AV$7))/12+IF(AND(AV$6&gt;='Launch Readiness'!$E$6,AV$6&lt;'Launch Readiness'!$E$14),'Launch Readiness'!$E$9/12,0)+IF(AND(AV$6&gt;='Launch Readiness'!$B$11,AV$6&lt;'Launch Readiness'!$E$6),'Launch Readiness'!$E$9*'Launch Readiness'!$B$10/12,0)+IF(AV$6&gt;='Launch Readiness'!$E$14,'Launch Readiness'!$E$16/12,0))-(IF(AV$6&lt;=6,'Startup 6mo'!$F$44/6,0)+IF(AV$6&lt;'Launch Readiness'!$E$6,'Launch Readiness'!$E$8/MAX(1,'Launch Readiness'!$E$7),0)+IF(AV$6='Launch Readiness'!$G$14,'Launch Readiness'!$E$15,0)),0)</f>
        <v>1518942</v>
      </c>
      <c r="AW53" s="103">
        <f>ROUND(AV53+(IF(AW$6&lt;='Launch Readiness'!$B$7,0,IF((AW$6-'Launch Readiness'!$B$7)&lt;'Launch Readiness'!$E$6,0,INDEX('Scenario Engine'!$H$30:$L$30,1,ROUNDUP((AW$6-'Launch Readiness'!$B$7)/12,0))/MAX(1,INDEX('Launch Readiness'!$B$26:$F$26,1,ROUNDUP((AW$6-'Launch Readiness'!$B$7)/12,0))))))-IF(AW$6&lt;'Launch Readiness'!$E$6,0,INDEX('Scenario Engine'!$H$47:$L$47,1,AW$7)/MAX(1,INDEX('Launch Readiness'!$B$26:$F$26,1,AW$7)))-INDEX('Scenario Engine'!$H$52:$L$52,1,AW$7)/12-((INDEX('Scenario Engine'!$H$53:$L$53,1,AW$7)-'Launch Readiness'!$E$9*INDEX('Launch Readiness'!$B$34:$F$34,1,AW$7)-'Launch Readiness'!$E$9*'Launch Readiness'!$B$10*INDEX('Launch Readiness'!$B$30:$F$30,1,AW$7)-'Launch Readiness'!$E$16*INDEX('Launch Readiness'!$B$32:$F$32,1,AW$7))/12+IF(AND(AW$6&gt;='Launch Readiness'!$E$6,AW$6&lt;'Launch Readiness'!$E$14),'Launch Readiness'!$E$9/12,0)+IF(AND(AW$6&gt;='Launch Readiness'!$B$11,AW$6&lt;'Launch Readiness'!$E$6),'Launch Readiness'!$E$9*'Launch Readiness'!$B$10/12,0)+IF(AW$6&gt;='Launch Readiness'!$E$14,'Launch Readiness'!$E$16/12,0))-(IF(AW$6&lt;=6,'Startup 6mo'!$F$44/6,0)+IF(AW$6&lt;'Launch Readiness'!$E$6,'Launch Readiness'!$E$8/MAX(1,'Launch Readiness'!$E$7),0)+IF(AW$6='Launch Readiness'!$G$14,'Launch Readiness'!$E$15,0)),0)</f>
        <v>1935778</v>
      </c>
      <c r="AX53" s="103">
        <f>ROUND(AW53+(IF(AX$6&lt;='Launch Readiness'!$B$7,0,IF((AX$6-'Launch Readiness'!$B$7)&lt;'Launch Readiness'!$E$6,0,INDEX('Scenario Engine'!$H$30:$L$30,1,ROUNDUP((AX$6-'Launch Readiness'!$B$7)/12,0))/MAX(1,INDEX('Launch Readiness'!$B$26:$F$26,1,ROUNDUP((AX$6-'Launch Readiness'!$B$7)/12,0))))))-IF(AX$6&lt;'Launch Readiness'!$E$6,0,INDEX('Scenario Engine'!$H$47:$L$47,1,AX$7)/MAX(1,INDEX('Launch Readiness'!$B$26:$F$26,1,AX$7)))-INDEX('Scenario Engine'!$H$52:$L$52,1,AX$7)/12-((INDEX('Scenario Engine'!$H$53:$L$53,1,AX$7)-'Launch Readiness'!$E$9*INDEX('Launch Readiness'!$B$34:$F$34,1,AX$7)-'Launch Readiness'!$E$9*'Launch Readiness'!$B$10*INDEX('Launch Readiness'!$B$30:$F$30,1,AX$7)-'Launch Readiness'!$E$16*INDEX('Launch Readiness'!$B$32:$F$32,1,AX$7))/12+IF(AND(AX$6&gt;='Launch Readiness'!$E$6,AX$6&lt;'Launch Readiness'!$E$14),'Launch Readiness'!$E$9/12,0)+IF(AND(AX$6&gt;='Launch Readiness'!$B$11,AX$6&lt;'Launch Readiness'!$E$6),'Launch Readiness'!$E$9*'Launch Readiness'!$B$10/12,0)+IF(AX$6&gt;='Launch Readiness'!$E$14,'Launch Readiness'!$E$16/12,0))-(IF(AX$6&lt;=6,'Startup 6mo'!$F$44/6,0)+IF(AX$6&lt;'Launch Readiness'!$E$6,'Launch Readiness'!$E$8/MAX(1,'Launch Readiness'!$E$7),0)+IF(AX$6='Launch Readiness'!$G$14,'Launch Readiness'!$E$15,0)),0)</f>
        <v>2174369</v>
      </c>
      <c r="AY53" s="103">
        <f>ROUND(AX53+(IF(AY$6&lt;='Launch Readiness'!$B$7,0,IF((AY$6-'Launch Readiness'!$B$7)&lt;'Launch Readiness'!$E$6,0,INDEX('Scenario Engine'!$H$30:$L$30,1,ROUNDUP((AY$6-'Launch Readiness'!$B$7)/12,0))/MAX(1,INDEX('Launch Readiness'!$B$26:$F$26,1,ROUNDUP((AY$6-'Launch Readiness'!$B$7)/12,0))))))-IF(AY$6&lt;'Launch Readiness'!$E$6,0,INDEX('Scenario Engine'!$H$47:$L$47,1,AY$7)/MAX(1,INDEX('Launch Readiness'!$B$26:$F$26,1,AY$7)))-INDEX('Scenario Engine'!$H$52:$L$52,1,AY$7)/12-((INDEX('Scenario Engine'!$H$53:$L$53,1,AY$7)-'Launch Readiness'!$E$9*INDEX('Launch Readiness'!$B$34:$F$34,1,AY$7)-'Launch Readiness'!$E$9*'Launch Readiness'!$B$10*INDEX('Launch Readiness'!$B$30:$F$30,1,AY$7)-'Launch Readiness'!$E$16*INDEX('Launch Readiness'!$B$32:$F$32,1,AY$7))/12+IF(AND(AY$6&gt;='Launch Readiness'!$E$6,AY$6&lt;'Launch Readiness'!$E$14),'Launch Readiness'!$E$9/12,0)+IF(AND(AY$6&gt;='Launch Readiness'!$B$11,AY$6&lt;'Launch Readiness'!$E$6),'Launch Readiness'!$E$9*'Launch Readiness'!$B$10/12,0)+IF(AY$6&gt;='Launch Readiness'!$E$14,'Launch Readiness'!$E$16/12,0))-(IF(AY$6&lt;=6,'Startup 6mo'!$F$44/6,0)+IF(AY$6&lt;'Launch Readiness'!$E$6,'Launch Readiness'!$E$8/MAX(1,'Launch Readiness'!$E$7),0)+IF(AY$6='Launch Readiness'!$G$14,'Launch Readiness'!$E$15,0)),0)</f>
        <v>3153787</v>
      </c>
      <c r="AZ53" s="103">
        <f>ROUND(AY53+(IF(AZ$6&lt;='Launch Readiness'!$B$7,0,IF((AZ$6-'Launch Readiness'!$B$7)&lt;'Launch Readiness'!$E$6,0,INDEX('Scenario Engine'!$H$30:$L$30,1,ROUNDUP((AZ$6-'Launch Readiness'!$B$7)/12,0))/MAX(1,INDEX('Launch Readiness'!$B$26:$F$26,1,ROUNDUP((AZ$6-'Launch Readiness'!$B$7)/12,0))))))-IF(AZ$6&lt;'Launch Readiness'!$E$6,0,INDEX('Scenario Engine'!$H$47:$L$47,1,AZ$7)/MAX(1,INDEX('Launch Readiness'!$B$26:$F$26,1,AZ$7)))-INDEX('Scenario Engine'!$H$52:$L$52,1,AZ$7)/12-((INDEX('Scenario Engine'!$H$53:$L$53,1,AZ$7)-'Launch Readiness'!$E$9*INDEX('Launch Readiness'!$B$34:$F$34,1,AZ$7)-'Launch Readiness'!$E$9*'Launch Readiness'!$B$10*INDEX('Launch Readiness'!$B$30:$F$30,1,AZ$7)-'Launch Readiness'!$E$16*INDEX('Launch Readiness'!$B$32:$F$32,1,AZ$7))/12+IF(AND(AZ$6&gt;='Launch Readiness'!$E$6,AZ$6&lt;'Launch Readiness'!$E$14),'Launch Readiness'!$E$9/12,0)+IF(AND(AZ$6&gt;='Launch Readiness'!$B$11,AZ$6&lt;'Launch Readiness'!$E$6),'Launch Readiness'!$E$9*'Launch Readiness'!$B$10/12,0)+IF(AZ$6&gt;='Launch Readiness'!$E$14,'Launch Readiness'!$E$16/12,0))-(IF(AZ$6&lt;=6,'Startup 6mo'!$F$44/6,0)+IF(AZ$6&lt;'Launch Readiness'!$E$6,'Launch Readiness'!$E$8/MAX(1,'Launch Readiness'!$E$7),0)+IF(AZ$6='Launch Readiness'!$G$14,'Launch Readiness'!$E$15,0)),0)</f>
        <v>4133205</v>
      </c>
      <c r="BA53" s="103">
        <f>ROUND(AZ53+(IF(BA$6&lt;='Launch Readiness'!$B$7,0,IF((BA$6-'Launch Readiness'!$B$7)&lt;'Launch Readiness'!$E$6,0,INDEX('Scenario Engine'!$H$30:$L$30,1,ROUNDUP((BA$6-'Launch Readiness'!$B$7)/12,0))/MAX(1,INDEX('Launch Readiness'!$B$26:$F$26,1,ROUNDUP((BA$6-'Launch Readiness'!$B$7)/12,0))))))-IF(BA$6&lt;'Launch Readiness'!$E$6,0,INDEX('Scenario Engine'!$H$47:$L$47,1,BA$7)/MAX(1,INDEX('Launch Readiness'!$B$26:$F$26,1,BA$7)))-INDEX('Scenario Engine'!$H$52:$L$52,1,BA$7)/12-((INDEX('Scenario Engine'!$H$53:$L$53,1,BA$7)-'Launch Readiness'!$E$9*INDEX('Launch Readiness'!$B$34:$F$34,1,BA$7)-'Launch Readiness'!$E$9*'Launch Readiness'!$B$10*INDEX('Launch Readiness'!$B$30:$F$30,1,BA$7)-'Launch Readiness'!$E$16*INDEX('Launch Readiness'!$B$32:$F$32,1,BA$7))/12+IF(AND(BA$6&gt;='Launch Readiness'!$E$6,BA$6&lt;'Launch Readiness'!$E$14),'Launch Readiness'!$E$9/12,0)+IF(AND(BA$6&gt;='Launch Readiness'!$B$11,BA$6&lt;'Launch Readiness'!$E$6),'Launch Readiness'!$E$9*'Launch Readiness'!$B$10/12,0)+IF(BA$6&gt;='Launch Readiness'!$E$14,'Launch Readiness'!$E$16/12,0))-(IF(BA$6&lt;=6,'Startup 6mo'!$F$44/6,0)+IF(BA$6&lt;'Launch Readiness'!$E$6,'Launch Readiness'!$E$8/MAX(1,'Launch Readiness'!$E$7),0)+IF(BA$6='Launch Readiness'!$G$14,'Launch Readiness'!$E$15,0)),0)</f>
        <v>5112623</v>
      </c>
      <c r="BB53" s="103">
        <f>ROUND(BA53+(IF(BB$6&lt;='Launch Readiness'!$B$7,0,IF((BB$6-'Launch Readiness'!$B$7)&lt;'Launch Readiness'!$E$6,0,INDEX('Scenario Engine'!$H$30:$L$30,1,ROUNDUP((BB$6-'Launch Readiness'!$B$7)/12,0))/MAX(1,INDEX('Launch Readiness'!$B$26:$F$26,1,ROUNDUP((BB$6-'Launch Readiness'!$B$7)/12,0))))))-IF(BB$6&lt;'Launch Readiness'!$E$6,0,INDEX('Scenario Engine'!$H$47:$L$47,1,BB$7)/MAX(1,INDEX('Launch Readiness'!$B$26:$F$26,1,BB$7)))-INDEX('Scenario Engine'!$H$52:$L$52,1,BB$7)/12-((INDEX('Scenario Engine'!$H$53:$L$53,1,BB$7)-'Launch Readiness'!$E$9*INDEX('Launch Readiness'!$B$34:$F$34,1,BB$7)-'Launch Readiness'!$E$9*'Launch Readiness'!$B$10*INDEX('Launch Readiness'!$B$30:$F$30,1,BB$7)-'Launch Readiness'!$E$16*INDEX('Launch Readiness'!$B$32:$F$32,1,BB$7))/12+IF(AND(BB$6&gt;='Launch Readiness'!$E$6,BB$6&lt;'Launch Readiness'!$E$14),'Launch Readiness'!$E$9/12,0)+IF(AND(BB$6&gt;='Launch Readiness'!$B$11,BB$6&lt;'Launch Readiness'!$E$6),'Launch Readiness'!$E$9*'Launch Readiness'!$B$10/12,0)+IF(BB$6&gt;='Launch Readiness'!$E$14,'Launch Readiness'!$E$16/12,0))-(IF(BB$6&lt;=6,'Startup 6mo'!$F$44/6,0)+IF(BB$6&lt;'Launch Readiness'!$E$6,'Launch Readiness'!$E$8/MAX(1,'Launch Readiness'!$E$7),0)+IF(BB$6='Launch Readiness'!$G$14,'Launch Readiness'!$E$15,0)),0)</f>
        <v>6092041</v>
      </c>
      <c r="BC53" s="103">
        <f>ROUND(BB53+(IF(BC$6&lt;='Launch Readiness'!$B$7,0,IF((BC$6-'Launch Readiness'!$B$7)&lt;'Launch Readiness'!$E$6,0,INDEX('Scenario Engine'!$H$30:$L$30,1,ROUNDUP((BC$6-'Launch Readiness'!$B$7)/12,0))/MAX(1,INDEX('Launch Readiness'!$B$26:$F$26,1,ROUNDUP((BC$6-'Launch Readiness'!$B$7)/12,0))))))-IF(BC$6&lt;'Launch Readiness'!$E$6,0,INDEX('Scenario Engine'!$H$47:$L$47,1,BC$7)/MAX(1,INDEX('Launch Readiness'!$B$26:$F$26,1,BC$7)))-INDEX('Scenario Engine'!$H$52:$L$52,1,BC$7)/12-((INDEX('Scenario Engine'!$H$53:$L$53,1,BC$7)-'Launch Readiness'!$E$9*INDEX('Launch Readiness'!$B$34:$F$34,1,BC$7)-'Launch Readiness'!$E$9*'Launch Readiness'!$B$10*INDEX('Launch Readiness'!$B$30:$F$30,1,BC$7)-'Launch Readiness'!$E$16*INDEX('Launch Readiness'!$B$32:$F$32,1,BC$7))/12+IF(AND(BC$6&gt;='Launch Readiness'!$E$6,BC$6&lt;'Launch Readiness'!$E$14),'Launch Readiness'!$E$9/12,0)+IF(AND(BC$6&gt;='Launch Readiness'!$B$11,BC$6&lt;'Launch Readiness'!$E$6),'Launch Readiness'!$E$9*'Launch Readiness'!$B$10/12,0)+IF(BC$6&gt;='Launch Readiness'!$E$14,'Launch Readiness'!$E$16/12,0))-(IF(BC$6&lt;=6,'Startup 6mo'!$F$44/6,0)+IF(BC$6&lt;'Launch Readiness'!$E$6,'Launch Readiness'!$E$8/MAX(1,'Launch Readiness'!$E$7),0)+IF(BC$6='Launch Readiness'!$G$14,'Launch Readiness'!$E$15,0)),0)</f>
        <v>7071459</v>
      </c>
      <c r="BD53" s="103">
        <f>ROUND(BC53+(IF(BD$6&lt;='Launch Readiness'!$B$7,0,IF((BD$6-'Launch Readiness'!$B$7)&lt;'Launch Readiness'!$E$6,0,INDEX('Scenario Engine'!$H$30:$L$30,1,ROUNDUP((BD$6-'Launch Readiness'!$B$7)/12,0))/MAX(1,INDEX('Launch Readiness'!$B$26:$F$26,1,ROUNDUP((BD$6-'Launch Readiness'!$B$7)/12,0))))))-IF(BD$6&lt;'Launch Readiness'!$E$6,0,INDEX('Scenario Engine'!$H$47:$L$47,1,BD$7)/MAX(1,INDEX('Launch Readiness'!$B$26:$F$26,1,BD$7)))-INDEX('Scenario Engine'!$H$52:$L$52,1,BD$7)/12-((INDEX('Scenario Engine'!$H$53:$L$53,1,BD$7)-'Launch Readiness'!$E$9*INDEX('Launch Readiness'!$B$34:$F$34,1,BD$7)-'Launch Readiness'!$E$9*'Launch Readiness'!$B$10*INDEX('Launch Readiness'!$B$30:$F$30,1,BD$7)-'Launch Readiness'!$E$16*INDEX('Launch Readiness'!$B$32:$F$32,1,BD$7))/12+IF(AND(BD$6&gt;='Launch Readiness'!$E$6,BD$6&lt;'Launch Readiness'!$E$14),'Launch Readiness'!$E$9/12,0)+IF(AND(BD$6&gt;='Launch Readiness'!$B$11,BD$6&lt;'Launch Readiness'!$E$6),'Launch Readiness'!$E$9*'Launch Readiness'!$B$10/12,0)+IF(BD$6&gt;='Launch Readiness'!$E$14,'Launch Readiness'!$E$16/12,0))-(IF(BD$6&lt;=6,'Startup 6mo'!$F$44/6,0)+IF(BD$6&lt;'Launch Readiness'!$E$6,'Launch Readiness'!$E$8/MAX(1,'Launch Readiness'!$E$7),0)+IF(BD$6='Launch Readiness'!$G$14,'Launch Readiness'!$E$15,0)),0)</f>
        <v>8050877</v>
      </c>
      <c r="BE53" s="103">
        <f>ROUND(BD53+(IF(BE$6&lt;='Launch Readiness'!$B$7,0,IF((BE$6-'Launch Readiness'!$B$7)&lt;'Launch Readiness'!$E$6,0,INDEX('Scenario Engine'!$H$30:$L$30,1,ROUNDUP((BE$6-'Launch Readiness'!$B$7)/12,0))/MAX(1,INDEX('Launch Readiness'!$B$26:$F$26,1,ROUNDUP((BE$6-'Launch Readiness'!$B$7)/12,0))))))-IF(BE$6&lt;'Launch Readiness'!$E$6,0,INDEX('Scenario Engine'!$H$47:$L$47,1,BE$7)/MAX(1,INDEX('Launch Readiness'!$B$26:$F$26,1,BE$7)))-INDEX('Scenario Engine'!$H$52:$L$52,1,BE$7)/12-((INDEX('Scenario Engine'!$H$53:$L$53,1,BE$7)-'Launch Readiness'!$E$9*INDEX('Launch Readiness'!$B$34:$F$34,1,BE$7)-'Launch Readiness'!$E$9*'Launch Readiness'!$B$10*INDEX('Launch Readiness'!$B$30:$F$30,1,BE$7)-'Launch Readiness'!$E$16*INDEX('Launch Readiness'!$B$32:$F$32,1,BE$7))/12+IF(AND(BE$6&gt;='Launch Readiness'!$E$6,BE$6&lt;'Launch Readiness'!$E$14),'Launch Readiness'!$E$9/12,0)+IF(AND(BE$6&gt;='Launch Readiness'!$B$11,BE$6&lt;'Launch Readiness'!$E$6),'Launch Readiness'!$E$9*'Launch Readiness'!$B$10/12,0)+IF(BE$6&gt;='Launch Readiness'!$E$14,'Launch Readiness'!$E$16/12,0))-(IF(BE$6&lt;=6,'Startup 6mo'!$F$44/6,0)+IF(BE$6&lt;'Launch Readiness'!$E$6,'Launch Readiness'!$E$8/MAX(1,'Launch Readiness'!$E$7),0)+IF(BE$6='Launch Readiness'!$G$14,'Launch Readiness'!$E$15,0)),0)</f>
        <v>9030295</v>
      </c>
      <c r="BF53" s="103">
        <f>ROUND(BE53+(IF(BF$6&lt;='Launch Readiness'!$B$7,0,IF((BF$6-'Launch Readiness'!$B$7)&lt;'Launch Readiness'!$E$6,0,INDEX('Scenario Engine'!$H$30:$L$30,1,ROUNDUP((BF$6-'Launch Readiness'!$B$7)/12,0))/MAX(1,INDEX('Launch Readiness'!$B$26:$F$26,1,ROUNDUP((BF$6-'Launch Readiness'!$B$7)/12,0))))))-IF(BF$6&lt;'Launch Readiness'!$E$6,0,INDEX('Scenario Engine'!$H$47:$L$47,1,BF$7)/MAX(1,INDEX('Launch Readiness'!$B$26:$F$26,1,BF$7)))-INDEX('Scenario Engine'!$H$52:$L$52,1,BF$7)/12-((INDEX('Scenario Engine'!$H$53:$L$53,1,BF$7)-'Launch Readiness'!$E$9*INDEX('Launch Readiness'!$B$34:$F$34,1,BF$7)-'Launch Readiness'!$E$9*'Launch Readiness'!$B$10*INDEX('Launch Readiness'!$B$30:$F$30,1,BF$7)-'Launch Readiness'!$E$16*INDEX('Launch Readiness'!$B$32:$F$32,1,BF$7))/12+IF(AND(BF$6&gt;='Launch Readiness'!$E$6,BF$6&lt;'Launch Readiness'!$E$14),'Launch Readiness'!$E$9/12,0)+IF(AND(BF$6&gt;='Launch Readiness'!$B$11,BF$6&lt;'Launch Readiness'!$E$6),'Launch Readiness'!$E$9*'Launch Readiness'!$B$10/12,0)+IF(BF$6&gt;='Launch Readiness'!$E$14,'Launch Readiness'!$E$16/12,0))-(IF(BF$6&lt;=6,'Startup 6mo'!$F$44/6,0)+IF(BF$6&lt;'Launch Readiness'!$E$6,'Launch Readiness'!$E$8/MAX(1,'Launch Readiness'!$E$7),0)+IF(BF$6='Launch Readiness'!$G$14,'Launch Readiness'!$E$15,0)),0)</f>
        <v>10009713</v>
      </c>
      <c r="BG53" s="103">
        <f>ROUND(BF53+(IF(BG$6&lt;='Launch Readiness'!$B$7,0,IF((BG$6-'Launch Readiness'!$B$7)&lt;'Launch Readiness'!$E$6,0,INDEX('Scenario Engine'!$H$30:$L$30,1,ROUNDUP((BG$6-'Launch Readiness'!$B$7)/12,0))/MAX(1,INDEX('Launch Readiness'!$B$26:$F$26,1,ROUNDUP((BG$6-'Launch Readiness'!$B$7)/12,0))))))-IF(BG$6&lt;'Launch Readiness'!$E$6,0,INDEX('Scenario Engine'!$H$47:$L$47,1,BG$7)/MAX(1,INDEX('Launch Readiness'!$B$26:$F$26,1,BG$7)))-INDEX('Scenario Engine'!$H$52:$L$52,1,BG$7)/12-((INDEX('Scenario Engine'!$H$53:$L$53,1,BG$7)-'Launch Readiness'!$E$9*INDEX('Launch Readiness'!$B$34:$F$34,1,BG$7)-'Launch Readiness'!$E$9*'Launch Readiness'!$B$10*INDEX('Launch Readiness'!$B$30:$F$30,1,BG$7)-'Launch Readiness'!$E$16*INDEX('Launch Readiness'!$B$32:$F$32,1,BG$7))/12+IF(AND(BG$6&gt;='Launch Readiness'!$E$6,BG$6&lt;'Launch Readiness'!$E$14),'Launch Readiness'!$E$9/12,0)+IF(AND(BG$6&gt;='Launch Readiness'!$B$11,BG$6&lt;'Launch Readiness'!$E$6),'Launch Readiness'!$E$9*'Launch Readiness'!$B$10/12,0)+IF(BG$6&gt;='Launch Readiness'!$E$14,'Launch Readiness'!$E$16/12,0))-(IF(BG$6&lt;=6,'Startup 6mo'!$F$44/6,0)+IF(BG$6&lt;'Launch Readiness'!$E$6,'Launch Readiness'!$E$8/MAX(1,'Launch Readiness'!$E$7),0)+IF(BG$6='Launch Readiness'!$G$14,'Launch Readiness'!$E$15,0)),0)</f>
        <v>10989131</v>
      </c>
      <c r="BH53" s="103">
        <f>ROUND(BG53+(IF(BH$6&lt;='Launch Readiness'!$B$7,0,IF((BH$6-'Launch Readiness'!$B$7)&lt;'Launch Readiness'!$E$6,0,INDEX('Scenario Engine'!$H$30:$L$30,1,ROUNDUP((BH$6-'Launch Readiness'!$B$7)/12,0))/MAX(1,INDEX('Launch Readiness'!$B$26:$F$26,1,ROUNDUP((BH$6-'Launch Readiness'!$B$7)/12,0))))))-IF(BH$6&lt;'Launch Readiness'!$E$6,0,INDEX('Scenario Engine'!$H$47:$L$47,1,BH$7)/MAX(1,INDEX('Launch Readiness'!$B$26:$F$26,1,BH$7)))-INDEX('Scenario Engine'!$H$52:$L$52,1,BH$7)/12-((INDEX('Scenario Engine'!$H$53:$L$53,1,BH$7)-'Launch Readiness'!$E$9*INDEX('Launch Readiness'!$B$34:$F$34,1,BH$7)-'Launch Readiness'!$E$9*'Launch Readiness'!$B$10*INDEX('Launch Readiness'!$B$30:$F$30,1,BH$7)-'Launch Readiness'!$E$16*INDEX('Launch Readiness'!$B$32:$F$32,1,BH$7))/12+IF(AND(BH$6&gt;='Launch Readiness'!$E$6,BH$6&lt;'Launch Readiness'!$E$14),'Launch Readiness'!$E$9/12,0)+IF(AND(BH$6&gt;='Launch Readiness'!$B$11,BH$6&lt;'Launch Readiness'!$E$6),'Launch Readiness'!$E$9*'Launch Readiness'!$B$10/12,0)+IF(BH$6&gt;='Launch Readiness'!$E$14,'Launch Readiness'!$E$16/12,0))-(IF(BH$6&lt;=6,'Startup 6mo'!$F$44/6,0)+IF(BH$6&lt;'Launch Readiness'!$E$6,'Launch Readiness'!$E$8/MAX(1,'Launch Readiness'!$E$7),0)+IF(BH$6='Launch Readiness'!$G$14,'Launch Readiness'!$E$15,0)),0)</f>
        <v>11968549</v>
      </c>
      <c r="BI53" s="103">
        <f>ROUND(BH53+(IF(BI$6&lt;='Launch Readiness'!$B$7,0,IF((BI$6-'Launch Readiness'!$B$7)&lt;'Launch Readiness'!$E$6,0,INDEX('Scenario Engine'!$H$30:$L$30,1,ROUNDUP((BI$6-'Launch Readiness'!$B$7)/12,0))/MAX(1,INDEX('Launch Readiness'!$B$26:$F$26,1,ROUNDUP((BI$6-'Launch Readiness'!$B$7)/12,0))))))-IF(BI$6&lt;'Launch Readiness'!$E$6,0,INDEX('Scenario Engine'!$H$47:$L$47,1,BI$7)/MAX(1,INDEX('Launch Readiness'!$B$26:$F$26,1,BI$7)))-INDEX('Scenario Engine'!$H$52:$L$52,1,BI$7)/12-((INDEX('Scenario Engine'!$H$53:$L$53,1,BI$7)-'Launch Readiness'!$E$9*INDEX('Launch Readiness'!$B$34:$F$34,1,BI$7)-'Launch Readiness'!$E$9*'Launch Readiness'!$B$10*INDEX('Launch Readiness'!$B$30:$F$30,1,BI$7)-'Launch Readiness'!$E$16*INDEX('Launch Readiness'!$B$32:$F$32,1,BI$7))/12+IF(AND(BI$6&gt;='Launch Readiness'!$E$6,BI$6&lt;'Launch Readiness'!$E$14),'Launch Readiness'!$E$9/12,0)+IF(AND(BI$6&gt;='Launch Readiness'!$B$11,BI$6&lt;'Launch Readiness'!$E$6),'Launch Readiness'!$E$9*'Launch Readiness'!$B$10/12,0)+IF(BI$6&gt;='Launch Readiness'!$E$14,'Launch Readiness'!$E$16/12,0))-(IF(BI$6&lt;=6,'Startup 6mo'!$F$44/6,0)+IF(BI$6&lt;'Launch Readiness'!$E$6,'Launch Readiness'!$E$8/MAX(1,'Launch Readiness'!$E$7),0)+IF(BI$6='Launch Readiness'!$G$14,'Launch Readiness'!$E$15,0)),0)</f>
        <v>12947967</v>
      </c>
    </row>
    <row r="54" spans="1:61" ht="12" customHeight="1" x14ac:dyDescent="0.2">
      <c r="A54" s="49" t="s">
        <v>113</v>
      </c>
      <c r="B54" s="103">
        <f>ROUND((IF(B$6&lt;='Launch Readiness'!$B$7,0,IF((B$6-'Launch Readiness'!$B$7)&lt;'Launch Readiness'!$E$6,0,INDEX('Scenario Engine'!$N$30:$R$30,1,ROUNDUP((B$6-'Launch Readiness'!$B$7)/12,0))/MAX(1,INDEX('Launch Readiness'!$B$26:$F$26,1,ROUNDUP((B$6-'Launch Readiness'!$B$7)/12,0))))))-IF(B$6&lt;'Launch Readiness'!$E$6,0,INDEX('Scenario Engine'!$N$47:$R$47,1,B$7)/MAX(1,INDEX('Launch Readiness'!$B$26:$F$26,1,B$7)))-INDEX('Scenario Engine'!$N$52:$R$52,1,B$7)/12-((INDEX('Scenario Engine'!$N$53:$R$53,1,B$7)-'Launch Readiness'!$E$9*INDEX('Launch Readiness'!$B$34:$F$34,1,B$7)-'Launch Readiness'!$E$9*'Launch Readiness'!$B$10*INDEX('Launch Readiness'!$B$30:$F$30,1,B$7)-'Launch Readiness'!$E$16*INDEX('Launch Readiness'!$B$32:$F$32,1,B$7))/12+IF(AND(B$6&gt;='Launch Readiness'!$E$6,B$6&lt;'Launch Readiness'!$E$14),'Launch Readiness'!$E$9/12,0)+IF(AND(B$6&gt;='Launch Readiness'!$B$11,B$6&lt;'Launch Readiness'!$E$6),'Launch Readiness'!$E$9*'Launch Readiness'!$B$10/12,0)+IF(B$6&gt;='Launch Readiness'!$E$14,'Launch Readiness'!$E$16/12,0))-(IF(B$6&lt;=6,'Startup 6mo'!$F$44/6,0)+IF(B$6&lt;'Launch Readiness'!$E$6,'Launch Readiness'!$E$8/MAX(1,'Launch Readiness'!$E$7),0)+IF(B$6='Launch Readiness'!$G$14,'Launch Readiness'!$E$15,0)),0)</f>
        <v>-107605</v>
      </c>
      <c r="C54" s="103">
        <f>ROUND(B54+(IF(C$6&lt;='Launch Readiness'!$B$7,0,IF((C$6-'Launch Readiness'!$B$7)&lt;'Launch Readiness'!$E$6,0,INDEX('Scenario Engine'!$N$30:$R$30,1,ROUNDUP((C$6-'Launch Readiness'!$B$7)/12,0))/MAX(1,INDEX('Launch Readiness'!$B$26:$F$26,1,ROUNDUP((C$6-'Launch Readiness'!$B$7)/12,0))))))-IF(C$6&lt;'Launch Readiness'!$E$6,0,INDEX('Scenario Engine'!$N$47:$R$47,1,C$7)/MAX(1,INDEX('Launch Readiness'!$B$26:$F$26,1,C$7)))-INDEX('Scenario Engine'!$N$52:$R$52,1,C$7)/12-((INDEX('Scenario Engine'!$N$53:$R$53,1,C$7)-'Launch Readiness'!$E$9*INDEX('Launch Readiness'!$B$34:$F$34,1,C$7)-'Launch Readiness'!$E$9*'Launch Readiness'!$B$10*INDEX('Launch Readiness'!$B$30:$F$30,1,C$7)-'Launch Readiness'!$E$16*INDEX('Launch Readiness'!$B$32:$F$32,1,C$7))/12+IF(AND(C$6&gt;='Launch Readiness'!$E$6,C$6&lt;'Launch Readiness'!$E$14),'Launch Readiness'!$E$9/12,0)+IF(AND(C$6&gt;='Launch Readiness'!$B$11,C$6&lt;'Launch Readiness'!$E$6),'Launch Readiness'!$E$9*'Launch Readiness'!$B$10/12,0)+IF(C$6&gt;='Launch Readiness'!$E$14,'Launch Readiness'!$E$16/12,0))-(IF(C$6&lt;=6,'Startup 6mo'!$F$44/6,0)+IF(C$6&lt;'Launch Readiness'!$E$6,'Launch Readiness'!$E$8/MAX(1,'Launch Readiness'!$E$7),0)+IF(C$6='Launch Readiness'!$G$14,'Launch Readiness'!$E$15,0)),0)</f>
        <v>-217164</v>
      </c>
      <c r="D54" s="103">
        <f>ROUND(C54+(IF(D$6&lt;='Launch Readiness'!$B$7,0,IF((D$6-'Launch Readiness'!$B$7)&lt;'Launch Readiness'!$E$6,0,INDEX('Scenario Engine'!$N$30:$R$30,1,ROUNDUP((D$6-'Launch Readiness'!$B$7)/12,0))/MAX(1,INDEX('Launch Readiness'!$B$26:$F$26,1,ROUNDUP((D$6-'Launch Readiness'!$B$7)/12,0))))))-IF(D$6&lt;'Launch Readiness'!$E$6,0,INDEX('Scenario Engine'!$N$47:$R$47,1,D$7)/MAX(1,INDEX('Launch Readiness'!$B$26:$F$26,1,D$7)))-INDEX('Scenario Engine'!$N$52:$R$52,1,D$7)/12-((INDEX('Scenario Engine'!$N$53:$R$53,1,D$7)-'Launch Readiness'!$E$9*INDEX('Launch Readiness'!$B$34:$F$34,1,D$7)-'Launch Readiness'!$E$9*'Launch Readiness'!$B$10*INDEX('Launch Readiness'!$B$30:$F$30,1,D$7)-'Launch Readiness'!$E$16*INDEX('Launch Readiness'!$B$32:$F$32,1,D$7))/12+IF(AND(D$6&gt;='Launch Readiness'!$E$6,D$6&lt;'Launch Readiness'!$E$14),'Launch Readiness'!$E$9/12,0)+IF(AND(D$6&gt;='Launch Readiness'!$B$11,D$6&lt;'Launch Readiness'!$E$6),'Launch Readiness'!$E$9*'Launch Readiness'!$B$10/12,0)+IF(D$6&gt;='Launch Readiness'!$E$14,'Launch Readiness'!$E$16/12,0))-(IF(D$6&lt;=6,'Startup 6mo'!$F$44/6,0)+IF(D$6&lt;'Launch Readiness'!$E$6,'Launch Readiness'!$E$8/MAX(1,'Launch Readiness'!$E$7),0)+IF(D$6='Launch Readiness'!$G$14,'Launch Readiness'!$E$15,0)),0)</f>
        <v>-326723</v>
      </c>
      <c r="E54" s="103">
        <f>ROUND(D54+(IF(E$6&lt;='Launch Readiness'!$B$7,0,IF((E$6-'Launch Readiness'!$B$7)&lt;'Launch Readiness'!$E$6,0,INDEX('Scenario Engine'!$N$30:$R$30,1,ROUNDUP((E$6-'Launch Readiness'!$B$7)/12,0))/MAX(1,INDEX('Launch Readiness'!$B$26:$F$26,1,ROUNDUP((E$6-'Launch Readiness'!$B$7)/12,0))))))-IF(E$6&lt;'Launch Readiness'!$E$6,0,INDEX('Scenario Engine'!$N$47:$R$47,1,E$7)/MAX(1,INDEX('Launch Readiness'!$B$26:$F$26,1,E$7)))-INDEX('Scenario Engine'!$N$52:$R$52,1,E$7)/12-((INDEX('Scenario Engine'!$N$53:$R$53,1,E$7)-'Launch Readiness'!$E$9*INDEX('Launch Readiness'!$B$34:$F$34,1,E$7)-'Launch Readiness'!$E$9*'Launch Readiness'!$B$10*INDEX('Launch Readiness'!$B$30:$F$30,1,E$7)-'Launch Readiness'!$E$16*INDEX('Launch Readiness'!$B$32:$F$32,1,E$7))/12+IF(AND(E$6&gt;='Launch Readiness'!$E$6,E$6&lt;'Launch Readiness'!$E$14),'Launch Readiness'!$E$9/12,0)+IF(AND(E$6&gt;='Launch Readiness'!$B$11,E$6&lt;'Launch Readiness'!$E$6),'Launch Readiness'!$E$9*'Launch Readiness'!$B$10/12,0)+IF(E$6&gt;='Launch Readiness'!$E$14,'Launch Readiness'!$E$16/12,0))-(IF(E$6&lt;=6,'Startup 6mo'!$F$44/6,0)+IF(E$6&lt;'Launch Readiness'!$E$6,'Launch Readiness'!$E$8/MAX(1,'Launch Readiness'!$E$7),0)+IF(E$6='Launch Readiness'!$G$14,'Launch Readiness'!$E$15,0)),0)</f>
        <v>-436282</v>
      </c>
      <c r="F54" s="103">
        <f>ROUND(E54+(IF(F$6&lt;='Launch Readiness'!$B$7,0,IF((F$6-'Launch Readiness'!$B$7)&lt;'Launch Readiness'!$E$6,0,INDEX('Scenario Engine'!$N$30:$R$30,1,ROUNDUP((F$6-'Launch Readiness'!$B$7)/12,0))/MAX(1,INDEX('Launch Readiness'!$B$26:$F$26,1,ROUNDUP((F$6-'Launch Readiness'!$B$7)/12,0))))))-IF(F$6&lt;'Launch Readiness'!$E$6,0,INDEX('Scenario Engine'!$N$47:$R$47,1,F$7)/MAX(1,INDEX('Launch Readiness'!$B$26:$F$26,1,F$7)))-INDEX('Scenario Engine'!$N$52:$R$52,1,F$7)/12-((INDEX('Scenario Engine'!$N$53:$R$53,1,F$7)-'Launch Readiness'!$E$9*INDEX('Launch Readiness'!$B$34:$F$34,1,F$7)-'Launch Readiness'!$E$9*'Launch Readiness'!$B$10*INDEX('Launch Readiness'!$B$30:$F$30,1,F$7)-'Launch Readiness'!$E$16*INDEX('Launch Readiness'!$B$32:$F$32,1,F$7))/12+IF(AND(F$6&gt;='Launch Readiness'!$E$6,F$6&lt;'Launch Readiness'!$E$14),'Launch Readiness'!$E$9/12,0)+IF(AND(F$6&gt;='Launch Readiness'!$B$11,F$6&lt;'Launch Readiness'!$E$6),'Launch Readiness'!$E$9*'Launch Readiness'!$B$10/12,0)+IF(F$6&gt;='Launch Readiness'!$E$14,'Launch Readiness'!$E$16/12,0))-(IF(F$6&lt;=6,'Startup 6mo'!$F$44/6,0)+IF(F$6&lt;'Launch Readiness'!$E$6,'Launch Readiness'!$E$8/MAX(1,'Launch Readiness'!$E$7),0)+IF(F$6='Launch Readiness'!$G$14,'Launch Readiness'!$E$15,0)),0)</f>
        <v>-545841</v>
      </c>
      <c r="G54" s="103">
        <f>ROUND(F54+(IF(G$6&lt;='Launch Readiness'!$B$7,0,IF((G$6-'Launch Readiness'!$B$7)&lt;'Launch Readiness'!$E$6,0,INDEX('Scenario Engine'!$N$30:$R$30,1,ROUNDUP((G$6-'Launch Readiness'!$B$7)/12,0))/MAX(1,INDEX('Launch Readiness'!$B$26:$F$26,1,ROUNDUP((G$6-'Launch Readiness'!$B$7)/12,0))))))-IF(G$6&lt;'Launch Readiness'!$E$6,0,INDEX('Scenario Engine'!$N$47:$R$47,1,G$7)/MAX(1,INDEX('Launch Readiness'!$B$26:$F$26,1,G$7)))-INDEX('Scenario Engine'!$N$52:$R$52,1,G$7)/12-((INDEX('Scenario Engine'!$N$53:$R$53,1,G$7)-'Launch Readiness'!$E$9*INDEX('Launch Readiness'!$B$34:$F$34,1,G$7)-'Launch Readiness'!$E$9*'Launch Readiness'!$B$10*INDEX('Launch Readiness'!$B$30:$F$30,1,G$7)-'Launch Readiness'!$E$16*INDEX('Launch Readiness'!$B$32:$F$32,1,G$7))/12+IF(AND(G$6&gt;='Launch Readiness'!$E$6,G$6&lt;'Launch Readiness'!$E$14),'Launch Readiness'!$E$9/12,0)+IF(AND(G$6&gt;='Launch Readiness'!$B$11,G$6&lt;'Launch Readiness'!$E$6),'Launch Readiness'!$E$9*'Launch Readiness'!$B$10/12,0)+IF(G$6&gt;='Launch Readiness'!$E$14,'Launch Readiness'!$E$16/12,0))-(IF(G$6&lt;=6,'Startup 6mo'!$F$44/6,0)+IF(G$6&lt;'Launch Readiness'!$E$6,'Launch Readiness'!$E$8/MAX(1,'Launch Readiness'!$E$7),0)+IF(G$6='Launch Readiness'!$G$14,'Launch Readiness'!$E$15,0)),0)</f>
        <v>-655400</v>
      </c>
      <c r="H54" s="103">
        <f>ROUND(G54+(IF(H$6&lt;='Launch Readiness'!$B$7,0,IF((H$6-'Launch Readiness'!$B$7)&lt;'Launch Readiness'!$E$6,0,INDEX('Scenario Engine'!$N$30:$R$30,1,ROUNDUP((H$6-'Launch Readiness'!$B$7)/12,0))/MAX(1,INDEX('Launch Readiness'!$B$26:$F$26,1,ROUNDUP((H$6-'Launch Readiness'!$B$7)/12,0))))))-IF(H$6&lt;'Launch Readiness'!$E$6,0,INDEX('Scenario Engine'!$N$47:$R$47,1,H$7)/MAX(1,INDEX('Launch Readiness'!$B$26:$F$26,1,H$7)))-INDEX('Scenario Engine'!$N$52:$R$52,1,H$7)/12-((INDEX('Scenario Engine'!$N$53:$R$53,1,H$7)-'Launch Readiness'!$E$9*INDEX('Launch Readiness'!$B$34:$F$34,1,H$7)-'Launch Readiness'!$E$9*'Launch Readiness'!$B$10*INDEX('Launch Readiness'!$B$30:$F$30,1,H$7)-'Launch Readiness'!$E$16*INDEX('Launch Readiness'!$B$32:$F$32,1,H$7))/12+IF(AND(H$6&gt;='Launch Readiness'!$E$6,H$6&lt;'Launch Readiness'!$E$14),'Launch Readiness'!$E$9/12,0)+IF(AND(H$6&gt;='Launch Readiness'!$B$11,H$6&lt;'Launch Readiness'!$E$6),'Launch Readiness'!$E$9*'Launch Readiness'!$B$10/12,0)+IF(H$6&gt;='Launch Readiness'!$E$14,'Launch Readiness'!$E$16/12,0))-(IF(H$6&lt;=6,'Startup 6mo'!$F$44/6,0)+IF(H$6&lt;'Launch Readiness'!$E$6,'Launch Readiness'!$E$8/MAX(1,'Launch Readiness'!$E$7),0)+IF(H$6='Launch Readiness'!$G$14,'Launch Readiness'!$E$15,0)),0)</f>
        <v>-724391</v>
      </c>
      <c r="I54" s="103">
        <f>ROUND(H54+(IF(I$6&lt;='Launch Readiness'!$B$7,0,IF((I$6-'Launch Readiness'!$B$7)&lt;'Launch Readiness'!$E$6,0,INDEX('Scenario Engine'!$N$30:$R$30,1,ROUNDUP((I$6-'Launch Readiness'!$B$7)/12,0))/MAX(1,INDEX('Launch Readiness'!$B$26:$F$26,1,ROUNDUP((I$6-'Launch Readiness'!$B$7)/12,0))))))-IF(I$6&lt;'Launch Readiness'!$E$6,0,INDEX('Scenario Engine'!$N$47:$R$47,1,I$7)/MAX(1,INDEX('Launch Readiness'!$B$26:$F$26,1,I$7)))-INDEX('Scenario Engine'!$N$52:$R$52,1,I$7)/12-((INDEX('Scenario Engine'!$N$53:$R$53,1,I$7)-'Launch Readiness'!$E$9*INDEX('Launch Readiness'!$B$34:$F$34,1,I$7)-'Launch Readiness'!$E$9*'Launch Readiness'!$B$10*INDEX('Launch Readiness'!$B$30:$F$30,1,I$7)-'Launch Readiness'!$E$16*INDEX('Launch Readiness'!$B$32:$F$32,1,I$7))/12+IF(AND(I$6&gt;='Launch Readiness'!$E$6,I$6&lt;'Launch Readiness'!$E$14),'Launch Readiness'!$E$9/12,0)+IF(AND(I$6&gt;='Launch Readiness'!$B$11,I$6&lt;'Launch Readiness'!$E$6),'Launch Readiness'!$E$9*'Launch Readiness'!$B$10/12,0)+IF(I$6&gt;='Launch Readiness'!$E$14,'Launch Readiness'!$E$16/12,0))-(IF(I$6&lt;=6,'Startup 6mo'!$F$44/6,0)+IF(I$6&lt;'Launch Readiness'!$E$6,'Launch Readiness'!$E$8/MAX(1,'Launch Readiness'!$E$7),0)+IF(I$6='Launch Readiness'!$G$14,'Launch Readiness'!$E$15,0)),0)</f>
        <v>-793382</v>
      </c>
      <c r="J54" s="103">
        <f>ROUND(I54+(IF(J$6&lt;='Launch Readiness'!$B$7,0,IF((J$6-'Launch Readiness'!$B$7)&lt;'Launch Readiness'!$E$6,0,INDEX('Scenario Engine'!$N$30:$R$30,1,ROUNDUP((J$6-'Launch Readiness'!$B$7)/12,0))/MAX(1,INDEX('Launch Readiness'!$B$26:$F$26,1,ROUNDUP((J$6-'Launch Readiness'!$B$7)/12,0))))))-IF(J$6&lt;'Launch Readiness'!$E$6,0,INDEX('Scenario Engine'!$N$47:$R$47,1,J$7)/MAX(1,INDEX('Launch Readiness'!$B$26:$F$26,1,J$7)))-INDEX('Scenario Engine'!$N$52:$R$52,1,J$7)/12-((INDEX('Scenario Engine'!$N$53:$R$53,1,J$7)-'Launch Readiness'!$E$9*INDEX('Launch Readiness'!$B$34:$F$34,1,J$7)-'Launch Readiness'!$E$9*'Launch Readiness'!$B$10*INDEX('Launch Readiness'!$B$30:$F$30,1,J$7)-'Launch Readiness'!$E$16*INDEX('Launch Readiness'!$B$32:$F$32,1,J$7))/12+IF(AND(J$6&gt;='Launch Readiness'!$E$6,J$6&lt;'Launch Readiness'!$E$14),'Launch Readiness'!$E$9/12,0)+IF(AND(J$6&gt;='Launch Readiness'!$B$11,J$6&lt;'Launch Readiness'!$E$6),'Launch Readiness'!$E$9*'Launch Readiness'!$B$10/12,0)+IF(J$6&gt;='Launch Readiness'!$E$14,'Launch Readiness'!$E$16/12,0))-(IF(J$6&lt;=6,'Startup 6mo'!$F$44/6,0)+IF(J$6&lt;'Launch Readiness'!$E$6,'Launch Readiness'!$E$8/MAX(1,'Launch Readiness'!$E$7),0)+IF(J$6='Launch Readiness'!$G$14,'Launch Readiness'!$E$15,0)),0)</f>
        <v>-862373</v>
      </c>
      <c r="K54" s="103">
        <f>ROUND(J54+(IF(K$6&lt;='Launch Readiness'!$B$7,0,IF((K$6-'Launch Readiness'!$B$7)&lt;'Launch Readiness'!$E$6,0,INDEX('Scenario Engine'!$N$30:$R$30,1,ROUNDUP((K$6-'Launch Readiness'!$B$7)/12,0))/MAX(1,INDEX('Launch Readiness'!$B$26:$F$26,1,ROUNDUP((K$6-'Launch Readiness'!$B$7)/12,0))))))-IF(K$6&lt;'Launch Readiness'!$E$6,0,INDEX('Scenario Engine'!$N$47:$R$47,1,K$7)/MAX(1,INDEX('Launch Readiness'!$B$26:$F$26,1,K$7)))-INDEX('Scenario Engine'!$N$52:$R$52,1,K$7)/12-((INDEX('Scenario Engine'!$N$53:$R$53,1,K$7)-'Launch Readiness'!$E$9*INDEX('Launch Readiness'!$B$34:$F$34,1,K$7)-'Launch Readiness'!$E$9*'Launch Readiness'!$B$10*INDEX('Launch Readiness'!$B$30:$F$30,1,K$7)-'Launch Readiness'!$E$16*INDEX('Launch Readiness'!$B$32:$F$32,1,K$7))/12+IF(AND(K$6&gt;='Launch Readiness'!$E$6,K$6&lt;'Launch Readiness'!$E$14),'Launch Readiness'!$E$9/12,0)+IF(AND(K$6&gt;='Launch Readiness'!$B$11,K$6&lt;'Launch Readiness'!$E$6),'Launch Readiness'!$E$9*'Launch Readiness'!$B$10/12,0)+IF(K$6&gt;='Launch Readiness'!$E$14,'Launch Readiness'!$E$16/12,0))-(IF(K$6&lt;=6,'Startup 6mo'!$F$44/6,0)+IF(K$6&lt;'Launch Readiness'!$E$6,'Launch Readiness'!$E$8/MAX(1,'Launch Readiness'!$E$7),0)+IF(K$6='Launch Readiness'!$G$14,'Launch Readiness'!$E$15,0)),0)</f>
        <v>-931364</v>
      </c>
      <c r="L54" s="103">
        <f>ROUND(K54+(IF(L$6&lt;='Launch Readiness'!$B$7,0,IF((L$6-'Launch Readiness'!$B$7)&lt;'Launch Readiness'!$E$6,0,INDEX('Scenario Engine'!$N$30:$R$30,1,ROUNDUP((L$6-'Launch Readiness'!$B$7)/12,0))/MAX(1,INDEX('Launch Readiness'!$B$26:$F$26,1,ROUNDUP((L$6-'Launch Readiness'!$B$7)/12,0))))))-IF(L$6&lt;'Launch Readiness'!$E$6,0,INDEX('Scenario Engine'!$N$47:$R$47,1,L$7)/MAX(1,INDEX('Launch Readiness'!$B$26:$F$26,1,L$7)))-INDEX('Scenario Engine'!$N$52:$R$52,1,L$7)/12-((INDEX('Scenario Engine'!$N$53:$R$53,1,L$7)-'Launch Readiness'!$E$9*INDEX('Launch Readiness'!$B$34:$F$34,1,L$7)-'Launch Readiness'!$E$9*'Launch Readiness'!$B$10*INDEX('Launch Readiness'!$B$30:$F$30,1,L$7)-'Launch Readiness'!$E$16*INDEX('Launch Readiness'!$B$32:$F$32,1,L$7))/12+IF(AND(L$6&gt;='Launch Readiness'!$E$6,L$6&lt;'Launch Readiness'!$E$14),'Launch Readiness'!$E$9/12,0)+IF(AND(L$6&gt;='Launch Readiness'!$B$11,L$6&lt;'Launch Readiness'!$E$6),'Launch Readiness'!$E$9*'Launch Readiness'!$B$10/12,0)+IF(L$6&gt;='Launch Readiness'!$E$14,'Launch Readiness'!$E$16/12,0))-(IF(L$6&lt;=6,'Startup 6mo'!$F$44/6,0)+IF(L$6&lt;'Launch Readiness'!$E$6,'Launch Readiness'!$E$8/MAX(1,'Launch Readiness'!$E$7),0)+IF(L$6='Launch Readiness'!$G$14,'Launch Readiness'!$E$15,0)),0)</f>
        <v>-1000355</v>
      </c>
      <c r="M54" s="103">
        <f>ROUND(L54+(IF(M$6&lt;='Launch Readiness'!$B$7,0,IF((M$6-'Launch Readiness'!$B$7)&lt;'Launch Readiness'!$E$6,0,INDEX('Scenario Engine'!$N$30:$R$30,1,ROUNDUP((M$6-'Launch Readiness'!$B$7)/12,0))/MAX(1,INDEX('Launch Readiness'!$B$26:$F$26,1,ROUNDUP((M$6-'Launch Readiness'!$B$7)/12,0))))))-IF(M$6&lt;'Launch Readiness'!$E$6,0,INDEX('Scenario Engine'!$N$47:$R$47,1,M$7)/MAX(1,INDEX('Launch Readiness'!$B$26:$F$26,1,M$7)))-INDEX('Scenario Engine'!$N$52:$R$52,1,M$7)/12-((INDEX('Scenario Engine'!$N$53:$R$53,1,M$7)-'Launch Readiness'!$E$9*INDEX('Launch Readiness'!$B$34:$F$34,1,M$7)-'Launch Readiness'!$E$9*'Launch Readiness'!$B$10*INDEX('Launch Readiness'!$B$30:$F$30,1,M$7)-'Launch Readiness'!$E$16*INDEX('Launch Readiness'!$B$32:$F$32,1,M$7))/12+IF(AND(M$6&gt;='Launch Readiness'!$E$6,M$6&lt;'Launch Readiness'!$E$14),'Launch Readiness'!$E$9/12,0)+IF(AND(M$6&gt;='Launch Readiness'!$B$11,M$6&lt;'Launch Readiness'!$E$6),'Launch Readiness'!$E$9*'Launch Readiness'!$B$10/12,0)+IF(M$6&gt;='Launch Readiness'!$E$14,'Launch Readiness'!$E$16/12,0))-(IF(M$6&lt;=6,'Startup 6mo'!$F$44/6,0)+IF(M$6&lt;'Launch Readiness'!$E$6,'Launch Readiness'!$E$8/MAX(1,'Launch Readiness'!$E$7),0)+IF(M$6='Launch Readiness'!$G$14,'Launch Readiness'!$E$15,0)),0)</f>
        <v>-1068902</v>
      </c>
      <c r="N54" s="103">
        <f>ROUND(M54+(IF(N$6&lt;='Launch Readiness'!$B$7,0,IF((N$6-'Launch Readiness'!$B$7)&lt;'Launch Readiness'!$E$6,0,INDEX('Scenario Engine'!$N$30:$R$30,1,ROUNDUP((N$6-'Launch Readiness'!$B$7)/12,0))/MAX(1,INDEX('Launch Readiness'!$B$26:$F$26,1,ROUNDUP((N$6-'Launch Readiness'!$B$7)/12,0))))))-IF(N$6&lt;'Launch Readiness'!$E$6,0,INDEX('Scenario Engine'!$N$47:$R$47,1,N$7)/MAX(1,INDEX('Launch Readiness'!$B$26:$F$26,1,N$7)))-INDEX('Scenario Engine'!$N$52:$R$52,1,N$7)/12-((INDEX('Scenario Engine'!$N$53:$R$53,1,N$7)-'Launch Readiness'!$E$9*INDEX('Launch Readiness'!$B$34:$F$34,1,N$7)-'Launch Readiness'!$E$9*'Launch Readiness'!$B$10*INDEX('Launch Readiness'!$B$30:$F$30,1,N$7)-'Launch Readiness'!$E$16*INDEX('Launch Readiness'!$B$32:$F$32,1,N$7))/12+IF(AND(N$6&gt;='Launch Readiness'!$E$6,N$6&lt;'Launch Readiness'!$E$14),'Launch Readiness'!$E$9/12,0)+IF(AND(N$6&gt;='Launch Readiness'!$B$11,N$6&lt;'Launch Readiness'!$E$6),'Launch Readiness'!$E$9*'Launch Readiness'!$B$10/12,0)+IF(N$6&gt;='Launch Readiness'!$E$14,'Launch Readiness'!$E$16/12,0))-(IF(N$6&lt;=6,'Startup 6mo'!$F$44/6,0)+IF(N$6&lt;'Launch Readiness'!$E$6,'Launch Readiness'!$E$8/MAX(1,'Launch Readiness'!$E$7),0)+IF(N$6='Launch Readiness'!$G$14,'Launch Readiness'!$E$15,0)),0)</f>
        <v>-1169007</v>
      </c>
      <c r="O54" s="103">
        <f>ROUND(N54+(IF(O$6&lt;='Launch Readiness'!$B$7,0,IF((O$6-'Launch Readiness'!$B$7)&lt;'Launch Readiness'!$E$6,0,INDEX('Scenario Engine'!$N$30:$R$30,1,ROUNDUP((O$6-'Launch Readiness'!$B$7)/12,0))/MAX(1,INDEX('Launch Readiness'!$B$26:$F$26,1,ROUNDUP((O$6-'Launch Readiness'!$B$7)/12,0))))))-IF(O$6&lt;'Launch Readiness'!$E$6,0,INDEX('Scenario Engine'!$N$47:$R$47,1,O$7)/MAX(1,INDEX('Launch Readiness'!$B$26:$F$26,1,O$7)))-INDEX('Scenario Engine'!$N$52:$R$52,1,O$7)/12-((INDEX('Scenario Engine'!$N$53:$R$53,1,O$7)-'Launch Readiness'!$E$9*INDEX('Launch Readiness'!$B$34:$F$34,1,O$7)-'Launch Readiness'!$E$9*'Launch Readiness'!$B$10*INDEX('Launch Readiness'!$B$30:$F$30,1,O$7)-'Launch Readiness'!$E$16*INDEX('Launch Readiness'!$B$32:$F$32,1,O$7))/12+IF(AND(O$6&gt;='Launch Readiness'!$E$6,O$6&lt;'Launch Readiness'!$E$14),'Launch Readiness'!$E$9/12,0)+IF(AND(O$6&gt;='Launch Readiness'!$B$11,O$6&lt;'Launch Readiness'!$E$6),'Launch Readiness'!$E$9*'Launch Readiness'!$B$10/12,0)+IF(O$6&gt;='Launch Readiness'!$E$14,'Launch Readiness'!$E$16/12,0))-(IF(O$6&lt;=6,'Startup 6mo'!$F$44/6,0)+IF(O$6&lt;'Launch Readiness'!$E$6,'Launch Readiness'!$E$8/MAX(1,'Launch Readiness'!$E$7),0)+IF(O$6='Launch Readiness'!$G$14,'Launch Readiness'!$E$15,0)),0)</f>
        <v>-1214253</v>
      </c>
      <c r="P54" s="103">
        <f>ROUND(O54+(IF(P$6&lt;='Launch Readiness'!$B$7,0,IF((P$6-'Launch Readiness'!$B$7)&lt;'Launch Readiness'!$E$6,0,INDEX('Scenario Engine'!$N$30:$R$30,1,ROUNDUP((P$6-'Launch Readiness'!$B$7)/12,0))/MAX(1,INDEX('Launch Readiness'!$B$26:$F$26,1,ROUNDUP((P$6-'Launch Readiness'!$B$7)/12,0))))))-IF(P$6&lt;'Launch Readiness'!$E$6,0,INDEX('Scenario Engine'!$N$47:$R$47,1,P$7)/MAX(1,INDEX('Launch Readiness'!$B$26:$F$26,1,P$7)))-INDEX('Scenario Engine'!$N$52:$R$52,1,P$7)/12-((INDEX('Scenario Engine'!$N$53:$R$53,1,P$7)-'Launch Readiness'!$E$9*INDEX('Launch Readiness'!$B$34:$F$34,1,P$7)-'Launch Readiness'!$E$9*'Launch Readiness'!$B$10*INDEX('Launch Readiness'!$B$30:$F$30,1,P$7)-'Launch Readiness'!$E$16*INDEX('Launch Readiness'!$B$32:$F$32,1,P$7))/12+IF(AND(P$6&gt;='Launch Readiness'!$E$6,P$6&lt;'Launch Readiness'!$E$14),'Launch Readiness'!$E$9/12,0)+IF(AND(P$6&gt;='Launch Readiness'!$B$11,P$6&lt;'Launch Readiness'!$E$6),'Launch Readiness'!$E$9*'Launch Readiness'!$B$10/12,0)+IF(P$6&gt;='Launch Readiness'!$E$14,'Launch Readiness'!$E$16/12,0))-(IF(P$6&lt;=6,'Startup 6mo'!$F$44/6,0)+IF(P$6&lt;'Launch Readiness'!$E$6,'Launch Readiness'!$E$8/MAX(1,'Launch Readiness'!$E$7),0)+IF(P$6='Launch Readiness'!$G$14,'Launch Readiness'!$E$15,0)),0)</f>
        <v>-1259499</v>
      </c>
      <c r="Q54" s="103">
        <f>ROUND(P54+(IF(Q$6&lt;='Launch Readiness'!$B$7,0,IF((Q$6-'Launch Readiness'!$B$7)&lt;'Launch Readiness'!$E$6,0,INDEX('Scenario Engine'!$N$30:$R$30,1,ROUNDUP((Q$6-'Launch Readiness'!$B$7)/12,0))/MAX(1,INDEX('Launch Readiness'!$B$26:$F$26,1,ROUNDUP((Q$6-'Launch Readiness'!$B$7)/12,0))))))-IF(Q$6&lt;'Launch Readiness'!$E$6,0,INDEX('Scenario Engine'!$N$47:$R$47,1,Q$7)/MAX(1,INDEX('Launch Readiness'!$B$26:$F$26,1,Q$7)))-INDEX('Scenario Engine'!$N$52:$R$52,1,Q$7)/12-((INDEX('Scenario Engine'!$N$53:$R$53,1,Q$7)-'Launch Readiness'!$E$9*INDEX('Launch Readiness'!$B$34:$F$34,1,Q$7)-'Launch Readiness'!$E$9*'Launch Readiness'!$B$10*INDEX('Launch Readiness'!$B$30:$F$30,1,Q$7)-'Launch Readiness'!$E$16*INDEX('Launch Readiness'!$B$32:$F$32,1,Q$7))/12+IF(AND(Q$6&gt;='Launch Readiness'!$E$6,Q$6&lt;'Launch Readiness'!$E$14),'Launch Readiness'!$E$9/12,0)+IF(AND(Q$6&gt;='Launch Readiness'!$B$11,Q$6&lt;'Launch Readiness'!$E$6),'Launch Readiness'!$E$9*'Launch Readiness'!$B$10/12,0)+IF(Q$6&gt;='Launch Readiness'!$E$14,'Launch Readiness'!$E$16/12,0))-(IF(Q$6&lt;=6,'Startup 6mo'!$F$44/6,0)+IF(Q$6&lt;'Launch Readiness'!$E$6,'Launch Readiness'!$E$8/MAX(1,'Launch Readiness'!$E$7),0)+IF(Q$6='Launch Readiness'!$G$14,'Launch Readiness'!$E$15,0)),0)</f>
        <v>-1304745</v>
      </c>
      <c r="R54" s="103">
        <f>ROUND(Q54+(IF(R$6&lt;='Launch Readiness'!$B$7,0,IF((R$6-'Launch Readiness'!$B$7)&lt;'Launch Readiness'!$E$6,0,INDEX('Scenario Engine'!$N$30:$R$30,1,ROUNDUP((R$6-'Launch Readiness'!$B$7)/12,0))/MAX(1,INDEX('Launch Readiness'!$B$26:$F$26,1,ROUNDUP((R$6-'Launch Readiness'!$B$7)/12,0))))))-IF(R$6&lt;'Launch Readiness'!$E$6,0,INDEX('Scenario Engine'!$N$47:$R$47,1,R$7)/MAX(1,INDEX('Launch Readiness'!$B$26:$F$26,1,R$7)))-INDEX('Scenario Engine'!$N$52:$R$52,1,R$7)/12-((INDEX('Scenario Engine'!$N$53:$R$53,1,R$7)-'Launch Readiness'!$E$9*INDEX('Launch Readiness'!$B$34:$F$34,1,R$7)-'Launch Readiness'!$E$9*'Launch Readiness'!$B$10*INDEX('Launch Readiness'!$B$30:$F$30,1,R$7)-'Launch Readiness'!$E$16*INDEX('Launch Readiness'!$B$32:$F$32,1,R$7))/12+IF(AND(R$6&gt;='Launch Readiness'!$E$6,R$6&lt;'Launch Readiness'!$E$14),'Launch Readiness'!$E$9/12,0)+IF(AND(R$6&gt;='Launch Readiness'!$B$11,R$6&lt;'Launch Readiness'!$E$6),'Launch Readiness'!$E$9*'Launch Readiness'!$B$10/12,0)+IF(R$6&gt;='Launch Readiness'!$E$14,'Launch Readiness'!$E$16/12,0))-(IF(R$6&lt;=6,'Startup 6mo'!$F$44/6,0)+IF(R$6&lt;'Launch Readiness'!$E$6,'Launch Readiness'!$E$8/MAX(1,'Launch Readiness'!$E$7),0)+IF(R$6='Launch Readiness'!$G$14,'Launch Readiness'!$E$15,0)),0)</f>
        <v>-1349991</v>
      </c>
      <c r="S54" s="103">
        <f>ROUND(R54+(IF(S$6&lt;='Launch Readiness'!$B$7,0,IF((S$6-'Launch Readiness'!$B$7)&lt;'Launch Readiness'!$E$6,0,INDEX('Scenario Engine'!$N$30:$R$30,1,ROUNDUP((S$6-'Launch Readiness'!$B$7)/12,0))/MAX(1,INDEX('Launch Readiness'!$B$26:$F$26,1,ROUNDUP((S$6-'Launch Readiness'!$B$7)/12,0))))))-IF(S$6&lt;'Launch Readiness'!$E$6,0,INDEX('Scenario Engine'!$N$47:$R$47,1,S$7)/MAX(1,INDEX('Launch Readiness'!$B$26:$F$26,1,S$7)))-INDEX('Scenario Engine'!$N$52:$R$52,1,S$7)/12-((INDEX('Scenario Engine'!$N$53:$R$53,1,S$7)-'Launch Readiness'!$E$9*INDEX('Launch Readiness'!$B$34:$F$34,1,S$7)-'Launch Readiness'!$E$9*'Launch Readiness'!$B$10*INDEX('Launch Readiness'!$B$30:$F$30,1,S$7)-'Launch Readiness'!$E$16*INDEX('Launch Readiness'!$B$32:$F$32,1,S$7))/12+IF(AND(S$6&gt;='Launch Readiness'!$E$6,S$6&lt;'Launch Readiness'!$E$14),'Launch Readiness'!$E$9/12,0)+IF(AND(S$6&gt;='Launch Readiness'!$B$11,S$6&lt;'Launch Readiness'!$E$6),'Launch Readiness'!$E$9*'Launch Readiness'!$B$10/12,0)+IF(S$6&gt;='Launch Readiness'!$E$14,'Launch Readiness'!$E$16/12,0))-(IF(S$6&lt;=6,'Startup 6mo'!$F$44/6,0)+IF(S$6&lt;'Launch Readiness'!$E$6,'Launch Readiness'!$E$8/MAX(1,'Launch Readiness'!$E$7),0)+IF(S$6='Launch Readiness'!$G$14,'Launch Readiness'!$E$15,0)),0)</f>
        <v>-1437783</v>
      </c>
      <c r="T54" s="103">
        <f>ROUND(S54+(IF(T$6&lt;='Launch Readiness'!$B$7,0,IF((T$6-'Launch Readiness'!$B$7)&lt;'Launch Readiness'!$E$6,0,INDEX('Scenario Engine'!$N$30:$R$30,1,ROUNDUP((T$6-'Launch Readiness'!$B$7)/12,0))/MAX(1,INDEX('Launch Readiness'!$B$26:$F$26,1,ROUNDUP((T$6-'Launch Readiness'!$B$7)/12,0))))))-IF(T$6&lt;'Launch Readiness'!$E$6,0,INDEX('Scenario Engine'!$N$47:$R$47,1,T$7)/MAX(1,INDEX('Launch Readiness'!$B$26:$F$26,1,T$7)))-INDEX('Scenario Engine'!$N$52:$R$52,1,T$7)/12-((INDEX('Scenario Engine'!$N$53:$R$53,1,T$7)-'Launch Readiness'!$E$9*INDEX('Launch Readiness'!$B$34:$F$34,1,T$7)-'Launch Readiness'!$E$9*'Launch Readiness'!$B$10*INDEX('Launch Readiness'!$B$30:$F$30,1,T$7)-'Launch Readiness'!$E$16*INDEX('Launch Readiness'!$B$32:$F$32,1,T$7))/12+IF(AND(T$6&gt;='Launch Readiness'!$E$6,T$6&lt;'Launch Readiness'!$E$14),'Launch Readiness'!$E$9/12,0)+IF(AND(T$6&gt;='Launch Readiness'!$B$11,T$6&lt;'Launch Readiness'!$E$6),'Launch Readiness'!$E$9*'Launch Readiness'!$B$10/12,0)+IF(T$6&gt;='Launch Readiness'!$E$14,'Launch Readiness'!$E$16/12,0))-(IF(T$6&lt;=6,'Startup 6mo'!$F$44/6,0)+IF(T$6&lt;'Launch Readiness'!$E$6,'Launch Readiness'!$E$8/MAX(1,'Launch Readiness'!$E$7),0)+IF(T$6='Launch Readiness'!$G$14,'Launch Readiness'!$E$15,0)),0)</f>
        <v>-1483029</v>
      </c>
      <c r="U54" s="103">
        <f>ROUND(T54+(IF(U$6&lt;='Launch Readiness'!$B$7,0,IF((U$6-'Launch Readiness'!$B$7)&lt;'Launch Readiness'!$E$6,0,INDEX('Scenario Engine'!$N$30:$R$30,1,ROUNDUP((U$6-'Launch Readiness'!$B$7)/12,0))/MAX(1,INDEX('Launch Readiness'!$B$26:$F$26,1,ROUNDUP((U$6-'Launch Readiness'!$B$7)/12,0))))))-IF(U$6&lt;'Launch Readiness'!$E$6,0,INDEX('Scenario Engine'!$N$47:$R$47,1,U$7)/MAX(1,INDEX('Launch Readiness'!$B$26:$F$26,1,U$7)))-INDEX('Scenario Engine'!$N$52:$R$52,1,U$7)/12-((INDEX('Scenario Engine'!$N$53:$R$53,1,U$7)-'Launch Readiness'!$E$9*INDEX('Launch Readiness'!$B$34:$F$34,1,U$7)-'Launch Readiness'!$E$9*'Launch Readiness'!$B$10*INDEX('Launch Readiness'!$B$30:$F$30,1,U$7)-'Launch Readiness'!$E$16*INDEX('Launch Readiness'!$B$32:$F$32,1,U$7))/12+IF(AND(U$6&gt;='Launch Readiness'!$E$6,U$6&lt;'Launch Readiness'!$E$14),'Launch Readiness'!$E$9/12,0)+IF(AND(U$6&gt;='Launch Readiness'!$B$11,U$6&lt;'Launch Readiness'!$E$6),'Launch Readiness'!$E$9*'Launch Readiness'!$B$10/12,0)+IF(U$6&gt;='Launch Readiness'!$E$14,'Launch Readiness'!$E$16/12,0))-(IF(U$6&lt;=6,'Startup 6mo'!$F$44/6,0)+IF(U$6&lt;'Launch Readiness'!$E$6,'Launch Readiness'!$E$8/MAX(1,'Launch Readiness'!$E$7),0)+IF(U$6='Launch Readiness'!$G$14,'Launch Readiness'!$E$15,0)),0)</f>
        <v>-1528275</v>
      </c>
      <c r="V54" s="103">
        <f>ROUND(U54+(IF(V$6&lt;='Launch Readiness'!$B$7,0,IF((V$6-'Launch Readiness'!$B$7)&lt;'Launch Readiness'!$E$6,0,INDEX('Scenario Engine'!$N$30:$R$30,1,ROUNDUP((V$6-'Launch Readiness'!$B$7)/12,0))/MAX(1,INDEX('Launch Readiness'!$B$26:$F$26,1,ROUNDUP((V$6-'Launch Readiness'!$B$7)/12,0))))))-IF(V$6&lt;'Launch Readiness'!$E$6,0,INDEX('Scenario Engine'!$N$47:$R$47,1,V$7)/MAX(1,INDEX('Launch Readiness'!$B$26:$F$26,1,V$7)))-INDEX('Scenario Engine'!$N$52:$R$52,1,V$7)/12-((INDEX('Scenario Engine'!$N$53:$R$53,1,V$7)-'Launch Readiness'!$E$9*INDEX('Launch Readiness'!$B$34:$F$34,1,V$7)-'Launch Readiness'!$E$9*'Launch Readiness'!$B$10*INDEX('Launch Readiness'!$B$30:$F$30,1,V$7)-'Launch Readiness'!$E$16*INDEX('Launch Readiness'!$B$32:$F$32,1,V$7))/12+IF(AND(V$6&gt;='Launch Readiness'!$E$6,V$6&lt;'Launch Readiness'!$E$14),'Launch Readiness'!$E$9/12,0)+IF(AND(V$6&gt;='Launch Readiness'!$B$11,V$6&lt;'Launch Readiness'!$E$6),'Launch Readiness'!$E$9*'Launch Readiness'!$B$10/12,0)+IF(V$6&gt;='Launch Readiness'!$E$14,'Launch Readiness'!$E$16/12,0))-(IF(V$6&lt;=6,'Startup 6mo'!$F$44/6,0)+IF(V$6&lt;'Launch Readiness'!$E$6,'Launch Readiness'!$E$8/MAX(1,'Launch Readiness'!$E$7),0)+IF(V$6='Launch Readiness'!$G$14,'Launch Readiness'!$E$15,0)),0)</f>
        <v>-1573521</v>
      </c>
      <c r="W54" s="103">
        <f>ROUND(V54+(IF(W$6&lt;='Launch Readiness'!$B$7,0,IF((W$6-'Launch Readiness'!$B$7)&lt;'Launch Readiness'!$E$6,0,INDEX('Scenario Engine'!$N$30:$R$30,1,ROUNDUP((W$6-'Launch Readiness'!$B$7)/12,0))/MAX(1,INDEX('Launch Readiness'!$B$26:$F$26,1,ROUNDUP((W$6-'Launch Readiness'!$B$7)/12,0))))))-IF(W$6&lt;'Launch Readiness'!$E$6,0,INDEX('Scenario Engine'!$N$47:$R$47,1,W$7)/MAX(1,INDEX('Launch Readiness'!$B$26:$F$26,1,W$7)))-INDEX('Scenario Engine'!$N$52:$R$52,1,W$7)/12-((INDEX('Scenario Engine'!$N$53:$R$53,1,W$7)-'Launch Readiness'!$E$9*INDEX('Launch Readiness'!$B$34:$F$34,1,W$7)-'Launch Readiness'!$E$9*'Launch Readiness'!$B$10*INDEX('Launch Readiness'!$B$30:$F$30,1,W$7)-'Launch Readiness'!$E$16*INDEX('Launch Readiness'!$B$32:$F$32,1,W$7))/12+IF(AND(W$6&gt;='Launch Readiness'!$E$6,W$6&lt;'Launch Readiness'!$E$14),'Launch Readiness'!$E$9/12,0)+IF(AND(W$6&gt;='Launch Readiness'!$B$11,W$6&lt;'Launch Readiness'!$E$6),'Launch Readiness'!$E$9*'Launch Readiness'!$B$10/12,0)+IF(W$6&gt;='Launch Readiness'!$E$14,'Launch Readiness'!$E$16/12,0))-(IF(W$6&lt;=6,'Startup 6mo'!$F$44/6,0)+IF(W$6&lt;'Launch Readiness'!$E$6,'Launch Readiness'!$E$8/MAX(1,'Launch Readiness'!$E$7),0)+IF(W$6='Launch Readiness'!$G$14,'Launch Readiness'!$E$15,0)),0)</f>
        <v>-1618767</v>
      </c>
      <c r="X54" s="103">
        <f>ROUND(W54+(IF(X$6&lt;='Launch Readiness'!$B$7,0,IF((X$6-'Launch Readiness'!$B$7)&lt;'Launch Readiness'!$E$6,0,INDEX('Scenario Engine'!$N$30:$R$30,1,ROUNDUP((X$6-'Launch Readiness'!$B$7)/12,0))/MAX(1,INDEX('Launch Readiness'!$B$26:$F$26,1,ROUNDUP((X$6-'Launch Readiness'!$B$7)/12,0))))))-IF(X$6&lt;'Launch Readiness'!$E$6,0,INDEX('Scenario Engine'!$N$47:$R$47,1,X$7)/MAX(1,INDEX('Launch Readiness'!$B$26:$F$26,1,X$7)))-INDEX('Scenario Engine'!$N$52:$R$52,1,X$7)/12-((INDEX('Scenario Engine'!$N$53:$R$53,1,X$7)-'Launch Readiness'!$E$9*INDEX('Launch Readiness'!$B$34:$F$34,1,X$7)-'Launch Readiness'!$E$9*'Launch Readiness'!$B$10*INDEX('Launch Readiness'!$B$30:$F$30,1,X$7)-'Launch Readiness'!$E$16*INDEX('Launch Readiness'!$B$32:$F$32,1,X$7))/12+IF(AND(X$6&gt;='Launch Readiness'!$E$6,X$6&lt;'Launch Readiness'!$E$14),'Launch Readiness'!$E$9/12,0)+IF(AND(X$6&gt;='Launch Readiness'!$B$11,X$6&lt;'Launch Readiness'!$E$6),'Launch Readiness'!$E$9*'Launch Readiness'!$B$10/12,0)+IF(X$6&gt;='Launch Readiness'!$E$14,'Launch Readiness'!$E$16/12,0))-(IF(X$6&lt;=6,'Startup 6mo'!$F$44/6,0)+IF(X$6&lt;'Launch Readiness'!$E$6,'Launch Readiness'!$E$8/MAX(1,'Launch Readiness'!$E$7),0)+IF(X$6='Launch Readiness'!$G$14,'Launch Readiness'!$E$15,0)),0)</f>
        <v>-1664013</v>
      </c>
      <c r="Y54" s="103">
        <f>ROUND(X54+(IF(Y$6&lt;='Launch Readiness'!$B$7,0,IF((Y$6-'Launch Readiness'!$B$7)&lt;'Launch Readiness'!$E$6,0,INDEX('Scenario Engine'!$N$30:$R$30,1,ROUNDUP((Y$6-'Launch Readiness'!$B$7)/12,0))/MAX(1,INDEX('Launch Readiness'!$B$26:$F$26,1,ROUNDUP((Y$6-'Launch Readiness'!$B$7)/12,0))))))-IF(Y$6&lt;'Launch Readiness'!$E$6,0,INDEX('Scenario Engine'!$N$47:$R$47,1,Y$7)/MAX(1,INDEX('Launch Readiness'!$B$26:$F$26,1,Y$7)))-INDEX('Scenario Engine'!$N$52:$R$52,1,Y$7)/12-((INDEX('Scenario Engine'!$N$53:$R$53,1,Y$7)-'Launch Readiness'!$E$9*INDEX('Launch Readiness'!$B$34:$F$34,1,Y$7)-'Launch Readiness'!$E$9*'Launch Readiness'!$B$10*INDEX('Launch Readiness'!$B$30:$F$30,1,Y$7)-'Launch Readiness'!$E$16*INDEX('Launch Readiness'!$B$32:$F$32,1,Y$7))/12+IF(AND(Y$6&gt;='Launch Readiness'!$E$6,Y$6&lt;'Launch Readiness'!$E$14),'Launch Readiness'!$E$9/12,0)+IF(AND(Y$6&gt;='Launch Readiness'!$B$11,Y$6&lt;'Launch Readiness'!$E$6),'Launch Readiness'!$E$9*'Launch Readiness'!$B$10/12,0)+IF(Y$6&gt;='Launch Readiness'!$E$14,'Launch Readiness'!$E$16/12,0))-(IF(Y$6&lt;=6,'Startup 6mo'!$F$44/6,0)+IF(Y$6&lt;'Launch Readiness'!$E$6,'Launch Readiness'!$E$8/MAX(1,'Launch Readiness'!$E$7),0)+IF(Y$6='Launch Readiness'!$G$14,'Launch Readiness'!$E$15,0)),0)</f>
        <v>-1709259</v>
      </c>
      <c r="Z54" s="103">
        <f>ROUND(Y54+(IF(Z$6&lt;='Launch Readiness'!$B$7,0,IF((Z$6-'Launch Readiness'!$B$7)&lt;'Launch Readiness'!$E$6,0,INDEX('Scenario Engine'!$N$30:$R$30,1,ROUNDUP((Z$6-'Launch Readiness'!$B$7)/12,0))/MAX(1,INDEX('Launch Readiness'!$B$26:$F$26,1,ROUNDUP((Z$6-'Launch Readiness'!$B$7)/12,0))))))-IF(Z$6&lt;'Launch Readiness'!$E$6,0,INDEX('Scenario Engine'!$N$47:$R$47,1,Z$7)/MAX(1,INDEX('Launch Readiness'!$B$26:$F$26,1,Z$7)))-INDEX('Scenario Engine'!$N$52:$R$52,1,Z$7)/12-((INDEX('Scenario Engine'!$N$53:$R$53,1,Z$7)-'Launch Readiness'!$E$9*INDEX('Launch Readiness'!$B$34:$F$34,1,Z$7)-'Launch Readiness'!$E$9*'Launch Readiness'!$B$10*INDEX('Launch Readiness'!$B$30:$F$30,1,Z$7)-'Launch Readiness'!$E$16*INDEX('Launch Readiness'!$B$32:$F$32,1,Z$7))/12+IF(AND(Z$6&gt;='Launch Readiness'!$E$6,Z$6&lt;'Launch Readiness'!$E$14),'Launch Readiness'!$E$9/12,0)+IF(AND(Z$6&gt;='Launch Readiness'!$B$11,Z$6&lt;'Launch Readiness'!$E$6),'Launch Readiness'!$E$9*'Launch Readiness'!$B$10/12,0)+IF(Z$6&gt;='Launch Readiness'!$E$14,'Launch Readiness'!$E$16/12,0))-(IF(Z$6&lt;=6,'Startup 6mo'!$F$44/6,0)+IF(Z$6&lt;'Launch Readiness'!$E$6,'Launch Readiness'!$E$8/MAX(1,'Launch Readiness'!$E$7),0)+IF(Z$6='Launch Readiness'!$G$14,'Launch Readiness'!$E$15,0)),0)</f>
        <v>-1796675</v>
      </c>
      <c r="AA54" s="103">
        <f>ROUND(Z54+(IF(AA$6&lt;='Launch Readiness'!$B$7,0,IF((AA$6-'Launch Readiness'!$B$7)&lt;'Launch Readiness'!$E$6,0,INDEX('Scenario Engine'!$N$30:$R$30,1,ROUNDUP((AA$6-'Launch Readiness'!$B$7)/12,0))/MAX(1,INDEX('Launch Readiness'!$B$26:$F$26,1,ROUNDUP((AA$6-'Launch Readiness'!$B$7)/12,0))))))-IF(AA$6&lt;'Launch Readiness'!$E$6,0,INDEX('Scenario Engine'!$N$47:$R$47,1,AA$7)/MAX(1,INDEX('Launch Readiness'!$B$26:$F$26,1,AA$7)))-INDEX('Scenario Engine'!$N$52:$R$52,1,AA$7)/12-((INDEX('Scenario Engine'!$N$53:$R$53,1,AA$7)-'Launch Readiness'!$E$9*INDEX('Launch Readiness'!$B$34:$F$34,1,AA$7)-'Launch Readiness'!$E$9*'Launch Readiness'!$B$10*INDEX('Launch Readiness'!$B$30:$F$30,1,AA$7)-'Launch Readiness'!$E$16*INDEX('Launch Readiness'!$B$32:$F$32,1,AA$7))/12+IF(AND(AA$6&gt;='Launch Readiness'!$E$6,AA$6&lt;'Launch Readiness'!$E$14),'Launch Readiness'!$E$9/12,0)+IF(AND(AA$6&gt;='Launch Readiness'!$B$11,AA$6&lt;'Launch Readiness'!$E$6),'Launch Readiness'!$E$9*'Launch Readiness'!$B$10/12,0)+IF(AA$6&gt;='Launch Readiness'!$E$14,'Launch Readiness'!$E$16/12,0))-(IF(AA$6&lt;=6,'Startup 6mo'!$F$44/6,0)+IF(AA$6&lt;'Launch Readiness'!$E$6,'Launch Readiness'!$E$8/MAX(1,'Launch Readiness'!$E$7),0)+IF(AA$6='Launch Readiness'!$G$14,'Launch Readiness'!$E$15,0)),0)</f>
        <v>-1783904</v>
      </c>
      <c r="AB54" s="103">
        <f>ROUND(AA54+(IF(AB$6&lt;='Launch Readiness'!$B$7,0,IF((AB$6-'Launch Readiness'!$B$7)&lt;'Launch Readiness'!$E$6,0,INDEX('Scenario Engine'!$N$30:$R$30,1,ROUNDUP((AB$6-'Launch Readiness'!$B$7)/12,0))/MAX(1,INDEX('Launch Readiness'!$B$26:$F$26,1,ROUNDUP((AB$6-'Launch Readiness'!$B$7)/12,0))))))-IF(AB$6&lt;'Launch Readiness'!$E$6,0,INDEX('Scenario Engine'!$N$47:$R$47,1,AB$7)/MAX(1,INDEX('Launch Readiness'!$B$26:$F$26,1,AB$7)))-INDEX('Scenario Engine'!$N$52:$R$52,1,AB$7)/12-((INDEX('Scenario Engine'!$N$53:$R$53,1,AB$7)-'Launch Readiness'!$E$9*INDEX('Launch Readiness'!$B$34:$F$34,1,AB$7)-'Launch Readiness'!$E$9*'Launch Readiness'!$B$10*INDEX('Launch Readiness'!$B$30:$F$30,1,AB$7)-'Launch Readiness'!$E$16*INDEX('Launch Readiness'!$B$32:$F$32,1,AB$7))/12+IF(AND(AB$6&gt;='Launch Readiness'!$E$6,AB$6&lt;'Launch Readiness'!$E$14),'Launch Readiness'!$E$9/12,0)+IF(AND(AB$6&gt;='Launch Readiness'!$B$11,AB$6&lt;'Launch Readiness'!$E$6),'Launch Readiness'!$E$9*'Launch Readiness'!$B$10/12,0)+IF(AB$6&gt;='Launch Readiness'!$E$14,'Launch Readiness'!$E$16/12,0))-(IF(AB$6&lt;=6,'Startup 6mo'!$F$44/6,0)+IF(AB$6&lt;'Launch Readiness'!$E$6,'Launch Readiness'!$E$8/MAX(1,'Launch Readiness'!$E$7),0)+IF(AB$6='Launch Readiness'!$G$14,'Launch Readiness'!$E$15,0)),0)</f>
        <v>-1771133</v>
      </c>
      <c r="AC54" s="103">
        <f>ROUND(AB54+(IF(AC$6&lt;='Launch Readiness'!$B$7,0,IF((AC$6-'Launch Readiness'!$B$7)&lt;'Launch Readiness'!$E$6,0,INDEX('Scenario Engine'!$N$30:$R$30,1,ROUNDUP((AC$6-'Launch Readiness'!$B$7)/12,0))/MAX(1,INDEX('Launch Readiness'!$B$26:$F$26,1,ROUNDUP((AC$6-'Launch Readiness'!$B$7)/12,0))))))-IF(AC$6&lt;'Launch Readiness'!$E$6,0,INDEX('Scenario Engine'!$N$47:$R$47,1,AC$7)/MAX(1,INDEX('Launch Readiness'!$B$26:$F$26,1,AC$7)))-INDEX('Scenario Engine'!$N$52:$R$52,1,AC$7)/12-((INDEX('Scenario Engine'!$N$53:$R$53,1,AC$7)-'Launch Readiness'!$E$9*INDEX('Launch Readiness'!$B$34:$F$34,1,AC$7)-'Launch Readiness'!$E$9*'Launch Readiness'!$B$10*INDEX('Launch Readiness'!$B$30:$F$30,1,AC$7)-'Launch Readiness'!$E$16*INDEX('Launch Readiness'!$B$32:$F$32,1,AC$7))/12+IF(AND(AC$6&gt;='Launch Readiness'!$E$6,AC$6&lt;'Launch Readiness'!$E$14),'Launch Readiness'!$E$9/12,0)+IF(AND(AC$6&gt;='Launch Readiness'!$B$11,AC$6&lt;'Launch Readiness'!$E$6),'Launch Readiness'!$E$9*'Launch Readiness'!$B$10/12,0)+IF(AC$6&gt;='Launch Readiness'!$E$14,'Launch Readiness'!$E$16/12,0))-(IF(AC$6&lt;=6,'Startup 6mo'!$F$44/6,0)+IF(AC$6&lt;'Launch Readiness'!$E$6,'Launch Readiness'!$E$8/MAX(1,'Launch Readiness'!$E$7),0)+IF(AC$6='Launch Readiness'!$G$14,'Launch Readiness'!$E$15,0)),0)</f>
        <v>-1758362</v>
      </c>
      <c r="AD54" s="103">
        <f>ROUND(AC54+(IF(AD$6&lt;='Launch Readiness'!$B$7,0,IF((AD$6-'Launch Readiness'!$B$7)&lt;'Launch Readiness'!$E$6,0,INDEX('Scenario Engine'!$N$30:$R$30,1,ROUNDUP((AD$6-'Launch Readiness'!$B$7)/12,0))/MAX(1,INDEX('Launch Readiness'!$B$26:$F$26,1,ROUNDUP((AD$6-'Launch Readiness'!$B$7)/12,0))))))-IF(AD$6&lt;'Launch Readiness'!$E$6,0,INDEX('Scenario Engine'!$N$47:$R$47,1,AD$7)/MAX(1,INDEX('Launch Readiness'!$B$26:$F$26,1,AD$7)))-INDEX('Scenario Engine'!$N$52:$R$52,1,AD$7)/12-((INDEX('Scenario Engine'!$N$53:$R$53,1,AD$7)-'Launch Readiness'!$E$9*INDEX('Launch Readiness'!$B$34:$F$34,1,AD$7)-'Launch Readiness'!$E$9*'Launch Readiness'!$B$10*INDEX('Launch Readiness'!$B$30:$F$30,1,AD$7)-'Launch Readiness'!$E$16*INDEX('Launch Readiness'!$B$32:$F$32,1,AD$7))/12+IF(AND(AD$6&gt;='Launch Readiness'!$E$6,AD$6&lt;'Launch Readiness'!$E$14),'Launch Readiness'!$E$9/12,0)+IF(AND(AD$6&gt;='Launch Readiness'!$B$11,AD$6&lt;'Launch Readiness'!$E$6),'Launch Readiness'!$E$9*'Launch Readiness'!$B$10/12,0)+IF(AD$6&gt;='Launch Readiness'!$E$14,'Launch Readiness'!$E$16/12,0))-(IF(AD$6&lt;=6,'Startup 6mo'!$F$44/6,0)+IF(AD$6&lt;'Launch Readiness'!$E$6,'Launch Readiness'!$E$8/MAX(1,'Launch Readiness'!$E$7),0)+IF(AD$6='Launch Readiness'!$G$14,'Launch Readiness'!$E$15,0)),0)</f>
        <v>-1745591</v>
      </c>
      <c r="AE54" s="103">
        <f>ROUND(AD54+(IF(AE$6&lt;='Launch Readiness'!$B$7,0,IF((AE$6-'Launch Readiness'!$B$7)&lt;'Launch Readiness'!$E$6,0,INDEX('Scenario Engine'!$N$30:$R$30,1,ROUNDUP((AE$6-'Launch Readiness'!$B$7)/12,0))/MAX(1,INDEX('Launch Readiness'!$B$26:$F$26,1,ROUNDUP((AE$6-'Launch Readiness'!$B$7)/12,0))))))-IF(AE$6&lt;'Launch Readiness'!$E$6,0,INDEX('Scenario Engine'!$N$47:$R$47,1,AE$7)/MAX(1,INDEX('Launch Readiness'!$B$26:$F$26,1,AE$7)))-INDEX('Scenario Engine'!$N$52:$R$52,1,AE$7)/12-((INDEX('Scenario Engine'!$N$53:$R$53,1,AE$7)-'Launch Readiness'!$E$9*INDEX('Launch Readiness'!$B$34:$F$34,1,AE$7)-'Launch Readiness'!$E$9*'Launch Readiness'!$B$10*INDEX('Launch Readiness'!$B$30:$F$30,1,AE$7)-'Launch Readiness'!$E$16*INDEX('Launch Readiness'!$B$32:$F$32,1,AE$7))/12+IF(AND(AE$6&gt;='Launch Readiness'!$E$6,AE$6&lt;'Launch Readiness'!$E$14),'Launch Readiness'!$E$9/12,0)+IF(AND(AE$6&gt;='Launch Readiness'!$B$11,AE$6&lt;'Launch Readiness'!$E$6),'Launch Readiness'!$E$9*'Launch Readiness'!$B$10/12,0)+IF(AE$6&gt;='Launch Readiness'!$E$14,'Launch Readiness'!$E$16/12,0))-(IF(AE$6&lt;=6,'Startup 6mo'!$F$44/6,0)+IF(AE$6&lt;'Launch Readiness'!$E$6,'Launch Readiness'!$E$8/MAX(1,'Launch Readiness'!$E$7),0)+IF(AE$6='Launch Readiness'!$G$14,'Launch Readiness'!$E$15,0)),0)</f>
        <v>-1735746</v>
      </c>
      <c r="AF54" s="103">
        <f>ROUND(AE54+(IF(AF$6&lt;='Launch Readiness'!$B$7,0,IF((AF$6-'Launch Readiness'!$B$7)&lt;'Launch Readiness'!$E$6,0,INDEX('Scenario Engine'!$N$30:$R$30,1,ROUNDUP((AF$6-'Launch Readiness'!$B$7)/12,0))/MAX(1,INDEX('Launch Readiness'!$B$26:$F$26,1,ROUNDUP((AF$6-'Launch Readiness'!$B$7)/12,0))))))-IF(AF$6&lt;'Launch Readiness'!$E$6,0,INDEX('Scenario Engine'!$N$47:$R$47,1,AF$7)/MAX(1,INDEX('Launch Readiness'!$B$26:$F$26,1,AF$7)))-INDEX('Scenario Engine'!$N$52:$R$52,1,AF$7)/12-((INDEX('Scenario Engine'!$N$53:$R$53,1,AF$7)-'Launch Readiness'!$E$9*INDEX('Launch Readiness'!$B$34:$F$34,1,AF$7)-'Launch Readiness'!$E$9*'Launch Readiness'!$B$10*INDEX('Launch Readiness'!$B$30:$F$30,1,AF$7)-'Launch Readiness'!$E$16*INDEX('Launch Readiness'!$B$32:$F$32,1,AF$7))/12+IF(AND(AF$6&gt;='Launch Readiness'!$E$6,AF$6&lt;'Launch Readiness'!$E$14),'Launch Readiness'!$E$9/12,0)+IF(AND(AF$6&gt;='Launch Readiness'!$B$11,AF$6&lt;'Launch Readiness'!$E$6),'Launch Readiness'!$E$9*'Launch Readiness'!$B$10/12,0)+IF(AF$6&gt;='Launch Readiness'!$E$14,'Launch Readiness'!$E$16/12,0))-(IF(AF$6&lt;=6,'Startup 6mo'!$F$44/6,0)+IF(AF$6&lt;'Launch Readiness'!$E$6,'Launch Readiness'!$E$8/MAX(1,'Launch Readiness'!$E$7),0)+IF(AF$6='Launch Readiness'!$G$14,'Launch Readiness'!$E$15,0)),0)</f>
        <v>-1725901</v>
      </c>
      <c r="AG54" s="103">
        <f>ROUND(AF54+(IF(AG$6&lt;='Launch Readiness'!$B$7,0,IF((AG$6-'Launch Readiness'!$B$7)&lt;'Launch Readiness'!$E$6,0,INDEX('Scenario Engine'!$N$30:$R$30,1,ROUNDUP((AG$6-'Launch Readiness'!$B$7)/12,0))/MAX(1,INDEX('Launch Readiness'!$B$26:$F$26,1,ROUNDUP((AG$6-'Launch Readiness'!$B$7)/12,0))))))-IF(AG$6&lt;'Launch Readiness'!$E$6,0,INDEX('Scenario Engine'!$N$47:$R$47,1,AG$7)/MAX(1,INDEX('Launch Readiness'!$B$26:$F$26,1,AG$7)))-INDEX('Scenario Engine'!$N$52:$R$52,1,AG$7)/12-((INDEX('Scenario Engine'!$N$53:$R$53,1,AG$7)-'Launch Readiness'!$E$9*INDEX('Launch Readiness'!$B$34:$F$34,1,AG$7)-'Launch Readiness'!$E$9*'Launch Readiness'!$B$10*INDEX('Launch Readiness'!$B$30:$F$30,1,AG$7)-'Launch Readiness'!$E$16*INDEX('Launch Readiness'!$B$32:$F$32,1,AG$7))/12+IF(AND(AG$6&gt;='Launch Readiness'!$E$6,AG$6&lt;'Launch Readiness'!$E$14),'Launch Readiness'!$E$9/12,0)+IF(AND(AG$6&gt;='Launch Readiness'!$B$11,AG$6&lt;'Launch Readiness'!$E$6),'Launch Readiness'!$E$9*'Launch Readiness'!$B$10/12,0)+IF(AG$6&gt;='Launch Readiness'!$E$14,'Launch Readiness'!$E$16/12,0))-(IF(AG$6&lt;=6,'Startup 6mo'!$F$44/6,0)+IF(AG$6&lt;'Launch Readiness'!$E$6,'Launch Readiness'!$E$8/MAX(1,'Launch Readiness'!$E$7),0)+IF(AG$6='Launch Readiness'!$G$14,'Launch Readiness'!$E$15,0)),0)</f>
        <v>-1716056</v>
      </c>
      <c r="AH54" s="103">
        <f>ROUND(AG54+(IF(AH$6&lt;='Launch Readiness'!$B$7,0,IF((AH$6-'Launch Readiness'!$B$7)&lt;'Launch Readiness'!$E$6,0,INDEX('Scenario Engine'!$N$30:$R$30,1,ROUNDUP((AH$6-'Launch Readiness'!$B$7)/12,0))/MAX(1,INDEX('Launch Readiness'!$B$26:$F$26,1,ROUNDUP((AH$6-'Launch Readiness'!$B$7)/12,0))))))-IF(AH$6&lt;'Launch Readiness'!$E$6,0,INDEX('Scenario Engine'!$N$47:$R$47,1,AH$7)/MAX(1,INDEX('Launch Readiness'!$B$26:$F$26,1,AH$7)))-INDEX('Scenario Engine'!$N$52:$R$52,1,AH$7)/12-((INDEX('Scenario Engine'!$N$53:$R$53,1,AH$7)-'Launch Readiness'!$E$9*INDEX('Launch Readiness'!$B$34:$F$34,1,AH$7)-'Launch Readiness'!$E$9*'Launch Readiness'!$B$10*INDEX('Launch Readiness'!$B$30:$F$30,1,AH$7)-'Launch Readiness'!$E$16*INDEX('Launch Readiness'!$B$32:$F$32,1,AH$7))/12+IF(AND(AH$6&gt;='Launch Readiness'!$E$6,AH$6&lt;'Launch Readiness'!$E$14),'Launch Readiness'!$E$9/12,0)+IF(AND(AH$6&gt;='Launch Readiness'!$B$11,AH$6&lt;'Launch Readiness'!$E$6),'Launch Readiness'!$E$9*'Launch Readiness'!$B$10/12,0)+IF(AH$6&gt;='Launch Readiness'!$E$14,'Launch Readiness'!$E$16/12,0))-(IF(AH$6&lt;=6,'Startup 6mo'!$F$44/6,0)+IF(AH$6&lt;'Launch Readiness'!$E$6,'Launch Readiness'!$E$8/MAX(1,'Launch Readiness'!$E$7),0)+IF(AH$6='Launch Readiness'!$G$14,'Launch Readiness'!$E$15,0)),0)</f>
        <v>-1706211</v>
      </c>
      <c r="AI54" s="103">
        <f>ROUND(AH54+(IF(AI$6&lt;='Launch Readiness'!$B$7,0,IF((AI$6-'Launch Readiness'!$B$7)&lt;'Launch Readiness'!$E$6,0,INDEX('Scenario Engine'!$N$30:$R$30,1,ROUNDUP((AI$6-'Launch Readiness'!$B$7)/12,0))/MAX(1,INDEX('Launch Readiness'!$B$26:$F$26,1,ROUNDUP((AI$6-'Launch Readiness'!$B$7)/12,0))))))-IF(AI$6&lt;'Launch Readiness'!$E$6,0,INDEX('Scenario Engine'!$N$47:$R$47,1,AI$7)/MAX(1,INDEX('Launch Readiness'!$B$26:$F$26,1,AI$7)))-INDEX('Scenario Engine'!$N$52:$R$52,1,AI$7)/12-((INDEX('Scenario Engine'!$N$53:$R$53,1,AI$7)-'Launch Readiness'!$E$9*INDEX('Launch Readiness'!$B$34:$F$34,1,AI$7)-'Launch Readiness'!$E$9*'Launch Readiness'!$B$10*INDEX('Launch Readiness'!$B$30:$F$30,1,AI$7)-'Launch Readiness'!$E$16*INDEX('Launch Readiness'!$B$32:$F$32,1,AI$7))/12+IF(AND(AI$6&gt;='Launch Readiness'!$E$6,AI$6&lt;'Launch Readiness'!$E$14),'Launch Readiness'!$E$9/12,0)+IF(AND(AI$6&gt;='Launch Readiness'!$B$11,AI$6&lt;'Launch Readiness'!$E$6),'Launch Readiness'!$E$9*'Launch Readiness'!$B$10/12,0)+IF(AI$6&gt;='Launch Readiness'!$E$14,'Launch Readiness'!$E$16/12,0))-(IF(AI$6&lt;=6,'Startup 6mo'!$F$44/6,0)+IF(AI$6&lt;'Launch Readiness'!$E$6,'Launch Readiness'!$E$8/MAX(1,'Launch Readiness'!$E$7),0)+IF(AI$6='Launch Readiness'!$G$14,'Launch Readiness'!$E$15,0)),0)</f>
        <v>-1696366</v>
      </c>
      <c r="AJ54" s="103">
        <f>ROUND(AI54+(IF(AJ$6&lt;='Launch Readiness'!$B$7,0,IF((AJ$6-'Launch Readiness'!$B$7)&lt;'Launch Readiness'!$E$6,0,INDEX('Scenario Engine'!$N$30:$R$30,1,ROUNDUP((AJ$6-'Launch Readiness'!$B$7)/12,0))/MAX(1,INDEX('Launch Readiness'!$B$26:$F$26,1,ROUNDUP((AJ$6-'Launch Readiness'!$B$7)/12,0))))))-IF(AJ$6&lt;'Launch Readiness'!$E$6,0,INDEX('Scenario Engine'!$N$47:$R$47,1,AJ$7)/MAX(1,INDEX('Launch Readiness'!$B$26:$F$26,1,AJ$7)))-INDEX('Scenario Engine'!$N$52:$R$52,1,AJ$7)/12-((INDEX('Scenario Engine'!$N$53:$R$53,1,AJ$7)-'Launch Readiness'!$E$9*INDEX('Launch Readiness'!$B$34:$F$34,1,AJ$7)-'Launch Readiness'!$E$9*'Launch Readiness'!$B$10*INDEX('Launch Readiness'!$B$30:$F$30,1,AJ$7)-'Launch Readiness'!$E$16*INDEX('Launch Readiness'!$B$32:$F$32,1,AJ$7))/12+IF(AND(AJ$6&gt;='Launch Readiness'!$E$6,AJ$6&lt;'Launch Readiness'!$E$14),'Launch Readiness'!$E$9/12,0)+IF(AND(AJ$6&gt;='Launch Readiness'!$B$11,AJ$6&lt;'Launch Readiness'!$E$6),'Launch Readiness'!$E$9*'Launch Readiness'!$B$10/12,0)+IF(AJ$6&gt;='Launch Readiness'!$E$14,'Launch Readiness'!$E$16/12,0))-(IF(AJ$6&lt;=6,'Startup 6mo'!$F$44/6,0)+IF(AJ$6&lt;'Launch Readiness'!$E$6,'Launch Readiness'!$E$8/MAX(1,'Launch Readiness'!$E$7),0)+IF(AJ$6='Launch Readiness'!$G$14,'Launch Readiness'!$E$15,0)),0)</f>
        <v>-1686521</v>
      </c>
      <c r="AK54" s="103">
        <f>ROUND(AJ54+(IF(AK$6&lt;='Launch Readiness'!$B$7,0,IF((AK$6-'Launch Readiness'!$B$7)&lt;'Launch Readiness'!$E$6,0,INDEX('Scenario Engine'!$N$30:$R$30,1,ROUNDUP((AK$6-'Launch Readiness'!$B$7)/12,0))/MAX(1,INDEX('Launch Readiness'!$B$26:$F$26,1,ROUNDUP((AK$6-'Launch Readiness'!$B$7)/12,0))))))-IF(AK$6&lt;'Launch Readiness'!$E$6,0,INDEX('Scenario Engine'!$N$47:$R$47,1,AK$7)/MAX(1,INDEX('Launch Readiness'!$B$26:$F$26,1,AK$7)))-INDEX('Scenario Engine'!$N$52:$R$52,1,AK$7)/12-((INDEX('Scenario Engine'!$N$53:$R$53,1,AK$7)-'Launch Readiness'!$E$9*INDEX('Launch Readiness'!$B$34:$F$34,1,AK$7)-'Launch Readiness'!$E$9*'Launch Readiness'!$B$10*INDEX('Launch Readiness'!$B$30:$F$30,1,AK$7)-'Launch Readiness'!$E$16*INDEX('Launch Readiness'!$B$32:$F$32,1,AK$7))/12+IF(AND(AK$6&gt;='Launch Readiness'!$E$6,AK$6&lt;'Launch Readiness'!$E$14),'Launch Readiness'!$E$9/12,0)+IF(AND(AK$6&gt;='Launch Readiness'!$B$11,AK$6&lt;'Launch Readiness'!$E$6),'Launch Readiness'!$E$9*'Launch Readiness'!$B$10/12,0)+IF(AK$6&gt;='Launch Readiness'!$E$14,'Launch Readiness'!$E$16/12,0))-(IF(AK$6&lt;=6,'Startup 6mo'!$F$44/6,0)+IF(AK$6&lt;'Launch Readiness'!$E$6,'Launch Readiness'!$E$8/MAX(1,'Launch Readiness'!$E$7),0)+IF(AK$6='Launch Readiness'!$G$14,'Launch Readiness'!$E$15,0)),0)</f>
        <v>-1676676</v>
      </c>
      <c r="AL54" s="103">
        <f>ROUND(AK54+(IF(AL$6&lt;='Launch Readiness'!$B$7,0,IF((AL$6-'Launch Readiness'!$B$7)&lt;'Launch Readiness'!$E$6,0,INDEX('Scenario Engine'!$N$30:$R$30,1,ROUNDUP((AL$6-'Launch Readiness'!$B$7)/12,0))/MAX(1,INDEX('Launch Readiness'!$B$26:$F$26,1,ROUNDUP((AL$6-'Launch Readiness'!$B$7)/12,0))))))-IF(AL$6&lt;'Launch Readiness'!$E$6,0,INDEX('Scenario Engine'!$N$47:$R$47,1,AL$7)/MAX(1,INDEX('Launch Readiness'!$B$26:$F$26,1,AL$7)))-INDEX('Scenario Engine'!$N$52:$R$52,1,AL$7)/12-((INDEX('Scenario Engine'!$N$53:$R$53,1,AL$7)-'Launch Readiness'!$E$9*INDEX('Launch Readiness'!$B$34:$F$34,1,AL$7)-'Launch Readiness'!$E$9*'Launch Readiness'!$B$10*INDEX('Launch Readiness'!$B$30:$F$30,1,AL$7)-'Launch Readiness'!$E$16*INDEX('Launch Readiness'!$B$32:$F$32,1,AL$7))/12+IF(AND(AL$6&gt;='Launch Readiness'!$E$6,AL$6&lt;'Launch Readiness'!$E$14),'Launch Readiness'!$E$9/12,0)+IF(AND(AL$6&gt;='Launch Readiness'!$B$11,AL$6&lt;'Launch Readiness'!$E$6),'Launch Readiness'!$E$9*'Launch Readiness'!$B$10/12,0)+IF(AL$6&gt;='Launch Readiness'!$E$14,'Launch Readiness'!$E$16/12,0))-(IF(AL$6&lt;=6,'Startup 6mo'!$F$44/6,0)+IF(AL$6&lt;'Launch Readiness'!$E$6,'Launch Readiness'!$E$8/MAX(1,'Launch Readiness'!$E$7),0)+IF(AL$6='Launch Readiness'!$G$14,'Launch Readiness'!$E$15,0)),0)</f>
        <v>-1946199</v>
      </c>
      <c r="AM54" s="103">
        <f>ROUND(AL54+(IF(AM$6&lt;='Launch Readiness'!$B$7,0,IF((AM$6-'Launch Readiness'!$B$7)&lt;'Launch Readiness'!$E$6,0,INDEX('Scenario Engine'!$N$30:$R$30,1,ROUNDUP((AM$6-'Launch Readiness'!$B$7)/12,0))/MAX(1,INDEX('Launch Readiness'!$B$26:$F$26,1,ROUNDUP((AM$6-'Launch Readiness'!$B$7)/12,0))))))-IF(AM$6&lt;'Launch Readiness'!$E$6,0,INDEX('Scenario Engine'!$N$47:$R$47,1,AM$7)/MAX(1,INDEX('Launch Readiness'!$B$26:$F$26,1,AM$7)))-INDEX('Scenario Engine'!$N$52:$R$52,1,AM$7)/12-((INDEX('Scenario Engine'!$N$53:$R$53,1,AM$7)-'Launch Readiness'!$E$9*INDEX('Launch Readiness'!$B$34:$F$34,1,AM$7)-'Launch Readiness'!$E$9*'Launch Readiness'!$B$10*INDEX('Launch Readiness'!$B$30:$F$30,1,AM$7)-'Launch Readiness'!$E$16*INDEX('Launch Readiness'!$B$32:$F$32,1,AM$7))/12+IF(AND(AM$6&gt;='Launch Readiness'!$E$6,AM$6&lt;'Launch Readiness'!$E$14),'Launch Readiness'!$E$9/12,0)+IF(AND(AM$6&gt;='Launch Readiness'!$B$11,AM$6&lt;'Launch Readiness'!$E$6),'Launch Readiness'!$E$9*'Launch Readiness'!$B$10/12,0)+IF(AM$6&gt;='Launch Readiness'!$E$14,'Launch Readiness'!$E$16/12,0))-(IF(AM$6&lt;=6,'Startup 6mo'!$F$44/6,0)+IF(AM$6&lt;'Launch Readiness'!$E$6,'Launch Readiness'!$E$8/MAX(1,'Launch Readiness'!$E$7),0)+IF(AM$6='Launch Readiness'!$G$14,'Launch Readiness'!$E$15,0)),0)</f>
        <v>-1012568</v>
      </c>
      <c r="AN54" s="103">
        <f>ROUND(AM54+(IF(AN$6&lt;='Launch Readiness'!$B$7,0,IF((AN$6-'Launch Readiness'!$B$7)&lt;'Launch Readiness'!$E$6,0,INDEX('Scenario Engine'!$N$30:$R$30,1,ROUNDUP((AN$6-'Launch Readiness'!$B$7)/12,0))/MAX(1,INDEX('Launch Readiness'!$B$26:$F$26,1,ROUNDUP((AN$6-'Launch Readiness'!$B$7)/12,0))))))-IF(AN$6&lt;'Launch Readiness'!$E$6,0,INDEX('Scenario Engine'!$N$47:$R$47,1,AN$7)/MAX(1,INDEX('Launch Readiness'!$B$26:$F$26,1,AN$7)))-INDEX('Scenario Engine'!$N$52:$R$52,1,AN$7)/12-((INDEX('Scenario Engine'!$N$53:$R$53,1,AN$7)-'Launch Readiness'!$E$9*INDEX('Launch Readiness'!$B$34:$F$34,1,AN$7)-'Launch Readiness'!$E$9*'Launch Readiness'!$B$10*INDEX('Launch Readiness'!$B$30:$F$30,1,AN$7)-'Launch Readiness'!$E$16*INDEX('Launch Readiness'!$B$32:$F$32,1,AN$7))/12+IF(AND(AN$6&gt;='Launch Readiness'!$E$6,AN$6&lt;'Launch Readiness'!$E$14),'Launch Readiness'!$E$9/12,0)+IF(AND(AN$6&gt;='Launch Readiness'!$B$11,AN$6&lt;'Launch Readiness'!$E$6),'Launch Readiness'!$E$9*'Launch Readiness'!$B$10/12,0)+IF(AN$6&gt;='Launch Readiness'!$E$14,'Launch Readiness'!$E$16/12,0))-(IF(AN$6&lt;=6,'Startup 6mo'!$F$44/6,0)+IF(AN$6&lt;'Launch Readiness'!$E$6,'Launch Readiness'!$E$8/MAX(1,'Launch Readiness'!$E$7),0)+IF(AN$6='Launch Readiness'!$G$14,'Launch Readiness'!$E$15,0)),0)</f>
        <v>-78937</v>
      </c>
      <c r="AO54" s="103">
        <f>ROUND(AN54+(IF(AO$6&lt;='Launch Readiness'!$B$7,0,IF((AO$6-'Launch Readiness'!$B$7)&lt;'Launch Readiness'!$E$6,0,INDEX('Scenario Engine'!$N$30:$R$30,1,ROUNDUP((AO$6-'Launch Readiness'!$B$7)/12,0))/MAX(1,INDEX('Launch Readiness'!$B$26:$F$26,1,ROUNDUP((AO$6-'Launch Readiness'!$B$7)/12,0))))))-IF(AO$6&lt;'Launch Readiness'!$E$6,0,INDEX('Scenario Engine'!$N$47:$R$47,1,AO$7)/MAX(1,INDEX('Launch Readiness'!$B$26:$F$26,1,AO$7)))-INDEX('Scenario Engine'!$N$52:$R$52,1,AO$7)/12-((INDEX('Scenario Engine'!$N$53:$R$53,1,AO$7)-'Launch Readiness'!$E$9*INDEX('Launch Readiness'!$B$34:$F$34,1,AO$7)-'Launch Readiness'!$E$9*'Launch Readiness'!$B$10*INDEX('Launch Readiness'!$B$30:$F$30,1,AO$7)-'Launch Readiness'!$E$16*INDEX('Launch Readiness'!$B$32:$F$32,1,AO$7))/12+IF(AND(AO$6&gt;='Launch Readiness'!$E$6,AO$6&lt;'Launch Readiness'!$E$14),'Launch Readiness'!$E$9/12,0)+IF(AND(AO$6&gt;='Launch Readiness'!$B$11,AO$6&lt;'Launch Readiness'!$E$6),'Launch Readiness'!$E$9*'Launch Readiness'!$B$10/12,0)+IF(AO$6&gt;='Launch Readiness'!$E$14,'Launch Readiness'!$E$16/12,0))-(IF(AO$6&lt;=6,'Startup 6mo'!$F$44/6,0)+IF(AO$6&lt;'Launch Readiness'!$E$6,'Launch Readiness'!$E$8/MAX(1,'Launch Readiness'!$E$7),0)+IF(AO$6='Launch Readiness'!$G$14,'Launch Readiness'!$E$15,0)),0)</f>
        <v>854694</v>
      </c>
      <c r="AP54" s="103">
        <f>ROUND(AO54+(IF(AP$6&lt;='Launch Readiness'!$B$7,0,IF((AP$6-'Launch Readiness'!$B$7)&lt;'Launch Readiness'!$E$6,0,INDEX('Scenario Engine'!$N$30:$R$30,1,ROUNDUP((AP$6-'Launch Readiness'!$B$7)/12,0))/MAX(1,INDEX('Launch Readiness'!$B$26:$F$26,1,ROUNDUP((AP$6-'Launch Readiness'!$B$7)/12,0))))))-IF(AP$6&lt;'Launch Readiness'!$E$6,0,INDEX('Scenario Engine'!$N$47:$R$47,1,AP$7)/MAX(1,INDEX('Launch Readiness'!$B$26:$F$26,1,AP$7)))-INDEX('Scenario Engine'!$N$52:$R$52,1,AP$7)/12-((INDEX('Scenario Engine'!$N$53:$R$53,1,AP$7)-'Launch Readiness'!$E$9*INDEX('Launch Readiness'!$B$34:$F$34,1,AP$7)-'Launch Readiness'!$E$9*'Launch Readiness'!$B$10*INDEX('Launch Readiness'!$B$30:$F$30,1,AP$7)-'Launch Readiness'!$E$16*INDEX('Launch Readiness'!$B$32:$F$32,1,AP$7))/12+IF(AND(AP$6&gt;='Launch Readiness'!$E$6,AP$6&lt;'Launch Readiness'!$E$14),'Launch Readiness'!$E$9/12,0)+IF(AND(AP$6&gt;='Launch Readiness'!$B$11,AP$6&lt;'Launch Readiness'!$E$6),'Launch Readiness'!$E$9*'Launch Readiness'!$B$10/12,0)+IF(AP$6&gt;='Launch Readiness'!$E$14,'Launch Readiness'!$E$16/12,0))-(IF(AP$6&lt;=6,'Startup 6mo'!$F$44/6,0)+IF(AP$6&lt;'Launch Readiness'!$E$6,'Launch Readiness'!$E$8/MAX(1,'Launch Readiness'!$E$7),0)+IF(AP$6='Launch Readiness'!$G$14,'Launch Readiness'!$E$15,0)),0)</f>
        <v>1788325</v>
      </c>
      <c r="AQ54" s="103">
        <f>ROUND(AP54+(IF(AQ$6&lt;='Launch Readiness'!$B$7,0,IF((AQ$6-'Launch Readiness'!$B$7)&lt;'Launch Readiness'!$E$6,0,INDEX('Scenario Engine'!$N$30:$R$30,1,ROUNDUP((AQ$6-'Launch Readiness'!$B$7)/12,0))/MAX(1,INDEX('Launch Readiness'!$B$26:$F$26,1,ROUNDUP((AQ$6-'Launch Readiness'!$B$7)/12,0))))))-IF(AQ$6&lt;'Launch Readiness'!$E$6,0,INDEX('Scenario Engine'!$N$47:$R$47,1,AQ$7)/MAX(1,INDEX('Launch Readiness'!$B$26:$F$26,1,AQ$7)))-INDEX('Scenario Engine'!$N$52:$R$52,1,AQ$7)/12-((INDEX('Scenario Engine'!$N$53:$R$53,1,AQ$7)-'Launch Readiness'!$E$9*INDEX('Launch Readiness'!$B$34:$F$34,1,AQ$7)-'Launch Readiness'!$E$9*'Launch Readiness'!$B$10*INDEX('Launch Readiness'!$B$30:$F$30,1,AQ$7)-'Launch Readiness'!$E$16*INDEX('Launch Readiness'!$B$32:$F$32,1,AQ$7))/12+IF(AND(AQ$6&gt;='Launch Readiness'!$E$6,AQ$6&lt;'Launch Readiness'!$E$14),'Launch Readiness'!$E$9/12,0)+IF(AND(AQ$6&gt;='Launch Readiness'!$B$11,AQ$6&lt;'Launch Readiness'!$E$6),'Launch Readiness'!$E$9*'Launch Readiness'!$B$10/12,0)+IF(AQ$6&gt;='Launch Readiness'!$E$14,'Launch Readiness'!$E$16/12,0))-(IF(AQ$6&lt;=6,'Startup 6mo'!$F$44/6,0)+IF(AQ$6&lt;'Launch Readiness'!$E$6,'Launch Readiness'!$E$8/MAX(1,'Launch Readiness'!$E$7),0)+IF(AQ$6='Launch Readiness'!$G$14,'Launch Readiness'!$E$15,0)),0)</f>
        <v>2721956</v>
      </c>
      <c r="AR54" s="103">
        <f>ROUND(AQ54+(IF(AR$6&lt;='Launch Readiness'!$B$7,0,IF((AR$6-'Launch Readiness'!$B$7)&lt;'Launch Readiness'!$E$6,0,INDEX('Scenario Engine'!$N$30:$R$30,1,ROUNDUP((AR$6-'Launch Readiness'!$B$7)/12,0))/MAX(1,INDEX('Launch Readiness'!$B$26:$F$26,1,ROUNDUP((AR$6-'Launch Readiness'!$B$7)/12,0))))))-IF(AR$6&lt;'Launch Readiness'!$E$6,0,INDEX('Scenario Engine'!$N$47:$R$47,1,AR$7)/MAX(1,INDEX('Launch Readiness'!$B$26:$F$26,1,AR$7)))-INDEX('Scenario Engine'!$N$52:$R$52,1,AR$7)/12-((INDEX('Scenario Engine'!$N$53:$R$53,1,AR$7)-'Launch Readiness'!$E$9*INDEX('Launch Readiness'!$B$34:$F$34,1,AR$7)-'Launch Readiness'!$E$9*'Launch Readiness'!$B$10*INDEX('Launch Readiness'!$B$30:$F$30,1,AR$7)-'Launch Readiness'!$E$16*INDEX('Launch Readiness'!$B$32:$F$32,1,AR$7))/12+IF(AND(AR$6&gt;='Launch Readiness'!$E$6,AR$6&lt;'Launch Readiness'!$E$14),'Launch Readiness'!$E$9/12,0)+IF(AND(AR$6&gt;='Launch Readiness'!$B$11,AR$6&lt;'Launch Readiness'!$E$6),'Launch Readiness'!$E$9*'Launch Readiness'!$B$10/12,0)+IF(AR$6&gt;='Launch Readiness'!$E$14,'Launch Readiness'!$E$16/12,0))-(IF(AR$6&lt;=6,'Startup 6mo'!$F$44/6,0)+IF(AR$6&lt;'Launch Readiness'!$E$6,'Launch Readiness'!$E$8/MAX(1,'Launch Readiness'!$E$7),0)+IF(AR$6='Launch Readiness'!$G$14,'Launch Readiness'!$E$15,0)),0)</f>
        <v>3655587</v>
      </c>
      <c r="AS54" s="103">
        <f>ROUND(AR54+(IF(AS$6&lt;='Launch Readiness'!$B$7,0,IF((AS$6-'Launch Readiness'!$B$7)&lt;'Launch Readiness'!$E$6,0,INDEX('Scenario Engine'!$N$30:$R$30,1,ROUNDUP((AS$6-'Launch Readiness'!$B$7)/12,0))/MAX(1,INDEX('Launch Readiness'!$B$26:$F$26,1,ROUNDUP((AS$6-'Launch Readiness'!$B$7)/12,0))))))-IF(AS$6&lt;'Launch Readiness'!$E$6,0,INDEX('Scenario Engine'!$N$47:$R$47,1,AS$7)/MAX(1,INDEX('Launch Readiness'!$B$26:$F$26,1,AS$7)))-INDEX('Scenario Engine'!$N$52:$R$52,1,AS$7)/12-((INDEX('Scenario Engine'!$N$53:$R$53,1,AS$7)-'Launch Readiness'!$E$9*INDEX('Launch Readiness'!$B$34:$F$34,1,AS$7)-'Launch Readiness'!$E$9*'Launch Readiness'!$B$10*INDEX('Launch Readiness'!$B$30:$F$30,1,AS$7)-'Launch Readiness'!$E$16*INDEX('Launch Readiness'!$B$32:$F$32,1,AS$7))/12+IF(AND(AS$6&gt;='Launch Readiness'!$E$6,AS$6&lt;'Launch Readiness'!$E$14),'Launch Readiness'!$E$9/12,0)+IF(AND(AS$6&gt;='Launch Readiness'!$B$11,AS$6&lt;'Launch Readiness'!$E$6),'Launch Readiness'!$E$9*'Launch Readiness'!$B$10/12,0)+IF(AS$6&gt;='Launch Readiness'!$E$14,'Launch Readiness'!$E$16/12,0))-(IF(AS$6&lt;=6,'Startup 6mo'!$F$44/6,0)+IF(AS$6&lt;'Launch Readiness'!$E$6,'Launch Readiness'!$E$8/MAX(1,'Launch Readiness'!$E$7),0)+IF(AS$6='Launch Readiness'!$G$14,'Launch Readiness'!$E$15,0)),0)</f>
        <v>4589218</v>
      </c>
      <c r="AT54" s="103">
        <f>ROUND(AS54+(IF(AT$6&lt;='Launch Readiness'!$B$7,0,IF((AT$6-'Launch Readiness'!$B$7)&lt;'Launch Readiness'!$E$6,0,INDEX('Scenario Engine'!$N$30:$R$30,1,ROUNDUP((AT$6-'Launch Readiness'!$B$7)/12,0))/MAX(1,INDEX('Launch Readiness'!$B$26:$F$26,1,ROUNDUP((AT$6-'Launch Readiness'!$B$7)/12,0))))))-IF(AT$6&lt;'Launch Readiness'!$E$6,0,INDEX('Scenario Engine'!$N$47:$R$47,1,AT$7)/MAX(1,INDEX('Launch Readiness'!$B$26:$F$26,1,AT$7)))-INDEX('Scenario Engine'!$N$52:$R$52,1,AT$7)/12-((INDEX('Scenario Engine'!$N$53:$R$53,1,AT$7)-'Launch Readiness'!$E$9*INDEX('Launch Readiness'!$B$34:$F$34,1,AT$7)-'Launch Readiness'!$E$9*'Launch Readiness'!$B$10*INDEX('Launch Readiness'!$B$30:$F$30,1,AT$7)-'Launch Readiness'!$E$16*INDEX('Launch Readiness'!$B$32:$F$32,1,AT$7))/12+IF(AND(AT$6&gt;='Launch Readiness'!$E$6,AT$6&lt;'Launch Readiness'!$E$14),'Launch Readiness'!$E$9/12,0)+IF(AND(AT$6&gt;='Launch Readiness'!$B$11,AT$6&lt;'Launch Readiness'!$E$6),'Launch Readiness'!$E$9*'Launch Readiness'!$B$10/12,0)+IF(AT$6&gt;='Launch Readiness'!$E$14,'Launch Readiness'!$E$16/12,0))-(IF(AT$6&lt;=6,'Startup 6mo'!$F$44/6,0)+IF(AT$6&lt;'Launch Readiness'!$E$6,'Launch Readiness'!$E$8/MAX(1,'Launch Readiness'!$E$7),0)+IF(AT$6='Launch Readiness'!$G$14,'Launch Readiness'!$E$15,0)),0)</f>
        <v>5522849</v>
      </c>
      <c r="AU54" s="103">
        <f>ROUND(AT54+(IF(AU$6&lt;='Launch Readiness'!$B$7,0,IF((AU$6-'Launch Readiness'!$B$7)&lt;'Launch Readiness'!$E$6,0,INDEX('Scenario Engine'!$N$30:$R$30,1,ROUNDUP((AU$6-'Launch Readiness'!$B$7)/12,0))/MAX(1,INDEX('Launch Readiness'!$B$26:$F$26,1,ROUNDUP((AU$6-'Launch Readiness'!$B$7)/12,0))))))-IF(AU$6&lt;'Launch Readiness'!$E$6,0,INDEX('Scenario Engine'!$N$47:$R$47,1,AU$7)/MAX(1,INDEX('Launch Readiness'!$B$26:$F$26,1,AU$7)))-INDEX('Scenario Engine'!$N$52:$R$52,1,AU$7)/12-((INDEX('Scenario Engine'!$N$53:$R$53,1,AU$7)-'Launch Readiness'!$E$9*INDEX('Launch Readiness'!$B$34:$F$34,1,AU$7)-'Launch Readiness'!$E$9*'Launch Readiness'!$B$10*INDEX('Launch Readiness'!$B$30:$F$30,1,AU$7)-'Launch Readiness'!$E$16*INDEX('Launch Readiness'!$B$32:$F$32,1,AU$7))/12+IF(AND(AU$6&gt;='Launch Readiness'!$E$6,AU$6&lt;'Launch Readiness'!$E$14),'Launch Readiness'!$E$9/12,0)+IF(AND(AU$6&gt;='Launch Readiness'!$B$11,AU$6&lt;'Launch Readiness'!$E$6),'Launch Readiness'!$E$9*'Launch Readiness'!$B$10/12,0)+IF(AU$6&gt;='Launch Readiness'!$E$14,'Launch Readiness'!$E$16/12,0))-(IF(AU$6&lt;=6,'Startup 6mo'!$F$44/6,0)+IF(AU$6&lt;'Launch Readiness'!$E$6,'Launch Readiness'!$E$8/MAX(1,'Launch Readiness'!$E$7),0)+IF(AU$6='Launch Readiness'!$G$14,'Launch Readiness'!$E$15,0)),0)</f>
        <v>6456480</v>
      </c>
      <c r="AV54" s="103">
        <f>ROUND(AU54+(IF(AV$6&lt;='Launch Readiness'!$B$7,0,IF((AV$6-'Launch Readiness'!$B$7)&lt;'Launch Readiness'!$E$6,0,INDEX('Scenario Engine'!$N$30:$R$30,1,ROUNDUP((AV$6-'Launch Readiness'!$B$7)/12,0))/MAX(1,INDEX('Launch Readiness'!$B$26:$F$26,1,ROUNDUP((AV$6-'Launch Readiness'!$B$7)/12,0))))))-IF(AV$6&lt;'Launch Readiness'!$E$6,0,INDEX('Scenario Engine'!$N$47:$R$47,1,AV$7)/MAX(1,INDEX('Launch Readiness'!$B$26:$F$26,1,AV$7)))-INDEX('Scenario Engine'!$N$52:$R$52,1,AV$7)/12-((INDEX('Scenario Engine'!$N$53:$R$53,1,AV$7)-'Launch Readiness'!$E$9*INDEX('Launch Readiness'!$B$34:$F$34,1,AV$7)-'Launch Readiness'!$E$9*'Launch Readiness'!$B$10*INDEX('Launch Readiness'!$B$30:$F$30,1,AV$7)-'Launch Readiness'!$E$16*INDEX('Launch Readiness'!$B$32:$F$32,1,AV$7))/12+IF(AND(AV$6&gt;='Launch Readiness'!$E$6,AV$6&lt;'Launch Readiness'!$E$14),'Launch Readiness'!$E$9/12,0)+IF(AND(AV$6&gt;='Launch Readiness'!$B$11,AV$6&lt;'Launch Readiness'!$E$6),'Launch Readiness'!$E$9*'Launch Readiness'!$B$10/12,0)+IF(AV$6&gt;='Launch Readiness'!$E$14,'Launch Readiness'!$E$16/12,0))-(IF(AV$6&lt;=6,'Startup 6mo'!$F$44/6,0)+IF(AV$6&lt;'Launch Readiness'!$E$6,'Launch Readiness'!$E$8/MAX(1,'Launch Readiness'!$E$7),0)+IF(AV$6='Launch Readiness'!$G$14,'Launch Readiness'!$E$15,0)),0)</f>
        <v>7390111</v>
      </c>
      <c r="AW54" s="103">
        <f>ROUND(AV54+(IF(AW$6&lt;='Launch Readiness'!$B$7,0,IF((AW$6-'Launch Readiness'!$B$7)&lt;'Launch Readiness'!$E$6,0,INDEX('Scenario Engine'!$N$30:$R$30,1,ROUNDUP((AW$6-'Launch Readiness'!$B$7)/12,0))/MAX(1,INDEX('Launch Readiness'!$B$26:$F$26,1,ROUNDUP((AW$6-'Launch Readiness'!$B$7)/12,0))))))-IF(AW$6&lt;'Launch Readiness'!$E$6,0,INDEX('Scenario Engine'!$N$47:$R$47,1,AW$7)/MAX(1,INDEX('Launch Readiness'!$B$26:$F$26,1,AW$7)))-INDEX('Scenario Engine'!$N$52:$R$52,1,AW$7)/12-((INDEX('Scenario Engine'!$N$53:$R$53,1,AW$7)-'Launch Readiness'!$E$9*INDEX('Launch Readiness'!$B$34:$F$34,1,AW$7)-'Launch Readiness'!$E$9*'Launch Readiness'!$B$10*INDEX('Launch Readiness'!$B$30:$F$30,1,AW$7)-'Launch Readiness'!$E$16*INDEX('Launch Readiness'!$B$32:$F$32,1,AW$7))/12+IF(AND(AW$6&gt;='Launch Readiness'!$E$6,AW$6&lt;'Launch Readiness'!$E$14),'Launch Readiness'!$E$9/12,0)+IF(AND(AW$6&gt;='Launch Readiness'!$B$11,AW$6&lt;'Launch Readiness'!$E$6),'Launch Readiness'!$E$9*'Launch Readiness'!$B$10/12,0)+IF(AW$6&gt;='Launch Readiness'!$E$14,'Launch Readiness'!$E$16/12,0))-(IF(AW$6&lt;=6,'Startup 6mo'!$F$44/6,0)+IF(AW$6&lt;'Launch Readiness'!$E$6,'Launch Readiness'!$E$8/MAX(1,'Launch Readiness'!$E$7),0)+IF(AW$6='Launch Readiness'!$G$14,'Launch Readiness'!$E$15,0)),0)</f>
        <v>8323742</v>
      </c>
      <c r="AX54" s="103">
        <f>ROUND(AW54+(IF(AX$6&lt;='Launch Readiness'!$B$7,0,IF((AX$6-'Launch Readiness'!$B$7)&lt;'Launch Readiness'!$E$6,0,INDEX('Scenario Engine'!$N$30:$R$30,1,ROUNDUP((AX$6-'Launch Readiness'!$B$7)/12,0))/MAX(1,INDEX('Launch Readiness'!$B$26:$F$26,1,ROUNDUP((AX$6-'Launch Readiness'!$B$7)/12,0))))))-IF(AX$6&lt;'Launch Readiness'!$E$6,0,INDEX('Scenario Engine'!$N$47:$R$47,1,AX$7)/MAX(1,INDEX('Launch Readiness'!$B$26:$F$26,1,AX$7)))-INDEX('Scenario Engine'!$N$52:$R$52,1,AX$7)/12-((INDEX('Scenario Engine'!$N$53:$R$53,1,AX$7)-'Launch Readiness'!$E$9*INDEX('Launch Readiness'!$B$34:$F$34,1,AX$7)-'Launch Readiness'!$E$9*'Launch Readiness'!$B$10*INDEX('Launch Readiness'!$B$30:$F$30,1,AX$7)-'Launch Readiness'!$E$16*INDEX('Launch Readiness'!$B$32:$F$32,1,AX$7))/12+IF(AND(AX$6&gt;='Launch Readiness'!$E$6,AX$6&lt;'Launch Readiness'!$E$14),'Launch Readiness'!$E$9/12,0)+IF(AND(AX$6&gt;='Launch Readiness'!$B$11,AX$6&lt;'Launch Readiness'!$E$6),'Launch Readiness'!$E$9*'Launch Readiness'!$B$10/12,0)+IF(AX$6&gt;='Launch Readiness'!$E$14,'Launch Readiness'!$E$16/12,0))-(IF(AX$6&lt;=6,'Startup 6mo'!$F$44/6,0)+IF(AX$6&lt;'Launch Readiness'!$E$6,'Launch Readiness'!$E$8/MAX(1,'Launch Readiness'!$E$7),0)+IF(AX$6='Launch Readiness'!$G$14,'Launch Readiness'!$E$15,0)),0)</f>
        <v>8889769</v>
      </c>
      <c r="AY54" s="103">
        <f>ROUND(AX54+(IF(AY$6&lt;='Launch Readiness'!$B$7,0,IF((AY$6-'Launch Readiness'!$B$7)&lt;'Launch Readiness'!$E$6,0,INDEX('Scenario Engine'!$N$30:$R$30,1,ROUNDUP((AY$6-'Launch Readiness'!$B$7)/12,0))/MAX(1,INDEX('Launch Readiness'!$B$26:$F$26,1,ROUNDUP((AY$6-'Launch Readiness'!$B$7)/12,0))))))-IF(AY$6&lt;'Launch Readiness'!$E$6,0,INDEX('Scenario Engine'!$N$47:$R$47,1,AY$7)/MAX(1,INDEX('Launch Readiness'!$B$26:$F$26,1,AY$7)))-INDEX('Scenario Engine'!$N$52:$R$52,1,AY$7)/12-((INDEX('Scenario Engine'!$N$53:$R$53,1,AY$7)-'Launch Readiness'!$E$9*INDEX('Launch Readiness'!$B$34:$F$34,1,AY$7)-'Launch Readiness'!$E$9*'Launch Readiness'!$B$10*INDEX('Launch Readiness'!$B$30:$F$30,1,AY$7)-'Launch Readiness'!$E$16*INDEX('Launch Readiness'!$B$32:$F$32,1,AY$7))/12+IF(AND(AY$6&gt;='Launch Readiness'!$E$6,AY$6&lt;'Launch Readiness'!$E$14),'Launch Readiness'!$E$9/12,0)+IF(AND(AY$6&gt;='Launch Readiness'!$B$11,AY$6&lt;'Launch Readiness'!$E$6),'Launch Readiness'!$E$9*'Launch Readiness'!$B$10/12,0)+IF(AY$6&gt;='Launch Readiness'!$E$14,'Launch Readiness'!$E$16/12,0))-(IF(AY$6&lt;=6,'Startup 6mo'!$F$44/6,0)+IF(AY$6&lt;'Launch Readiness'!$E$6,'Launch Readiness'!$E$8/MAX(1,'Launch Readiness'!$E$7),0)+IF(AY$6='Launch Readiness'!$G$14,'Launch Readiness'!$E$15,0)),0)</f>
        <v>11165400</v>
      </c>
      <c r="AZ54" s="103">
        <f>ROUND(AY54+(IF(AZ$6&lt;='Launch Readiness'!$B$7,0,IF((AZ$6-'Launch Readiness'!$B$7)&lt;'Launch Readiness'!$E$6,0,INDEX('Scenario Engine'!$N$30:$R$30,1,ROUNDUP((AZ$6-'Launch Readiness'!$B$7)/12,0))/MAX(1,INDEX('Launch Readiness'!$B$26:$F$26,1,ROUNDUP((AZ$6-'Launch Readiness'!$B$7)/12,0))))))-IF(AZ$6&lt;'Launch Readiness'!$E$6,0,INDEX('Scenario Engine'!$N$47:$R$47,1,AZ$7)/MAX(1,INDEX('Launch Readiness'!$B$26:$F$26,1,AZ$7)))-INDEX('Scenario Engine'!$N$52:$R$52,1,AZ$7)/12-((INDEX('Scenario Engine'!$N$53:$R$53,1,AZ$7)-'Launch Readiness'!$E$9*INDEX('Launch Readiness'!$B$34:$F$34,1,AZ$7)-'Launch Readiness'!$E$9*'Launch Readiness'!$B$10*INDEX('Launch Readiness'!$B$30:$F$30,1,AZ$7)-'Launch Readiness'!$E$16*INDEX('Launch Readiness'!$B$32:$F$32,1,AZ$7))/12+IF(AND(AZ$6&gt;='Launch Readiness'!$E$6,AZ$6&lt;'Launch Readiness'!$E$14),'Launch Readiness'!$E$9/12,0)+IF(AND(AZ$6&gt;='Launch Readiness'!$B$11,AZ$6&lt;'Launch Readiness'!$E$6),'Launch Readiness'!$E$9*'Launch Readiness'!$B$10/12,0)+IF(AZ$6&gt;='Launch Readiness'!$E$14,'Launch Readiness'!$E$16/12,0))-(IF(AZ$6&lt;=6,'Startup 6mo'!$F$44/6,0)+IF(AZ$6&lt;'Launch Readiness'!$E$6,'Launch Readiness'!$E$8/MAX(1,'Launch Readiness'!$E$7),0)+IF(AZ$6='Launch Readiness'!$G$14,'Launch Readiness'!$E$15,0)),0)</f>
        <v>13441031</v>
      </c>
      <c r="BA54" s="103">
        <f>ROUND(AZ54+(IF(BA$6&lt;='Launch Readiness'!$B$7,0,IF((BA$6-'Launch Readiness'!$B$7)&lt;'Launch Readiness'!$E$6,0,INDEX('Scenario Engine'!$N$30:$R$30,1,ROUNDUP((BA$6-'Launch Readiness'!$B$7)/12,0))/MAX(1,INDEX('Launch Readiness'!$B$26:$F$26,1,ROUNDUP((BA$6-'Launch Readiness'!$B$7)/12,0))))))-IF(BA$6&lt;'Launch Readiness'!$E$6,0,INDEX('Scenario Engine'!$N$47:$R$47,1,BA$7)/MAX(1,INDEX('Launch Readiness'!$B$26:$F$26,1,BA$7)))-INDEX('Scenario Engine'!$N$52:$R$52,1,BA$7)/12-((INDEX('Scenario Engine'!$N$53:$R$53,1,BA$7)-'Launch Readiness'!$E$9*INDEX('Launch Readiness'!$B$34:$F$34,1,BA$7)-'Launch Readiness'!$E$9*'Launch Readiness'!$B$10*INDEX('Launch Readiness'!$B$30:$F$30,1,BA$7)-'Launch Readiness'!$E$16*INDEX('Launch Readiness'!$B$32:$F$32,1,BA$7))/12+IF(AND(BA$6&gt;='Launch Readiness'!$E$6,BA$6&lt;'Launch Readiness'!$E$14),'Launch Readiness'!$E$9/12,0)+IF(AND(BA$6&gt;='Launch Readiness'!$B$11,BA$6&lt;'Launch Readiness'!$E$6),'Launch Readiness'!$E$9*'Launch Readiness'!$B$10/12,0)+IF(BA$6&gt;='Launch Readiness'!$E$14,'Launch Readiness'!$E$16/12,0))-(IF(BA$6&lt;=6,'Startup 6mo'!$F$44/6,0)+IF(BA$6&lt;'Launch Readiness'!$E$6,'Launch Readiness'!$E$8/MAX(1,'Launch Readiness'!$E$7),0)+IF(BA$6='Launch Readiness'!$G$14,'Launch Readiness'!$E$15,0)),0)</f>
        <v>15716662</v>
      </c>
      <c r="BB54" s="103">
        <f>ROUND(BA54+(IF(BB$6&lt;='Launch Readiness'!$B$7,0,IF((BB$6-'Launch Readiness'!$B$7)&lt;'Launch Readiness'!$E$6,0,INDEX('Scenario Engine'!$N$30:$R$30,1,ROUNDUP((BB$6-'Launch Readiness'!$B$7)/12,0))/MAX(1,INDEX('Launch Readiness'!$B$26:$F$26,1,ROUNDUP((BB$6-'Launch Readiness'!$B$7)/12,0))))))-IF(BB$6&lt;'Launch Readiness'!$E$6,0,INDEX('Scenario Engine'!$N$47:$R$47,1,BB$7)/MAX(1,INDEX('Launch Readiness'!$B$26:$F$26,1,BB$7)))-INDEX('Scenario Engine'!$N$52:$R$52,1,BB$7)/12-((INDEX('Scenario Engine'!$N$53:$R$53,1,BB$7)-'Launch Readiness'!$E$9*INDEX('Launch Readiness'!$B$34:$F$34,1,BB$7)-'Launch Readiness'!$E$9*'Launch Readiness'!$B$10*INDEX('Launch Readiness'!$B$30:$F$30,1,BB$7)-'Launch Readiness'!$E$16*INDEX('Launch Readiness'!$B$32:$F$32,1,BB$7))/12+IF(AND(BB$6&gt;='Launch Readiness'!$E$6,BB$6&lt;'Launch Readiness'!$E$14),'Launch Readiness'!$E$9/12,0)+IF(AND(BB$6&gt;='Launch Readiness'!$B$11,BB$6&lt;'Launch Readiness'!$E$6),'Launch Readiness'!$E$9*'Launch Readiness'!$B$10/12,0)+IF(BB$6&gt;='Launch Readiness'!$E$14,'Launch Readiness'!$E$16/12,0))-(IF(BB$6&lt;=6,'Startup 6mo'!$F$44/6,0)+IF(BB$6&lt;'Launch Readiness'!$E$6,'Launch Readiness'!$E$8/MAX(1,'Launch Readiness'!$E$7),0)+IF(BB$6='Launch Readiness'!$G$14,'Launch Readiness'!$E$15,0)),0)</f>
        <v>17992293</v>
      </c>
      <c r="BC54" s="103">
        <f>ROUND(BB54+(IF(BC$6&lt;='Launch Readiness'!$B$7,0,IF((BC$6-'Launch Readiness'!$B$7)&lt;'Launch Readiness'!$E$6,0,INDEX('Scenario Engine'!$N$30:$R$30,1,ROUNDUP((BC$6-'Launch Readiness'!$B$7)/12,0))/MAX(1,INDEX('Launch Readiness'!$B$26:$F$26,1,ROUNDUP((BC$6-'Launch Readiness'!$B$7)/12,0))))))-IF(BC$6&lt;'Launch Readiness'!$E$6,0,INDEX('Scenario Engine'!$N$47:$R$47,1,BC$7)/MAX(1,INDEX('Launch Readiness'!$B$26:$F$26,1,BC$7)))-INDEX('Scenario Engine'!$N$52:$R$52,1,BC$7)/12-((INDEX('Scenario Engine'!$N$53:$R$53,1,BC$7)-'Launch Readiness'!$E$9*INDEX('Launch Readiness'!$B$34:$F$34,1,BC$7)-'Launch Readiness'!$E$9*'Launch Readiness'!$B$10*INDEX('Launch Readiness'!$B$30:$F$30,1,BC$7)-'Launch Readiness'!$E$16*INDEX('Launch Readiness'!$B$32:$F$32,1,BC$7))/12+IF(AND(BC$6&gt;='Launch Readiness'!$E$6,BC$6&lt;'Launch Readiness'!$E$14),'Launch Readiness'!$E$9/12,0)+IF(AND(BC$6&gt;='Launch Readiness'!$B$11,BC$6&lt;'Launch Readiness'!$E$6),'Launch Readiness'!$E$9*'Launch Readiness'!$B$10/12,0)+IF(BC$6&gt;='Launch Readiness'!$E$14,'Launch Readiness'!$E$16/12,0))-(IF(BC$6&lt;=6,'Startup 6mo'!$F$44/6,0)+IF(BC$6&lt;'Launch Readiness'!$E$6,'Launch Readiness'!$E$8/MAX(1,'Launch Readiness'!$E$7),0)+IF(BC$6='Launch Readiness'!$G$14,'Launch Readiness'!$E$15,0)),0)</f>
        <v>20267924</v>
      </c>
      <c r="BD54" s="103">
        <f>ROUND(BC54+(IF(BD$6&lt;='Launch Readiness'!$B$7,0,IF((BD$6-'Launch Readiness'!$B$7)&lt;'Launch Readiness'!$E$6,0,INDEX('Scenario Engine'!$N$30:$R$30,1,ROUNDUP((BD$6-'Launch Readiness'!$B$7)/12,0))/MAX(1,INDEX('Launch Readiness'!$B$26:$F$26,1,ROUNDUP((BD$6-'Launch Readiness'!$B$7)/12,0))))))-IF(BD$6&lt;'Launch Readiness'!$E$6,0,INDEX('Scenario Engine'!$N$47:$R$47,1,BD$7)/MAX(1,INDEX('Launch Readiness'!$B$26:$F$26,1,BD$7)))-INDEX('Scenario Engine'!$N$52:$R$52,1,BD$7)/12-((INDEX('Scenario Engine'!$N$53:$R$53,1,BD$7)-'Launch Readiness'!$E$9*INDEX('Launch Readiness'!$B$34:$F$34,1,BD$7)-'Launch Readiness'!$E$9*'Launch Readiness'!$B$10*INDEX('Launch Readiness'!$B$30:$F$30,1,BD$7)-'Launch Readiness'!$E$16*INDEX('Launch Readiness'!$B$32:$F$32,1,BD$7))/12+IF(AND(BD$6&gt;='Launch Readiness'!$E$6,BD$6&lt;'Launch Readiness'!$E$14),'Launch Readiness'!$E$9/12,0)+IF(AND(BD$6&gt;='Launch Readiness'!$B$11,BD$6&lt;'Launch Readiness'!$E$6),'Launch Readiness'!$E$9*'Launch Readiness'!$B$10/12,0)+IF(BD$6&gt;='Launch Readiness'!$E$14,'Launch Readiness'!$E$16/12,0))-(IF(BD$6&lt;=6,'Startup 6mo'!$F$44/6,0)+IF(BD$6&lt;'Launch Readiness'!$E$6,'Launch Readiness'!$E$8/MAX(1,'Launch Readiness'!$E$7),0)+IF(BD$6='Launch Readiness'!$G$14,'Launch Readiness'!$E$15,0)),0)</f>
        <v>22543555</v>
      </c>
      <c r="BE54" s="103">
        <f>ROUND(BD54+(IF(BE$6&lt;='Launch Readiness'!$B$7,0,IF((BE$6-'Launch Readiness'!$B$7)&lt;'Launch Readiness'!$E$6,0,INDEX('Scenario Engine'!$N$30:$R$30,1,ROUNDUP((BE$6-'Launch Readiness'!$B$7)/12,0))/MAX(1,INDEX('Launch Readiness'!$B$26:$F$26,1,ROUNDUP((BE$6-'Launch Readiness'!$B$7)/12,0))))))-IF(BE$6&lt;'Launch Readiness'!$E$6,0,INDEX('Scenario Engine'!$N$47:$R$47,1,BE$7)/MAX(1,INDEX('Launch Readiness'!$B$26:$F$26,1,BE$7)))-INDEX('Scenario Engine'!$N$52:$R$52,1,BE$7)/12-((INDEX('Scenario Engine'!$N$53:$R$53,1,BE$7)-'Launch Readiness'!$E$9*INDEX('Launch Readiness'!$B$34:$F$34,1,BE$7)-'Launch Readiness'!$E$9*'Launch Readiness'!$B$10*INDEX('Launch Readiness'!$B$30:$F$30,1,BE$7)-'Launch Readiness'!$E$16*INDEX('Launch Readiness'!$B$32:$F$32,1,BE$7))/12+IF(AND(BE$6&gt;='Launch Readiness'!$E$6,BE$6&lt;'Launch Readiness'!$E$14),'Launch Readiness'!$E$9/12,0)+IF(AND(BE$6&gt;='Launch Readiness'!$B$11,BE$6&lt;'Launch Readiness'!$E$6),'Launch Readiness'!$E$9*'Launch Readiness'!$B$10/12,0)+IF(BE$6&gt;='Launch Readiness'!$E$14,'Launch Readiness'!$E$16/12,0))-(IF(BE$6&lt;=6,'Startup 6mo'!$F$44/6,0)+IF(BE$6&lt;'Launch Readiness'!$E$6,'Launch Readiness'!$E$8/MAX(1,'Launch Readiness'!$E$7),0)+IF(BE$6='Launch Readiness'!$G$14,'Launch Readiness'!$E$15,0)),0)</f>
        <v>24819186</v>
      </c>
      <c r="BF54" s="103">
        <f>ROUND(BE54+(IF(BF$6&lt;='Launch Readiness'!$B$7,0,IF((BF$6-'Launch Readiness'!$B$7)&lt;'Launch Readiness'!$E$6,0,INDEX('Scenario Engine'!$N$30:$R$30,1,ROUNDUP((BF$6-'Launch Readiness'!$B$7)/12,0))/MAX(1,INDEX('Launch Readiness'!$B$26:$F$26,1,ROUNDUP((BF$6-'Launch Readiness'!$B$7)/12,0))))))-IF(BF$6&lt;'Launch Readiness'!$E$6,0,INDEX('Scenario Engine'!$N$47:$R$47,1,BF$7)/MAX(1,INDEX('Launch Readiness'!$B$26:$F$26,1,BF$7)))-INDEX('Scenario Engine'!$N$52:$R$52,1,BF$7)/12-((INDEX('Scenario Engine'!$N$53:$R$53,1,BF$7)-'Launch Readiness'!$E$9*INDEX('Launch Readiness'!$B$34:$F$34,1,BF$7)-'Launch Readiness'!$E$9*'Launch Readiness'!$B$10*INDEX('Launch Readiness'!$B$30:$F$30,1,BF$7)-'Launch Readiness'!$E$16*INDEX('Launch Readiness'!$B$32:$F$32,1,BF$7))/12+IF(AND(BF$6&gt;='Launch Readiness'!$E$6,BF$6&lt;'Launch Readiness'!$E$14),'Launch Readiness'!$E$9/12,0)+IF(AND(BF$6&gt;='Launch Readiness'!$B$11,BF$6&lt;'Launch Readiness'!$E$6),'Launch Readiness'!$E$9*'Launch Readiness'!$B$10/12,0)+IF(BF$6&gt;='Launch Readiness'!$E$14,'Launch Readiness'!$E$16/12,0))-(IF(BF$6&lt;=6,'Startup 6mo'!$F$44/6,0)+IF(BF$6&lt;'Launch Readiness'!$E$6,'Launch Readiness'!$E$8/MAX(1,'Launch Readiness'!$E$7),0)+IF(BF$6='Launch Readiness'!$G$14,'Launch Readiness'!$E$15,0)),0)</f>
        <v>27094817</v>
      </c>
      <c r="BG54" s="103">
        <f>ROUND(BF54+(IF(BG$6&lt;='Launch Readiness'!$B$7,0,IF((BG$6-'Launch Readiness'!$B$7)&lt;'Launch Readiness'!$E$6,0,INDEX('Scenario Engine'!$N$30:$R$30,1,ROUNDUP((BG$6-'Launch Readiness'!$B$7)/12,0))/MAX(1,INDEX('Launch Readiness'!$B$26:$F$26,1,ROUNDUP((BG$6-'Launch Readiness'!$B$7)/12,0))))))-IF(BG$6&lt;'Launch Readiness'!$E$6,0,INDEX('Scenario Engine'!$N$47:$R$47,1,BG$7)/MAX(1,INDEX('Launch Readiness'!$B$26:$F$26,1,BG$7)))-INDEX('Scenario Engine'!$N$52:$R$52,1,BG$7)/12-((INDEX('Scenario Engine'!$N$53:$R$53,1,BG$7)-'Launch Readiness'!$E$9*INDEX('Launch Readiness'!$B$34:$F$34,1,BG$7)-'Launch Readiness'!$E$9*'Launch Readiness'!$B$10*INDEX('Launch Readiness'!$B$30:$F$30,1,BG$7)-'Launch Readiness'!$E$16*INDEX('Launch Readiness'!$B$32:$F$32,1,BG$7))/12+IF(AND(BG$6&gt;='Launch Readiness'!$E$6,BG$6&lt;'Launch Readiness'!$E$14),'Launch Readiness'!$E$9/12,0)+IF(AND(BG$6&gt;='Launch Readiness'!$B$11,BG$6&lt;'Launch Readiness'!$E$6),'Launch Readiness'!$E$9*'Launch Readiness'!$B$10/12,0)+IF(BG$6&gt;='Launch Readiness'!$E$14,'Launch Readiness'!$E$16/12,0))-(IF(BG$6&lt;=6,'Startup 6mo'!$F$44/6,0)+IF(BG$6&lt;'Launch Readiness'!$E$6,'Launch Readiness'!$E$8/MAX(1,'Launch Readiness'!$E$7),0)+IF(BG$6='Launch Readiness'!$G$14,'Launch Readiness'!$E$15,0)),0)</f>
        <v>29370448</v>
      </c>
      <c r="BH54" s="103">
        <f>ROUND(BG54+(IF(BH$6&lt;='Launch Readiness'!$B$7,0,IF((BH$6-'Launch Readiness'!$B$7)&lt;'Launch Readiness'!$E$6,0,INDEX('Scenario Engine'!$N$30:$R$30,1,ROUNDUP((BH$6-'Launch Readiness'!$B$7)/12,0))/MAX(1,INDEX('Launch Readiness'!$B$26:$F$26,1,ROUNDUP((BH$6-'Launch Readiness'!$B$7)/12,0))))))-IF(BH$6&lt;'Launch Readiness'!$E$6,0,INDEX('Scenario Engine'!$N$47:$R$47,1,BH$7)/MAX(1,INDEX('Launch Readiness'!$B$26:$F$26,1,BH$7)))-INDEX('Scenario Engine'!$N$52:$R$52,1,BH$7)/12-((INDEX('Scenario Engine'!$N$53:$R$53,1,BH$7)-'Launch Readiness'!$E$9*INDEX('Launch Readiness'!$B$34:$F$34,1,BH$7)-'Launch Readiness'!$E$9*'Launch Readiness'!$B$10*INDEX('Launch Readiness'!$B$30:$F$30,1,BH$7)-'Launch Readiness'!$E$16*INDEX('Launch Readiness'!$B$32:$F$32,1,BH$7))/12+IF(AND(BH$6&gt;='Launch Readiness'!$E$6,BH$6&lt;'Launch Readiness'!$E$14),'Launch Readiness'!$E$9/12,0)+IF(AND(BH$6&gt;='Launch Readiness'!$B$11,BH$6&lt;'Launch Readiness'!$E$6),'Launch Readiness'!$E$9*'Launch Readiness'!$B$10/12,0)+IF(BH$6&gt;='Launch Readiness'!$E$14,'Launch Readiness'!$E$16/12,0))-(IF(BH$6&lt;=6,'Startup 6mo'!$F$44/6,0)+IF(BH$6&lt;'Launch Readiness'!$E$6,'Launch Readiness'!$E$8/MAX(1,'Launch Readiness'!$E$7),0)+IF(BH$6='Launch Readiness'!$G$14,'Launch Readiness'!$E$15,0)),0)</f>
        <v>31646079</v>
      </c>
      <c r="BI54" s="103">
        <f>ROUND(BH54+(IF(BI$6&lt;='Launch Readiness'!$B$7,0,IF((BI$6-'Launch Readiness'!$B$7)&lt;'Launch Readiness'!$E$6,0,INDEX('Scenario Engine'!$N$30:$R$30,1,ROUNDUP((BI$6-'Launch Readiness'!$B$7)/12,0))/MAX(1,INDEX('Launch Readiness'!$B$26:$F$26,1,ROUNDUP((BI$6-'Launch Readiness'!$B$7)/12,0))))))-IF(BI$6&lt;'Launch Readiness'!$E$6,0,INDEX('Scenario Engine'!$N$47:$R$47,1,BI$7)/MAX(1,INDEX('Launch Readiness'!$B$26:$F$26,1,BI$7)))-INDEX('Scenario Engine'!$N$52:$R$52,1,BI$7)/12-((INDEX('Scenario Engine'!$N$53:$R$53,1,BI$7)-'Launch Readiness'!$E$9*INDEX('Launch Readiness'!$B$34:$F$34,1,BI$7)-'Launch Readiness'!$E$9*'Launch Readiness'!$B$10*INDEX('Launch Readiness'!$B$30:$F$30,1,BI$7)-'Launch Readiness'!$E$16*INDEX('Launch Readiness'!$B$32:$F$32,1,BI$7))/12+IF(AND(BI$6&gt;='Launch Readiness'!$E$6,BI$6&lt;'Launch Readiness'!$E$14),'Launch Readiness'!$E$9/12,0)+IF(AND(BI$6&gt;='Launch Readiness'!$B$11,BI$6&lt;'Launch Readiness'!$E$6),'Launch Readiness'!$E$9*'Launch Readiness'!$B$10/12,0)+IF(BI$6&gt;='Launch Readiness'!$E$14,'Launch Readiness'!$E$16/12,0))-(IF(BI$6&lt;=6,'Startup 6mo'!$F$44/6,0)+IF(BI$6&lt;'Launch Readiness'!$E$6,'Launch Readiness'!$E$8/MAX(1,'Launch Readiness'!$E$7),0)+IF(BI$6='Launch Readiness'!$G$14,'Launch Readiness'!$E$15,0)),0)</f>
        <v>33921710</v>
      </c>
    </row>
    <row r="55" spans="1:61" ht="12" customHeight="1" x14ac:dyDescent="0.2">
      <c r="A55" s="49" t="s">
        <v>556</v>
      </c>
      <c r="B55" s="49" t="str">
        <f t="shared" ref="B55:AG55" si="32">IF(B52&gt;=0,"Reached","")</f>
        <v/>
      </c>
      <c r="C55" s="49" t="str">
        <f t="shared" si="32"/>
        <v/>
      </c>
      <c r="D55" s="49" t="str">
        <f t="shared" si="32"/>
        <v/>
      </c>
      <c r="E55" s="49" t="str">
        <f t="shared" si="32"/>
        <v/>
      </c>
      <c r="F55" s="49" t="str">
        <f t="shared" si="32"/>
        <v/>
      </c>
      <c r="G55" s="49" t="str">
        <f t="shared" si="32"/>
        <v/>
      </c>
      <c r="H55" s="49" t="str">
        <f t="shared" si="32"/>
        <v/>
      </c>
      <c r="I55" s="49" t="str">
        <f t="shared" si="32"/>
        <v/>
      </c>
      <c r="J55" s="49" t="str">
        <f t="shared" si="32"/>
        <v/>
      </c>
      <c r="K55" s="49" t="str">
        <f t="shared" si="32"/>
        <v/>
      </c>
      <c r="L55" s="49" t="str">
        <f t="shared" si="32"/>
        <v/>
      </c>
      <c r="M55" s="49" t="str">
        <f t="shared" si="32"/>
        <v/>
      </c>
      <c r="N55" s="49" t="str">
        <f t="shared" si="32"/>
        <v/>
      </c>
      <c r="O55" s="49" t="str">
        <f t="shared" si="32"/>
        <v/>
      </c>
      <c r="P55" s="49" t="str">
        <f t="shared" si="32"/>
        <v/>
      </c>
      <c r="Q55" s="49" t="str">
        <f t="shared" si="32"/>
        <v/>
      </c>
      <c r="R55" s="49" t="str">
        <f t="shared" si="32"/>
        <v/>
      </c>
      <c r="S55" s="49" t="str">
        <f t="shared" si="32"/>
        <v/>
      </c>
      <c r="T55" s="49" t="str">
        <f t="shared" si="32"/>
        <v/>
      </c>
      <c r="U55" s="49" t="str">
        <f t="shared" si="32"/>
        <v/>
      </c>
      <c r="V55" s="49" t="str">
        <f t="shared" si="32"/>
        <v/>
      </c>
      <c r="W55" s="49" t="str">
        <f t="shared" si="32"/>
        <v/>
      </c>
      <c r="X55" s="49" t="str">
        <f t="shared" si="32"/>
        <v/>
      </c>
      <c r="Y55" s="49" t="str">
        <f t="shared" si="32"/>
        <v/>
      </c>
      <c r="Z55" s="49" t="str">
        <f t="shared" si="32"/>
        <v/>
      </c>
      <c r="AA55" s="49" t="str">
        <f t="shared" si="32"/>
        <v/>
      </c>
      <c r="AB55" s="49" t="str">
        <f t="shared" si="32"/>
        <v/>
      </c>
      <c r="AC55" s="49" t="str">
        <f t="shared" si="32"/>
        <v/>
      </c>
      <c r="AD55" s="49" t="str">
        <f t="shared" si="32"/>
        <v/>
      </c>
      <c r="AE55" s="49" t="str">
        <f t="shared" si="32"/>
        <v/>
      </c>
      <c r="AF55" s="49" t="str">
        <f t="shared" si="32"/>
        <v/>
      </c>
      <c r="AG55" s="49" t="str">
        <f t="shared" si="32"/>
        <v/>
      </c>
      <c r="AH55" s="49" t="str">
        <f t="shared" ref="AH55:BI55" si="33">IF(AH52&gt;=0,"Reached","")</f>
        <v/>
      </c>
      <c r="AI55" s="49" t="str">
        <f t="shared" si="33"/>
        <v/>
      </c>
      <c r="AJ55" s="49" t="str">
        <f t="shared" si="33"/>
        <v/>
      </c>
      <c r="AK55" s="49" t="str">
        <f t="shared" si="33"/>
        <v/>
      </c>
      <c r="AL55" s="49" t="str">
        <f t="shared" si="33"/>
        <v/>
      </c>
      <c r="AM55" s="49" t="str">
        <f t="shared" si="33"/>
        <v/>
      </c>
      <c r="AN55" s="49" t="str">
        <f t="shared" si="33"/>
        <v/>
      </c>
      <c r="AO55" s="49" t="str">
        <f t="shared" si="33"/>
        <v/>
      </c>
      <c r="AP55" s="49" t="str">
        <f t="shared" si="33"/>
        <v/>
      </c>
      <c r="AQ55" s="49" t="str">
        <f t="shared" si="33"/>
        <v/>
      </c>
      <c r="AR55" s="49" t="str">
        <f t="shared" si="33"/>
        <v/>
      </c>
      <c r="AS55" s="49" t="str">
        <f t="shared" si="33"/>
        <v/>
      </c>
      <c r="AT55" s="49" t="str">
        <f t="shared" si="33"/>
        <v/>
      </c>
      <c r="AU55" s="49" t="str">
        <f t="shared" si="33"/>
        <v/>
      </c>
      <c r="AV55" s="49" t="str">
        <f t="shared" si="33"/>
        <v/>
      </c>
      <c r="AW55" s="49" t="str">
        <f t="shared" si="33"/>
        <v/>
      </c>
      <c r="AX55" s="49" t="str">
        <f t="shared" si="33"/>
        <v/>
      </c>
      <c r="AY55" s="49" t="str">
        <f t="shared" si="33"/>
        <v/>
      </c>
      <c r="AZ55" s="49" t="str">
        <f t="shared" si="33"/>
        <v/>
      </c>
      <c r="BA55" s="49" t="str">
        <f t="shared" si="33"/>
        <v/>
      </c>
      <c r="BB55" s="49" t="str">
        <f t="shared" si="33"/>
        <v/>
      </c>
      <c r="BC55" s="49" t="str">
        <f t="shared" si="33"/>
        <v/>
      </c>
      <c r="BD55" s="49" t="str">
        <f t="shared" si="33"/>
        <v/>
      </c>
      <c r="BE55" s="49" t="str">
        <f t="shared" si="33"/>
        <v/>
      </c>
      <c r="BF55" s="49" t="str">
        <f t="shared" si="33"/>
        <v/>
      </c>
      <c r="BG55" s="49" t="str">
        <f t="shared" si="33"/>
        <v/>
      </c>
      <c r="BH55" s="49" t="str">
        <f t="shared" si="33"/>
        <v/>
      </c>
      <c r="BI55" s="49" t="str">
        <f t="shared" si="33"/>
        <v/>
      </c>
    </row>
    <row r="56" spans="1:61" ht="12" customHeight="1" x14ac:dyDescent="0.2">
      <c r="A56" s="49" t="s">
        <v>557</v>
      </c>
      <c r="B56" s="49" t="str">
        <f t="shared" ref="B56:AG56" si="34">IF(B53&gt;=0,"Reached","")</f>
        <v/>
      </c>
      <c r="C56" s="49" t="str">
        <f t="shared" si="34"/>
        <v/>
      </c>
      <c r="D56" s="49" t="str">
        <f t="shared" si="34"/>
        <v/>
      </c>
      <c r="E56" s="49" t="str">
        <f t="shared" si="34"/>
        <v/>
      </c>
      <c r="F56" s="49" t="str">
        <f t="shared" si="34"/>
        <v/>
      </c>
      <c r="G56" s="49" t="str">
        <f t="shared" si="34"/>
        <v/>
      </c>
      <c r="H56" s="49" t="str">
        <f t="shared" si="34"/>
        <v/>
      </c>
      <c r="I56" s="49" t="str">
        <f t="shared" si="34"/>
        <v/>
      </c>
      <c r="J56" s="49" t="str">
        <f t="shared" si="34"/>
        <v/>
      </c>
      <c r="K56" s="49" t="str">
        <f t="shared" si="34"/>
        <v/>
      </c>
      <c r="L56" s="49" t="str">
        <f t="shared" si="34"/>
        <v/>
      </c>
      <c r="M56" s="49" t="str">
        <f t="shared" si="34"/>
        <v/>
      </c>
      <c r="N56" s="49" t="str">
        <f t="shared" si="34"/>
        <v/>
      </c>
      <c r="O56" s="49" t="str">
        <f t="shared" si="34"/>
        <v/>
      </c>
      <c r="P56" s="49" t="str">
        <f t="shared" si="34"/>
        <v/>
      </c>
      <c r="Q56" s="49" t="str">
        <f t="shared" si="34"/>
        <v/>
      </c>
      <c r="R56" s="49" t="str">
        <f t="shared" si="34"/>
        <v/>
      </c>
      <c r="S56" s="49" t="str">
        <f t="shared" si="34"/>
        <v/>
      </c>
      <c r="T56" s="49" t="str">
        <f t="shared" si="34"/>
        <v/>
      </c>
      <c r="U56" s="49" t="str">
        <f t="shared" si="34"/>
        <v/>
      </c>
      <c r="V56" s="49" t="str">
        <f t="shared" si="34"/>
        <v/>
      </c>
      <c r="W56" s="49" t="str">
        <f t="shared" si="34"/>
        <v/>
      </c>
      <c r="X56" s="49" t="str">
        <f t="shared" si="34"/>
        <v/>
      </c>
      <c r="Y56" s="49" t="str">
        <f t="shared" si="34"/>
        <v/>
      </c>
      <c r="Z56" s="49" t="str">
        <f t="shared" si="34"/>
        <v/>
      </c>
      <c r="AA56" s="49" t="str">
        <f t="shared" si="34"/>
        <v/>
      </c>
      <c r="AB56" s="49" t="str">
        <f t="shared" si="34"/>
        <v/>
      </c>
      <c r="AC56" s="49" t="str">
        <f t="shared" si="34"/>
        <v/>
      </c>
      <c r="AD56" s="49" t="str">
        <f t="shared" si="34"/>
        <v/>
      </c>
      <c r="AE56" s="49" t="str">
        <f t="shared" si="34"/>
        <v/>
      </c>
      <c r="AF56" s="49" t="str">
        <f t="shared" si="34"/>
        <v/>
      </c>
      <c r="AG56" s="49" t="str">
        <f t="shared" si="34"/>
        <v/>
      </c>
      <c r="AH56" s="49" t="str">
        <f t="shared" ref="AH56:BI56" si="35">IF(AH53&gt;=0,"Reached","")</f>
        <v/>
      </c>
      <c r="AI56" s="49" t="str">
        <f t="shared" si="35"/>
        <v/>
      </c>
      <c r="AJ56" s="49" t="str">
        <f t="shared" si="35"/>
        <v/>
      </c>
      <c r="AK56" s="49" t="str">
        <f t="shared" si="35"/>
        <v/>
      </c>
      <c r="AL56" s="49" t="str">
        <f t="shared" si="35"/>
        <v/>
      </c>
      <c r="AM56" s="49" t="str">
        <f t="shared" si="35"/>
        <v/>
      </c>
      <c r="AN56" s="49" t="str">
        <f t="shared" si="35"/>
        <v/>
      </c>
      <c r="AO56" s="49" t="str">
        <f t="shared" si="35"/>
        <v/>
      </c>
      <c r="AP56" s="49" t="str">
        <f t="shared" si="35"/>
        <v/>
      </c>
      <c r="AQ56" s="49" t="str">
        <f t="shared" si="35"/>
        <v/>
      </c>
      <c r="AR56" s="49" t="str">
        <f t="shared" si="35"/>
        <v/>
      </c>
      <c r="AS56" s="49" t="str">
        <f t="shared" si="35"/>
        <v>Reached</v>
      </c>
      <c r="AT56" s="49" t="str">
        <f t="shared" si="35"/>
        <v>Reached</v>
      </c>
      <c r="AU56" s="49" t="str">
        <f t="shared" si="35"/>
        <v>Reached</v>
      </c>
      <c r="AV56" s="49" t="str">
        <f t="shared" si="35"/>
        <v>Reached</v>
      </c>
      <c r="AW56" s="49" t="str">
        <f t="shared" si="35"/>
        <v>Reached</v>
      </c>
      <c r="AX56" s="49" t="str">
        <f t="shared" si="35"/>
        <v>Reached</v>
      </c>
      <c r="AY56" s="49" t="str">
        <f t="shared" si="35"/>
        <v>Reached</v>
      </c>
      <c r="AZ56" s="49" t="str">
        <f t="shared" si="35"/>
        <v>Reached</v>
      </c>
      <c r="BA56" s="49" t="str">
        <f t="shared" si="35"/>
        <v>Reached</v>
      </c>
      <c r="BB56" s="49" t="str">
        <f t="shared" si="35"/>
        <v>Reached</v>
      </c>
      <c r="BC56" s="49" t="str">
        <f t="shared" si="35"/>
        <v>Reached</v>
      </c>
      <c r="BD56" s="49" t="str">
        <f t="shared" si="35"/>
        <v>Reached</v>
      </c>
      <c r="BE56" s="49" t="str">
        <f t="shared" si="35"/>
        <v>Reached</v>
      </c>
      <c r="BF56" s="49" t="str">
        <f t="shared" si="35"/>
        <v>Reached</v>
      </c>
      <c r="BG56" s="49" t="str">
        <f t="shared" si="35"/>
        <v>Reached</v>
      </c>
      <c r="BH56" s="49" t="str">
        <f t="shared" si="35"/>
        <v>Reached</v>
      </c>
      <c r="BI56" s="49" t="str">
        <f t="shared" si="35"/>
        <v>Reached</v>
      </c>
    </row>
    <row r="57" spans="1:61" ht="12" customHeight="1" x14ac:dyDescent="0.2">
      <c r="A57" s="49" t="s">
        <v>558</v>
      </c>
      <c r="B57" s="49" t="str">
        <f t="shared" ref="B57:AG57" si="36">IF(B54&gt;=0,"Reached","")</f>
        <v/>
      </c>
      <c r="C57" s="49" t="str">
        <f t="shared" si="36"/>
        <v/>
      </c>
      <c r="D57" s="49" t="str">
        <f t="shared" si="36"/>
        <v/>
      </c>
      <c r="E57" s="49" t="str">
        <f t="shared" si="36"/>
        <v/>
      </c>
      <c r="F57" s="49" t="str">
        <f t="shared" si="36"/>
        <v/>
      </c>
      <c r="G57" s="49" t="str">
        <f t="shared" si="36"/>
        <v/>
      </c>
      <c r="H57" s="49" t="str">
        <f t="shared" si="36"/>
        <v/>
      </c>
      <c r="I57" s="49" t="str">
        <f t="shared" si="36"/>
        <v/>
      </c>
      <c r="J57" s="49" t="str">
        <f t="shared" si="36"/>
        <v/>
      </c>
      <c r="K57" s="49" t="str">
        <f t="shared" si="36"/>
        <v/>
      </c>
      <c r="L57" s="49" t="str">
        <f t="shared" si="36"/>
        <v/>
      </c>
      <c r="M57" s="49" t="str">
        <f t="shared" si="36"/>
        <v/>
      </c>
      <c r="N57" s="49" t="str">
        <f t="shared" si="36"/>
        <v/>
      </c>
      <c r="O57" s="49" t="str">
        <f t="shared" si="36"/>
        <v/>
      </c>
      <c r="P57" s="49" t="str">
        <f t="shared" si="36"/>
        <v/>
      </c>
      <c r="Q57" s="49" t="str">
        <f t="shared" si="36"/>
        <v/>
      </c>
      <c r="R57" s="49" t="str">
        <f t="shared" si="36"/>
        <v/>
      </c>
      <c r="S57" s="49" t="str">
        <f t="shared" si="36"/>
        <v/>
      </c>
      <c r="T57" s="49" t="str">
        <f t="shared" si="36"/>
        <v/>
      </c>
      <c r="U57" s="49" t="str">
        <f t="shared" si="36"/>
        <v/>
      </c>
      <c r="V57" s="49" t="str">
        <f t="shared" si="36"/>
        <v/>
      </c>
      <c r="W57" s="49" t="str">
        <f t="shared" si="36"/>
        <v/>
      </c>
      <c r="X57" s="49" t="str">
        <f t="shared" si="36"/>
        <v/>
      </c>
      <c r="Y57" s="49" t="str">
        <f t="shared" si="36"/>
        <v/>
      </c>
      <c r="Z57" s="49" t="str">
        <f t="shared" si="36"/>
        <v/>
      </c>
      <c r="AA57" s="49" t="str">
        <f t="shared" si="36"/>
        <v/>
      </c>
      <c r="AB57" s="49" t="str">
        <f t="shared" si="36"/>
        <v/>
      </c>
      <c r="AC57" s="49" t="str">
        <f t="shared" si="36"/>
        <v/>
      </c>
      <c r="AD57" s="49" t="str">
        <f t="shared" si="36"/>
        <v/>
      </c>
      <c r="AE57" s="49" t="str">
        <f t="shared" si="36"/>
        <v/>
      </c>
      <c r="AF57" s="49" t="str">
        <f t="shared" si="36"/>
        <v/>
      </c>
      <c r="AG57" s="49" t="str">
        <f t="shared" si="36"/>
        <v/>
      </c>
      <c r="AH57" s="49" t="str">
        <f t="shared" ref="AH57:BI57" si="37">IF(AH54&gt;=0,"Reached","")</f>
        <v/>
      </c>
      <c r="AI57" s="49" t="str">
        <f t="shared" si="37"/>
        <v/>
      </c>
      <c r="AJ57" s="49" t="str">
        <f t="shared" si="37"/>
        <v/>
      </c>
      <c r="AK57" s="49" t="str">
        <f t="shared" si="37"/>
        <v/>
      </c>
      <c r="AL57" s="49" t="str">
        <f t="shared" si="37"/>
        <v/>
      </c>
      <c r="AM57" s="49" t="str">
        <f t="shared" si="37"/>
        <v/>
      </c>
      <c r="AN57" s="49" t="str">
        <f t="shared" si="37"/>
        <v/>
      </c>
      <c r="AO57" s="49" t="str">
        <f t="shared" si="37"/>
        <v>Reached</v>
      </c>
      <c r="AP57" s="49" t="str">
        <f t="shared" si="37"/>
        <v>Reached</v>
      </c>
      <c r="AQ57" s="49" t="str">
        <f t="shared" si="37"/>
        <v>Reached</v>
      </c>
      <c r="AR57" s="49" t="str">
        <f t="shared" si="37"/>
        <v>Reached</v>
      </c>
      <c r="AS57" s="49" t="str">
        <f t="shared" si="37"/>
        <v>Reached</v>
      </c>
      <c r="AT57" s="49" t="str">
        <f t="shared" si="37"/>
        <v>Reached</v>
      </c>
      <c r="AU57" s="49" t="str">
        <f t="shared" si="37"/>
        <v>Reached</v>
      </c>
      <c r="AV57" s="49" t="str">
        <f t="shared" si="37"/>
        <v>Reached</v>
      </c>
      <c r="AW57" s="49" t="str">
        <f t="shared" si="37"/>
        <v>Reached</v>
      </c>
      <c r="AX57" s="49" t="str">
        <f t="shared" si="37"/>
        <v>Reached</v>
      </c>
      <c r="AY57" s="49" t="str">
        <f t="shared" si="37"/>
        <v>Reached</v>
      </c>
      <c r="AZ57" s="49" t="str">
        <f t="shared" si="37"/>
        <v>Reached</v>
      </c>
      <c r="BA57" s="49" t="str">
        <f t="shared" si="37"/>
        <v>Reached</v>
      </c>
      <c r="BB57" s="49" t="str">
        <f t="shared" si="37"/>
        <v>Reached</v>
      </c>
      <c r="BC57" s="49" t="str">
        <f t="shared" si="37"/>
        <v>Reached</v>
      </c>
      <c r="BD57" s="49" t="str">
        <f t="shared" si="37"/>
        <v>Reached</v>
      </c>
      <c r="BE57" s="49" t="str">
        <f t="shared" si="37"/>
        <v>Reached</v>
      </c>
      <c r="BF57" s="49" t="str">
        <f t="shared" si="37"/>
        <v>Reached</v>
      </c>
      <c r="BG57" s="49" t="str">
        <f t="shared" si="37"/>
        <v>Reached</v>
      </c>
      <c r="BH57" s="49" t="str">
        <f t="shared" si="37"/>
        <v>Reached</v>
      </c>
      <c r="BI57" s="49" t="str">
        <f t="shared" si="37"/>
        <v>Reached</v>
      </c>
    </row>
    <row r="58" spans="1:61" ht="12" customHeight="1" x14ac:dyDescent="0.2">
      <c r="A58" s="49" t="s">
        <v>559</v>
      </c>
      <c r="B58" s="49" t="str">
        <f t="shared" ref="B58:AG58" si="38">IF(B38&gt;=0,"Reached","")</f>
        <v/>
      </c>
      <c r="C58" s="49" t="str">
        <f t="shared" si="38"/>
        <v/>
      </c>
      <c r="D58" s="49" t="str">
        <f t="shared" si="38"/>
        <v/>
      </c>
      <c r="E58" s="49" t="str">
        <f t="shared" si="38"/>
        <v/>
      </c>
      <c r="F58" s="49" t="str">
        <f t="shared" si="38"/>
        <v/>
      </c>
      <c r="G58" s="49" t="str">
        <f t="shared" si="38"/>
        <v/>
      </c>
      <c r="H58" s="49" t="str">
        <f t="shared" si="38"/>
        <v/>
      </c>
      <c r="I58" s="49" t="str">
        <f t="shared" si="38"/>
        <v/>
      </c>
      <c r="J58" s="49" t="str">
        <f t="shared" si="38"/>
        <v/>
      </c>
      <c r="K58" s="49" t="str">
        <f t="shared" si="38"/>
        <v/>
      </c>
      <c r="L58" s="49" t="str">
        <f t="shared" si="38"/>
        <v/>
      </c>
      <c r="M58" s="49" t="str">
        <f t="shared" si="38"/>
        <v/>
      </c>
      <c r="N58" s="49" t="str">
        <f t="shared" si="38"/>
        <v/>
      </c>
      <c r="O58" s="49" t="str">
        <f t="shared" si="38"/>
        <v/>
      </c>
      <c r="P58" s="49" t="str">
        <f t="shared" si="38"/>
        <v/>
      </c>
      <c r="Q58" s="49" t="str">
        <f t="shared" si="38"/>
        <v/>
      </c>
      <c r="R58" s="49" t="str">
        <f t="shared" si="38"/>
        <v/>
      </c>
      <c r="S58" s="49" t="str">
        <f t="shared" si="38"/>
        <v/>
      </c>
      <c r="T58" s="49" t="str">
        <f t="shared" si="38"/>
        <v/>
      </c>
      <c r="U58" s="49" t="str">
        <f t="shared" si="38"/>
        <v/>
      </c>
      <c r="V58" s="49" t="str">
        <f t="shared" si="38"/>
        <v/>
      </c>
      <c r="W58" s="49" t="str">
        <f t="shared" si="38"/>
        <v/>
      </c>
      <c r="X58" s="49" t="str">
        <f t="shared" si="38"/>
        <v/>
      </c>
      <c r="Y58" s="49" t="str">
        <f t="shared" si="38"/>
        <v/>
      </c>
      <c r="Z58" s="49" t="str">
        <f t="shared" si="38"/>
        <v/>
      </c>
      <c r="AA58" s="49" t="str">
        <f t="shared" si="38"/>
        <v/>
      </c>
      <c r="AB58" s="49" t="str">
        <f t="shared" si="38"/>
        <v/>
      </c>
      <c r="AC58" s="49" t="str">
        <f t="shared" si="38"/>
        <v/>
      </c>
      <c r="AD58" s="49" t="str">
        <f t="shared" si="38"/>
        <v/>
      </c>
      <c r="AE58" s="49" t="str">
        <f t="shared" si="38"/>
        <v/>
      </c>
      <c r="AF58" s="49" t="str">
        <f t="shared" si="38"/>
        <v/>
      </c>
      <c r="AG58" s="49" t="str">
        <f t="shared" si="38"/>
        <v/>
      </c>
      <c r="AH58" s="49" t="str">
        <f t="shared" ref="AH58:BI58" si="39">IF(AH38&gt;=0,"Reached","")</f>
        <v/>
      </c>
      <c r="AI58" s="49" t="str">
        <f t="shared" si="39"/>
        <v/>
      </c>
      <c r="AJ58" s="49" t="str">
        <f t="shared" si="39"/>
        <v/>
      </c>
      <c r="AK58" s="49" t="str">
        <f t="shared" si="39"/>
        <v/>
      </c>
      <c r="AL58" s="49" t="str">
        <f t="shared" si="39"/>
        <v/>
      </c>
      <c r="AM58" s="49" t="str">
        <f t="shared" si="39"/>
        <v/>
      </c>
      <c r="AN58" s="49" t="str">
        <f t="shared" si="39"/>
        <v/>
      </c>
      <c r="AO58" s="49" t="str">
        <f t="shared" si="39"/>
        <v/>
      </c>
      <c r="AP58" s="49" t="str">
        <f t="shared" si="39"/>
        <v/>
      </c>
      <c r="AQ58" s="49" t="str">
        <f t="shared" si="39"/>
        <v/>
      </c>
      <c r="AR58" s="49" t="str">
        <f t="shared" si="39"/>
        <v/>
      </c>
      <c r="AS58" s="49" t="str">
        <f t="shared" si="39"/>
        <v>Reached</v>
      </c>
      <c r="AT58" s="49" t="str">
        <f t="shared" si="39"/>
        <v>Reached</v>
      </c>
      <c r="AU58" s="49" t="str">
        <f t="shared" si="39"/>
        <v>Reached</v>
      </c>
      <c r="AV58" s="49" t="str">
        <f t="shared" si="39"/>
        <v>Reached</v>
      </c>
      <c r="AW58" s="49" t="str">
        <f t="shared" si="39"/>
        <v>Reached</v>
      </c>
      <c r="AX58" s="49" t="str">
        <f t="shared" si="39"/>
        <v>Reached</v>
      </c>
      <c r="AY58" s="49" t="str">
        <f t="shared" si="39"/>
        <v>Reached</v>
      </c>
      <c r="AZ58" s="49" t="str">
        <f t="shared" si="39"/>
        <v>Reached</v>
      </c>
      <c r="BA58" s="49" t="str">
        <f t="shared" si="39"/>
        <v>Reached</v>
      </c>
      <c r="BB58" s="49" t="str">
        <f t="shared" si="39"/>
        <v>Reached</v>
      </c>
      <c r="BC58" s="49" t="str">
        <f t="shared" si="39"/>
        <v>Reached</v>
      </c>
      <c r="BD58" s="49" t="str">
        <f t="shared" si="39"/>
        <v>Reached</v>
      </c>
      <c r="BE58" s="49" t="str">
        <f t="shared" si="39"/>
        <v>Reached</v>
      </c>
      <c r="BF58" s="49" t="str">
        <f t="shared" si="39"/>
        <v>Reached</v>
      </c>
      <c r="BG58" s="49" t="str">
        <f t="shared" si="39"/>
        <v>Reached</v>
      </c>
      <c r="BH58" s="49" t="str">
        <f t="shared" si="39"/>
        <v>Reached</v>
      </c>
      <c r="BI58" s="49" t="str">
        <f t="shared" si="39"/>
        <v>Reached</v>
      </c>
    </row>
  </sheetData>
  <mergeCells count="4">
    <mergeCell ref="A1:N1"/>
    <mergeCell ref="A2:N2"/>
    <mergeCell ref="A43:L43"/>
    <mergeCell ref="A49:BI4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3A6491"/>
  </sheetPr>
  <dimension ref="A1:R67"/>
  <sheetViews>
    <sheetView showGridLines="0" workbookViewId="0"/>
  </sheetViews>
  <sheetFormatPr defaultColWidth="32.5703125" defaultRowHeight="12.75" x14ac:dyDescent="0.2"/>
  <cols>
    <col min="1" max="1" width="46" customWidth="1"/>
    <col min="2" max="6" width="15" customWidth="1"/>
    <col min="7" max="7" width="3" customWidth="1"/>
    <col min="8" max="12" width="15" customWidth="1"/>
    <col min="13" max="13" width="3" customWidth="1"/>
    <col min="14" max="18" width="15" customWidth="1"/>
  </cols>
  <sheetData>
    <row r="1" spans="1:18" ht="27.95" customHeight="1" x14ac:dyDescent="0.2">
      <c r="A1" s="1" t="s">
        <v>560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 ht="15.95" customHeight="1" x14ac:dyDescent="0.2">
      <c r="A2" s="4" t="s">
        <v>561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</row>
    <row r="3" spans="1:18" ht="15.95" customHeight="1" x14ac:dyDescent="0.2">
      <c r="A3" s="4" t="s">
        <v>1550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18" ht="20.100000000000001" customHeight="1" x14ac:dyDescent="0.2">
      <c r="A4" s="5"/>
      <c r="B4" s="5" t="s">
        <v>562</v>
      </c>
      <c r="C4" s="5"/>
      <c r="D4" s="5"/>
      <c r="E4" s="5"/>
      <c r="F4" s="5"/>
      <c r="G4" s="5"/>
      <c r="H4" s="5" t="s">
        <v>563</v>
      </c>
      <c r="I4" s="5"/>
      <c r="J4" s="5"/>
      <c r="K4" s="5"/>
      <c r="L4" s="5"/>
      <c r="M4" s="5"/>
      <c r="N4" s="5" t="s">
        <v>564</v>
      </c>
      <c r="O4" s="5"/>
      <c r="P4" s="5"/>
      <c r="Q4" s="5"/>
      <c r="R4" s="5"/>
    </row>
    <row r="5" spans="1:18" ht="20.100000000000001" customHeight="1" x14ac:dyDescent="0.2">
      <c r="A5" s="9"/>
      <c r="B5" s="9" t="s">
        <v>185</v>
      </c>
      <c r="C5" s="9" t="s">
        <v>186</v>
      </c>
      <c r="D5" s="9" t="s">
        <v>187</v>
      </c>
      <c r="E5" s="9" t="s">
        <v>188</v>
      </c>
      <c r="F5" s="9" t="s">
        <v>189</v>
      </c>
      <c r="G5" s="9"/>
      <c r="H5" s="83" t="s">
        <v>185</v>
      </c>
      <c r="I5" s="9" t="s">
        <v>186</v>
      </c>
      <c r="J5" s="9" t="s">
        <v>187</v>
      </c>
      <c r="K5" s="9" t="s">
        <v>188</v>
      </c>
      <c r="L5" s="9" t="s">
        <v>189</v>
      </c>
      <c r="M5" s="9"/>
      <c r="N5" s="83" t="s">
        <v>185</v>
      </c>
      <c r="O5" s="9" t="s">
        <v>186</v>
      </c>
      <c r="P5" s="9" t="s">
        <v>187</v>
      </c>
      <c r="Q5" s="9" t="s">
        <v>188</v>
      </c>
      <c r="R5" s="9" t="s">
        <v>189</v>
      </c>
    </row>
    <row r="6" spans="1:18" ht="8.1" customHeight="1" x14ac:dyDescent="0.2"/>
    <row r="7" spans="1:18" ht="18.95" customHeight="1" x14ac:dyDescent="0.2">
      <c r="A7" s="5" t="s">
        <v>366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spans="1:18" ht="15" customHeight="1" x14ac:dyDescent="0.2">
      <c r="A8" s="12" t="s">
        <v>367</v>
      </c>
      <c r="B8" s="91">
        <f>ROUND(Assumptions!$C$10*'Launch Readiness'!$B$28,0)</f>
        <v>1</v>
      </c>
      <c r="C8" s="91">
        <f>ROUND(Assumptions!$C$11*'Launch Readiness'!$C$28,0)</f>
        <v>250</v>
      </c>
      <c r="D8" s="91">
        <f>ROUND(Assumptions!$C$12*'Launch Readiness'!$D$28,0)</f>
        <v>1200</v>
      </c>
      <c r="E8" s="91">
        <f>ROUND(Assumptions!$C$147*'Launch Readiness'!$E$28,0)</f>
        <v>1800</v>
      </c>
      <c r="F8" s="91">
        <f>ROUND(Assumptions!$C$148*'Launch Readiness'!$F$28,0)</f>
        <v>6000</v>
      </c>
      <c r="H8" s="109">
        <f>ROUND(Assumptions!$D$10*'Launch Readiness'!$B$28,0)</f>
        <v>3</v>
      </c>
      <c r="I8" s="91">
        <f>ROUND(Assumptions!$D$11*'Launch Readiness'!$C$28,0)</f>
        <v>500</v>
      </c>
      <c r="J8" s="91">
        <f>ROUND(Assumptions!$D$12*'Launch Readiness'!$D$28,0)</f>
        <v>2000</v>
      </c>
      <c r="K8" s="91">
        <f>ROUND(Assumptions!$D$147*'Launch Readiness'!$E$28,0)</f>
        <v>15000</v>
      </c>
      <c r="L8" s="91">
        <f>ROUND(Assumptions!$D$148*'Launch Readiness'!$F$28,0)</f>
        <v>30000</v>
      </c>
      <c r="N8" s="109">
        <f>ROUND(Assumptions!$E$10*'Launch Readiness'!$B$28,0)</f>
        <v>9</v>
      </c>
      <c r="O8" s="91">
        <f>ROUND(Assumptions!$E$11*'Launch Readiness'!$C$28,0)</f>
        <v>1000</v>
      </c>
      <c r="P8" s="91">
        <f>ROUND(Assumptions!$E$12*'Launch Readiness'!$D$28,0)</f>
        <v>3200</v>
      </c>
      <c r="Q8" s="91">
        <f>ROUND(Assumptions!$E$147*'Launch Readiness'!$E$28,0)</f>
        <v>32000</v>
      </c>
      <c r="R8" s="91">
        <f>ROUND(Assumptions!$E$148*'Launch Readiness'!$F$28,0)</f>
        <v>70000</v>
      </c>
    </row>
    <row r="9" spans="1:18" ht="15" customHeight="1" x14ac:dyDescent="0.2">
      <c r="A9" s="12" t="s">
        <v>565</v>
      </c>
      <c r="B9" s="56">
        <f>IF(B8=0,0,B10/B8)</f>
        <v>30250</v>
      </c>
      <c r="C9" s="56">
        <f>IF(C8=0,0,C10/C8)</f>
        <v>32515</v>
      </c>
      <c r="D9" s="56">
        <f>IF(D8=0,0,D10/D8)</f>
        <v>35696.800000000003</v>
      </c>
      <c r="E9" s="56">
        <f>IF(E8=0,0,E10/E8)</f>
        <v>39663.799500000008</v>
      </c>
      <c r="F9" s="56">
        <f>IF(F8=0,0,F10/F8)</f>
        <v>44333.779085000009</v>
      </c>
      <c r="H9" s="107">
        <f>IF(H8=0,0,H10/H8)</f>
        <v>30750</v>
      </c>
      <c r="I9" s="56">
        <f>IF(I8=0,0,I10/I8)</f>
        <v>34005</v>
      </c>
      <c r="J9" s="56">
        <f>IF(J8=0,0,J10/J8)</f>
        <v>38015.550000000003</v>
      </c>
      <c r="K9" s="56">
        <f>IF(K8=0,0,K10/K8)</f>
        <v>42822.535200000013</v>
      </c>
      <c r="L9" s="56">
        <f>IF(L8=0,0,L10/L8)</f>
        <v>47897.376575000009</v>
      </c>
      <c r="N9" s="107">
        <f>IF(N8=0,0,N10/N8)</f>
        <v>31500</v>
      </c>
      <c r="O9" s="56">
        <f>IF(O8=0,0,O10/O8)</f>
        <v>35055</v>
      </c>
      <c r="P9" s="56">
        <f>IF(P8=0,0,P10/P8)</f>
        <v>39678.850000000006</v>
      </c>
      <c r="Q9" s="56">
        <f>IF(Q8=0,0,Q10/Q8)</f>
        <v>44325.337800000023</v>
      </c>
      <c r="R9" s="56">
        <f>IF(R8=0,0,R10/R8)</f>
        <v>49322.815571000021</v>
      </c>
    </row>
    <row r="10" spans="1:18" ht="15" customHeight="1" x14ac:dyDescent="0.2">
      <c r="A10" s="12" t="s">
        <v>371</v>
      </c>
      <c r="B10" s="67">
        <f>B8*(B11*'Tier Economics'!$B$8+B12*'Tier Economics'!$C$8+B13*'Tier Economics'!$D$8)</f>
        <v>30250</v>
      </c>
      <c r="C10" s="67">
        <f>C8*(C11*'Tier Economics'!$F$8+C12*'Tier Economics'!$G$8+C13*'Tier Economics'!$H$8)</f>
        <v>8128750</v>
      </c>
      <c r="D10" s="67">
        <f>D8*(D11*'Tier Economics'!$J$8+D12*'Tier Economics'!$K$8+D13*'Tier Economics'!$L$8)</f>
        <v>42836160</v>
      </c>
      <c r="E10" s="67">
        <f>E8*(E11*'Tier Economics'!$N$8+E12*'Tier Economics'!$O$8+E13*'Tier Economics'!$P$8)</f>
        <v>71394839.100000009</v>
      </c>
      <c r="F10" s="67">
        <f>F8*(F11*'Tier Economics'!$R$8+F12*'Tier Economics'!$S$8+F13*'Tier Economics'!$T$8)</f>
        <v>266002674.51000005</v>
      </c>
      <c r="H10" s="110">
        <f>H8*(H11*'Tier Economics'!$B$8+H12*'Tier Economics'!$C$8+H13*'Tier Economics'!$D$8)</f>
        <v>92250</v>
      </c>
      <c r="I10" s="67">
        <f>I8*(I11*'Tier Economics'!$F$8+I12*'Tier Economics'!$G$8+I13*'Tier Economics'!$H$8)</f>
        <v>17002500</v>
      </c>
      <c r="J10" s="67">
        <f>J8*(J11*'Tier Economics'!$J$8+J12*'Tier Economics'!$K$8+J13*'Tier Economics'!$L$8)</f>
        <v>76031100</v>
      </c>
      <c r="K10" s="67">
        <f>K8*(K11*'Tier Economics'!$N$8+K12*'Tier Economics'!$O$8+K13*'Tier Economics'!$P$8)</f>
        <v>642338028.00000024</v>
      </c>
      <c r="L10" s="67">
        <f>L8*(L11*'Tier Economics'!$R$8+L12*'Tier Economics'!$S$8+L13*'Tier Economics'!$T$8)</f>
        <v>1436921297.2500002</v>
      </c>
      <c r="N10" s="110">
        <f>N8*(N11*'Tier Economics'!$B$8+N12*'Tier Economics'!$C$8+N13*'Tier Economics'!$D$8)</f>
        <v>283500</v>
      </c>
      <c r="O10" s="67">
        <f>O8*(O11*'Tier Economics'!$F$8+O12*'Tier Economics'!$G$8+O13*'Tier Economics'!$H$8)</f>
        <v>35055000</v>
      </c>
      <c r="P10" s="67">
        <f>P8*(P11*'Tier Economics'!$J$8+P12*'Tier Economics'!$K$8+P13*'Tier Economics'!$L$8)</f>
        <v>126972320.00000001</v>
      </c>
      <c r="Q10" s="67">
        <f>Q8*(Q11*'Tier Economics'!$N$8+Q12*'Tier Economics'!$O$8+Q13*'Tier Economics'!$P$8)</f>
        <v>1418410809.6000006</v>
      </c>
      <c r="R10" s="67">
        <f>R8*(R11*'Tier Economics'!$R$8+R12*'Tier Economics'!$S$8+R13*'Tier Economics'!$T$8)</f>
        <v>3452597089.9700017</v>
      </c>
    </row>
    <row r="11" spans="1:18" ht="15" customHeight="1" x14ac:dyDescent="0.2">
      <c r="A11" s="12" t="s">
        <v>566</v>
      </c>
      <c r="B11" s="90">
        <f>Assumptions!$C$61</f>
        <v>0.05</v>
      </c>
      <c r="C11" s="90">
        <f>Assumptions!$C$64</f>
        <v>0.1</v>
      </c>
      <c r="D11" s="90">
        <f>Assumptions!$C$67</f>
        <v>0.2</v>
      </c>
      <c r="E11" s="90">
        <f>Assumptions!$C$149</f>
        <v>0.3</v>
      </c>
      <c r="F11" s="90">
        <f>Assumptions!$C$152</f>
        <v>0.4</v>
      </c>
      <c r="H11" s="111">
        <f>Assumptions!$D$61</f>
        <v>0.15</v>
      </c>
      <c r="I11" s="90">
        <f>Assumptions!$D$64</f>
        <v>0.3</v>
      </c>
      <c r="J11" s="90">
        <f>Assumptions!$D$67</f>
        <v>0.45</v>
      </c>
      <c r="K11" s="90">
        <f>Assumptions!$D$149</f>
        <v>0.6</v>
      </c>
      <c r="L11" s="90">
        <f>Assumptions!$D$152</f>
        <v>0.7</v>
      </c>
      <c r="N11" s="111">
        <f>Assumptions!$E$61</f>
        <v>0.3</v>
      </c>
      <c r="O11" s="90">
        <f>Assumptions!$E$64</f>
        <v>0.45</v>
      </c>
      <c r="P11" s="90">
        <f>Assumptions!$E$67</f>
        <v>0.65</v>
      </c>
      <c r="Q11" s="90">
        <f>Assumptions!$E$149</f>
        <v>0.75</v>
      </c>
      <c r="R11" s="90">
        <f>Assumptions!$E$152</f>
        <v>0.82</v>
      </c>
    </row>
    <row r="12" spans="1:18" ht="15" customHeight="1" x14ac:dyDescent="0.2">
      <c r="A12" s="12" t="s">
        <v>567</v>
      </c>
      <c r="B12" s="90">
        <f>Assumptions!$C$62</f>
        <v>0.25</v>
      </c>
      <c r="C12" s="90">
        <f>Assumptions!$C$65</f>
        <v>0.35</v>
      </c>
      <c r="D12" s="90">
        <f>Assumptions!$C$68</f>
        <v>0.4</v>
      </c>
      <c r="E12" s="90">
        <f>Assumptions!$C$150</f>
        <v>0.45</v>
      </c>
      <c r="F12" s="90">
        <f>Assumptions!$C$153</f>
        <v>0.45</v>
      </c>
      <c r="H12" s="111">
        <f>Assumptions!$D$62</f>
        <v>0.45</v>
      </c>
      <c r="I12" s="90">
        <f>Assumptions!$D$65</f>
        <v>0.45</v>
      </c>
      <c r="J12" s="90">
        <f>Assumptions!$D$68</f>
        <v>0.4</v>
      </c>
      <c r="K12" s="90">
        <f>Assumptions!$D$150</f>
        <v>0.32</v>
      </c>
      <c r="L12" s="90">
        <f>Assumptions!$D$153</f>
        <v>0.25</v>
      </c>
      <c r="N12" s="111">
        <f>Assumptions!$E$62</f>
        <v>0.5</v>
      </c>
      <c r="O12" s="90">
        <f>Assumptions!$E$65</f>
        <v>0.45</v>
      </c>
      <c r="P12" s="90">
        <f>Assumptions!$E$68</f>
        <v>0.3</v>
      </c>
      <c r="Q12" s="90">
        <f>Assumptions!$E$150</f>
        <v>0.23</v>
      </c>
      <c r="R12" s="90">
        <f>Assumptions!$E$153</f>
        <v>0.17</v>
      </c>
    </row>
    <row r="13" spans="1:18" ht="15" customHeight="1" x14ac:dyDescent="0.2">
      <c r="A13" s="12" t="s">
        <v>568</v>
      </c>
      <c r="B13" s="90">
        <f>Assumptions!$C$63</f>
        <v>0.7</v>
      </c>
      <c r="C13" s="90">
        <f>Assumptions!$C$66</f>
        <v>0.55000000000000004</v>
      </c>
      <c r="D13" s="90">
        <f>Assumptions!$C$69</f>
        <v>0.4</v>
      </c>
      <c r="E13" s="90">
        <f>Assumptions!$C$151</f>
        <v>0.25</v>
      </c>
      <c r="F13" s="90">
        <f>Assumptions!$C$154</f>
        <v>0.15</v>
      </c>
      <c r="H13" s="111">
        <f>Assumptions!$D$63</f>
        <v>0.4</v>
      </c>
      <c r="I13" s="90">
        <f>Assumptions!$D$66</f>
        <v>0.25</v>
      </c>
      <c r="J13" s="90">
        <f>Assumptions!$D$69</f>
        <v>0.15</v>
      </c>
      <c r="K13" s="90">
        <f>Assumptions!$D$151</f>
        <v>0.08</v>
      </c>
      <c r="L13" s="90">
        <f>Assumptions!$D$154</f>
        <v>0.05</v>
      </c>
      <c r="N13" s="111">
        <f>Assumptions!$E$63</f>
        <v>0.2</v>
      </c>
      <c r="O13" s="90">
        <f>Assumptions!$E$66</f>
        <v>0.1</v>
      </c>
      <c r="P13" s="90">
        <f>Assumptions!$E$69</f>
        <v>0.05</v>
      </c>
      <c r="Q13" s="90">
        <f>Assumptions!$E$151</f>
        <v>0.02</v>
      </c>
      <c r="R13" s="90">
        <f>Assumptions!$E$154</f>
        <v>0.01</v>
      </c>
    </row>
    <row r="14" spans="1:18" ht="15" customHeight="1" x14ac:dyDescent="0.2">
      <c r="A14" s="12" t="s">
        <v>291</v>
      </c>
      <c r="B14" s="91">
        <f>B8*(B11*Assumptions!$F$103+B12*Assumptions!$F$104+B13*Assumptions!$F$105)</f>
        <v>7.9499999999999993</v>
      </c>
      <c r="C14" s="91">
        <f>C8*(C11*Assumptions!$F$103+C12*Assumptions!$F$104+C13*Assumptions!$F$105)</f>
        <v>1837.5</v>
      </c>
      <c r="D14" s="91">
        <f>D8*(D11*Assumptions!$F$103+D12*Assumptions!$F$104+D13*Assumptions!$F$105)</f>
        <v>7920.0000000000009</v>
      </c>
      <c r="E14" s="91">
        <f>E8*(E11*Assumptions!$F$103+E12*Assumptions!$F$104+E13*Assumptions!$F$105)</f>
        <v>10530</v>
      </c>
      <c r="F14" s="91">
        <f>F8*(F11*Assumptions!$F$103+F12*Assumptions!$F$104+F13*Assumptions!$F$105)</f>
        <v>31500</v>
      </c>
      <c r="H14" s="109">
        <f>H8*(H11*Assumptions!$F$103+H12*Assumptions!$F$104+H13*Assumptions!$F$105)</f>
        <v>20.25</v>
      </c>
      <c r="I14" s="91">
        <f>I8*(I11*Assumptions!$F$103+I12*Assumptions!$F$104+I13*Assumptions!$F$105)</f>
        <v>2925</v>
      </c>
      <c r="J14" s="91">
        <f>J8*(J11*Assumptions!$F$103+J12*Assumptions!$F$104+J13*Assumptions!$F$105)</f>
        <v>10200.000000000002</v>
      </c>
      <c r="K14" s="91">
        <f>K8*(K11*Assumptions!$F$103+K12*Assumptions!$F$104+K13*Assumptions!$F$105)</f>
        <v>66599.999999999985</v>
      </c>
      <c r="L14" s="91">
        <f>L8*(L11*Assumptions!$F$103+L12*Assumptions!$F$104+L13*Assumptions!$F$105)</f>
        <v>121500</v>
      </c>
      <c r="N14" s="109">
        <f>N8*(N11*Assumptions!$F$103+N12*Assumptions!$F$104+N13*Assumptions!$F$105)</f>
        <v>51.300000000000004</v>
      </c>
      <c r="O14" s="91">
        <f>O8*(O11*Assumptions!$F$103+O12*Assumptions!$F$104+O13*Assumptions!$F$105)</f>
        <v>4950.0000000000009</v>
      </c>
      <c r="P14" s="91">
        <f>P8*(P11*Assumptions!$F$103+P12*Assumptions!$F$104+P13*Assumptions!$F$105)</f>
        <v>13440</v>
      </c>
      <c r="Q14" s="91">
        <f>Q8*(Q11*Assumptions!$F$103+Q12*Assumptions!$F$104+Q13*Assumptions!$F$105)</f>
        <v>121920</v>
      </c>
      <c r="R14" s="91">
        <f>R8*(R11*Assumptions!$F$103+R12*Assumptions!$F$104+R13*Assumptions!$F$105)</f>
        <v>249900</v>
      </c>
    </row>
    <row r="15" spans="1:18" ht="15" customHeight="1" x14ac:dyDescent="0.2">
      <c r="A15" s="12" t="s">
        <v>373</v>
      </c>
      <c r="B15" s="91">
        <f>B8*Assumptions!$F$13*Assumptions!$F$59</f>
        <v>1</v>
      </c>
      <c r="C15" s="91">
        <f>C8*Assumptions!$F$13*Assumptions!$F$59</f>
        <v>250</v>
      </c>
      <c r="D15" s="91">
        <f>D8*Assumptions!$F$13*Assumptions!$F$59</f>
        <v>1200</v>
      </c>
      <c r="E15" s="91">
        <f>E8*Assumptions!$F$13*Assumptions!$F$59</f>
        <v>1800</v>
      </c>
      <c r="F15" s="91">
        <f>F8*Assumptions!$F$13*Assumptions!$F$59</f>
        <v>6000</v>
      </c>
      <c r="H15" s="109">
        <f>H8*Assumptions!$F$13*Assumptions!$F$59</f>
        <v>3</v>
      </c>
      <c r="I15" s="91">
        <f>I8*Assumptions!$F$13*Assumptions!$F$59</f>
        <v>500</v>
      </c>
      <c r="J15" s="91">
        <f>J8*Assumptions!$F$13*Assumptions!$F$59</f>
        <v>2000</v>
      </c>
      <c r="K15" s="91">
        <f>K8*Assumptions!$F$13*Assumptions!$F$59</f>
        <v>15000</v>
      </c>
      <c r="L15" s="91">
        <f>L8*Assumptions!$F$13*Assumptions!$F$59</f>
        <v>30000</v>
      </c>
      <c r="N15" s="109">
        <f>N8*Assumptions!$F$13*Assumptions!$F$59</f>
        <v>9</v>
      </c>
      <c r="O15" s="91">
        <f>O8*Assumptions!$F$13*Assumptions!$F$59</f>
        <v>1000</v>
      </c>
      <c r="P15" s="91">
        <f>P8*Assumptions!$F$13*Assumptions!$F$59</f>
        <v>3200</v>
      </c>
      <c r="Q15" s="91">
        <f>Q8*Assumptions!$F$13*Assumptions!$F$59</f>
        <v>32000</v>
      </c>
      <c r="R15" s="91">
        <f>R8*Assumptions!$F$13*Assumptions!$F$59</f>
        <v>70000</v>
      </c>
    </row>
    <row r="16" spans="1:18" ht="15" customHeight="1" x14ac:dyDescent="0.2">
      <c r="A16" s="12" t="s">
        <v>569</v>
      </c>
      <c r="B16" s="91">
        <f>B8*(B11*Assumptions!$F$91+B12*Assumptions!$F$92+B13*Assumptions!$F$93)</f>
        <v>0.16699999999999998</v>
      </c>
      <c r="C16" s="91">
        <f>C8*(C11*Assumptions!$F$91+C12*Assumptions!$F$92+C13*Assumptions!$F$93)</f>
        <v>37.250000000000007</v>
      </c>
      <c r="D16" s="91">
        <f>D8*(D11*Assumptions!$F$91+D12*Assumptions!$F$92+D13*Assumptions!$F$93)</f>
        <v>153.60000000000002</v>
      </c>
      <c r="E16" s="91">
        <f>E8*(E11*Assumptions!$F$91+E12*Assumptions!$F$92+E13*Assumptions!$F$93)</f>
        <v>192.60000000000002</v>
      </c>
      <c r="F16" s="91">
        <f>F8*(F11*Assumptions!$F$91+F12*Assumptions!$F$92+F13*Assumptions!$F$93)</f>
        <v>546</v>
      </c>
      <c r="H16" s="109">
        <f>H8*(H11*Assumptions!$F$91+H12*Assumptions!$F$92+H13*Assumptions!$F$93)</f>
        <v>0.39300000000000002</v>
      </c>
      <c r="I16" s="91">
        <f>I8*(I11*Assumptions!$F$91+I12*Assumptions!$F$92+I13*Assumptions!$F$93)</f>
        <v>53.500000000000007</v>
      </c>
      <c r="J16" s="91">
        <f>J8*(J11*Assumptions!$F$91+J12*Assumptions!$F$92+J13*Assumptions!$F$93)</f>
        <v>176.00000000000003</v>
      </c>
      <c r="K16" s="91">
        <f>K8*(K11*Assumptions!$F$91+K12*Assumptions!$F$92+K13*Assumptions!$F$93)</f>
        <v>1080.0000000000002</v>
      </c>
      <c r="L16" s="91">
        <f>L8*(L11*Assumptions!$F$91+L12*Assumptions!$F$92+L13*Assumptions!$F$93)</f>
        <v>1890</v>
      </c>
      <c r="N16" s="109">
        <f>N8*(N11*Assumptions!$F$91+N12*Assumptions!$F$92+N13*Assumptions!$F$93)</f>
        <v>0.91800000000000004</v>
      </c>
      <c r="O16" s="91">
        <f>O8*(O11*Assumptions!$F$91+O12*Assumptions!$F$92+O13*Assumptions!$F$93)</f>
        <v>83</v>
      </c>
      <c r="P16" s="91">
        <f>P8*(P11*Assumptions!$F$91+P12*Assumptions!$F$92+P13*Assumptions!$F$93)</f>
        <v>211.20000000000002</v>
      </c>
      <c r="Q16" s="91">
        <f>Q8*(Q11*Assumptions!$F$91+Q12*Assumptions!$F$92+Q13*Assumptions!$F$93)</f>
        <v>1824.0000000000002</v>
      </c>
      <c r="R16" s="91">
        <f>R8*(R11*Assumptions!$F$91+R12*Assumptions!$F$92+R13*Assumptions!$F$93)</f>
        <v>3626</v>
      </c>
    </row>
    <row r="17" spans="1:18" ht="8.1" customHeight="1" x14ac:dyDescent="0.2"/>
    <row r="18" spans="1:18" ht="18.95" customHeight="1" x14ac:dyDescent="0.2">
      <c r="A18" s="5" t="s">
        <v>377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spans="1:18" ht="15" customHeight="1" x14ac:dyDescent="0.2">
      <c r="A19" s="12" t="s">
        <v>570</v>
      </c>
      <c r="B19" s="67">
        <f>B8*(B11*MAX('Tier Economics'!$B$8*Assumptions!$F$70,Assumptions!$F$73)+B12*MAX('Tier Economics'!$C$8*Assumptions!$F$71,Assumptions!$F$74)+B13*MAX('Tier Economics'!$D$8*Assumptions!$F$72,Assumptions!$F$75))</f>
        <v>756.5</v>
      </c>
      <c r="C19" s="67">
        <f>C8*(C11*MAX('Tier Economics'!$F$8*Assumptions!$F$70,Assumptions!$F$73)+C12*MAX('Tier Economics'!$G$8*Assumptions!$F$71,Assumptions!$F$74)+C13*MAX('Tier Economics'!$H$8*Assumptions!$F$72,Assumptions!$F$75))</f>
        <v>180162.50000000003</v>
      </c>
      <c r="D19" s="67">
        <f>D8*(D11*MAX('Tier Economics'!$J$8*Assumptions!$F$70,Assumptions!$F$73)+D12*MAX('Tier Economics'!$K$8*Assumptions!$F$71,Assumptions!$F$74)+D13*MAX('Tier Economics'!$L$8*Assumptions!$F$72,Assumptions!$F$75))</f>
        <v>809534.40000000014</v>
      </c>
      <c r="E19" s="67">
        <f>E8*(E11*MAX('Tier Economics'!$N$8*Assumptions!$F$70,Assumptions!$F$73)+E12*MAX('Tier Economics'!$O$8*Assumptions!$F$71,Assumptions!$F$74)+E13*MAX('Tier Economics'!$P$8*Assumptions!$F$72,Assumptions!$F$75))</f>
        <v>1129250.3490000002</v>
      </c>
      <c r="F19" s="67">
        <f>F8*(F11*MAX('Tier Economics'!$R$8*Assumptions!$F$70,Assumptions!$F$73)+F12*MAX('Tier Economics'!$S$8*Assumptions!$F$71,Assumptions!$F$74)+F13*MAX('Tier Economics'!$T$8*Assumptions!$F$72,Assumptions!$F$75))</f>
        <v>3621429.3489000006</v>
      </c>
      <c r="H19" s="110">
        <f>H8*(H11*MAX('Tier Economics'!$B$8*Assumptions!$F$70,Assumptions!$F$73)+H12*MAX('Tier Economics'!$C$8*Assumptions!$F$71,Assumptions!$F$74)+H13*MAX('Tier Economics'!$D$8*Assumptions!$F$72,Assumptions!$F$75))</f>
        <v>1813.5</v>
      </c>
      <c r="I19" s="67">
        <f>I8*(I11*MAX('Tier Economics'!$F$8*Assumptions!$F$70,Assumptions!$F$73)+I12*MAX('Tier Economics'!$G$8*Assumptions!$F$71,Assumptions!$F$74)+I13*MAX('Tier Economics'!$H$8*Assumptions!$F$72,Assumptions!$F$75))</f>
        <v>273675</v>
      </c>
      <c r="J19" s="67">
        <f>J8*(J11*MAX('Tier Economics'!$J$8*Assumptions!$F$70,Assumptions!$F$73)+J12*MAX('Tier Economics'!$K$8*Assumptions!$F$71,Assumptions!$F$74)+J13*MAX('Tier Economics'!$L$8*Assumptions!$F$72,Assumptions!$F$75))</f>
        <v>1022499</v>
      </c>
      <c r="K19" s="67">
        <f>K8*(K11*MAX('Tier Economics'!$N$8*Assumptions!$F$70,Assumptions!$F$73)+K12*MAX('Tier Economics'!$O$8*Assumptions!$F$71,Assumptions!$F$74)+K13*MAX('Tier Economics'!$P$8*Assumptions!$F$72,Assumptions!$F$75))</f>
        <v>7325332.9200000027</v>
      </c>
      <c r="L19" s="67">
        <f>L8*(L11*MAX('Tier Economics'!$R$8*Assumptions!$F$70,Assumptions!$F$73)+L12*MAX('Tier Economics'!$S$8*Assumptions!$F$71,Assumptions!$F$74)+L13*MAX('Tier Economics'!$T$8*Assumptions!$F$72,Assumptions!$F$75))</f>
        <v>14841491.677500002</v>
      </c>
      <c r="N19" s="110">
        <f>N8*(N11*MAX('Tier Economics'!$B$8*Assumptions!$F$70,Assumptions!$F$73)+N12*MAX('Tier Economics'!$C$8*Assumptions!$F$71,Assumptions!$F$74)+N13*MAX('Tier Economics'!$D$8*Assumptions!$F$72,Assumptions!$F$75))</f>
        <v>4401</v>
      </c>
      <c r="O19" s="67">
        <f>O8*(O11*MAX('Tier Economics'!$F$8*Assumptions!$F$70,Assumptions!$F$73)+O12*MAX('Tier Economics'!$G$8*Assumptions!$F$71,Assumptions!$F$74)+O13*MAX('Tier Economics'!$H$8*Assumptions!$F$72,Assumptions!$F$75))</f>
        <v>451800</v>
      </c>
      <c r="P19" s="67">
        <f>P8*(P11*MAX('Tier Economics'!$J$8*Assumptions!$F$70,Assumptions!$F$73)+P12*MAX('Tier Economics'!$K$8*Assumptions!$F$71,Assumptions!$F$74)+P13*MAX('Tier Economics'!$L$8*Assumptions!$F$72,Assumptions!$F$75))</f>
        <v>1367348.8000000003</v>
      </c>
      <c r="Q19" s="67">
        <f>Q8*(Q11*MAX('Tier Economics'!$N$8*Assumptions!$F$70,Assumptions!$F$73)+Q12*MAX('Tier Economics'!$O$8*Assumptions!$F$71,Assumptions!$F$74)+Q13*MAX('Tier Economics'!$P$8*Assumptions!$F$72,Assumptions!$F$75))</f>
        <v>13783278.144000003</v>
      </c>
      <c r="R19" s="67">
        <f>R8*(R11*MAX('Tier Economics'!$R$8*Assumptions!$F$70,Assumptions!$F$73)+R12*MAX('Tier Economics'!$S$8*Assumptions!$F$71,Assumptions!$F$74)+R13*MAX('Tier Economics'!$T$8*Assumptions!$F$72,Assumptions!$F$75))</f>
        <v>31582202.518300008</v>
      </c>
    </row>
    <row r="20" spans="1:18" ht="15" customHeight="1" x14ac:dyDescent="0.2">
      <c r="A20" s="12" t="s">
        <v>571</v>
      </c>
      <c r="B20" s="67">
        <f>B8*(B11*Assumptions!$F$76+B12*Assumptions!$F$77+B13*Assumptions!$F$78)</f>
        <v>233.75</v>
      </c>
      <c r="C20" s="67">
        <f>C8*(C11*Assumptions!$F$76+C12*Assumptions!$F$77+C13*Assumptions!$F$78)</f>
        <v>49750</v>
      </c>
      <c r="D20" s="67">
        <f>D8*(D11*Assumptions!$F$76+D12*Assumptions!$F$77+D13*Assumptions!$F$78)</f>
        <v>193200</v>
      </c>
      <c r="E20" s="67">
        <f>E8*(E11*Assumptions!$F$76+E12*Assumptions!$F$77+E13*Assumptions!$F$78)</f>
        <v>221400</v>
      </c>
      <c r="F20" s="67">
        <f>F8*(F11*Assumptions!$F$76+F12*Assumptions!$F$77+F13*Assumptions!$F$78)</f>
        <v>573000</v>
      </c>
      <c r="H20" s="110">
        <f>H8*(H11*Assumptions!$F$76+H12*Assumptions!$F$77+H13*Assumptions!$F$78)</f>
        <v>492.75</v>
      </c>
      <c r="I20" s="67">
        <f>I8*(I11*Assumptions!$F$76+I12*Assumptions!$F$77+I13*Assumptions!$F$78)</f>
        <v>61500</v>
      </c>
      <c r="J20" s="67">
        <f>J8*(J11*Assumptions!$F$76+J12*Assumptions!$F$77+J13*Assumptions!$F$78)</f>
        <v>184500</v>
      </c>
      <c r="K20" s="67">
        <f>K8*(K11*Assumptions!$F$76+K12*Assumptions!$F$77+K13*Assumptions!$F$78)</f>
        <v>1017000</v>
      </c>
      <c r="L20" s="67">
        <f>L8*(L11*Assumptions!$F$76+L12*Assumptions!$F$77+L13*Assumptions!$F$78)</f>
        <v>1650000</v>
      </c>
      <c r="N20" s="110">
        <f>N8*(N11*Assumptions!$F$76+N12*Assumptions!$F$77+N13*Assumptions!$F$78)</f>
        <v>1012.5</v>
      </c>
      <c r="O20" s="67">
        <f>O8*(O11*Assumptions!$F$76+O12*Assumptions!$F$77+O13*Assumptions!$F$78)</f>
        <v>81750</v>
      </c>
      <c r="P20" s="67">
        <f>P8*(P11*Assumptions!$F$76+P12*Assumptions!$F$77+P13*Assumptions!$F$78)</f>
        <v>186400</v>
      </c>
      <c r="Q20" s="67">
        <f>Q8*(Q11*Assumptions!$F$76+Q12*Assumptions!$F$77+Q13*Assumptions!$F$78)</f>
        <v>1454400</v>
      </c>
      <c r="R20" s="67">
        <f>R8*(R11*Assumptions!$F$76+R12*Assumptions!$F$77+R13*Assumptions!$F$78)</f>
        <v>2716000</v>
      </c>
    </row>
    <row r="21" spans="1:18" ht="15" customHeight="1" x14ac:dyDescent="0.2">
      <c r="A21" s="12" t="s">
        <v>572</v>
      </c>
      <c r="B21" s="67">
        <f>B8*(B11*Assumptions!$F$91*Assumptions!$F$79+B12*Assumptions!$F$92*Assumptions!$F$80+B13*Assumptions!$F$93*Assumptions!$F$81)</f>
        <v>75.199999999999989</v>
      </c>
      <c r="C21" s="67">
        <f>C8*(C11*Assumptions!$F$91*Assumptions!$F$79+C12*Assumptions!$F$92*Assumptions!$F$80+C13*Assumptions!$F$93*Assumptions!$F$81)</f>
        <v>15600.000000000002</v>
      </c>
      <c r="D21" s="67">
        <f>D8*(D11*Assumptions!$F$91*Assumptions!$F$79+D12*Assumptions!$F$92*Assumptions!$F$80+D13*Assumptions!$F$93*Assumptions!$F$81)</f>
        <v>58560.000000000015</v>
      </c>
      <c r="E21" s="67">
        <f>E8*(E11*Assumptions!$F$91*Assumptions!$F$79+E12*Assumptions!$F$92*Assumptions!$F$80+E13*Assumptions!$F$93*Assumptions!$F$81)</f>
        <v>63360.000000000007</v>
      </c>
      <c r="F21" s="67">
        <f>F8*(F11*Assumptions!$F$91*Assumptions!$F$79+F12*Assumptions!$F$92*Assumptions!$F$80+F13*Assumptions!$F$93*Assumptions!$F$81)</f>
        <v>153600</v>
      </c>
      <c r="H21" s="110">
        <f>H8*(H11*Assumptions!$F$91*Assumptions!$F$79+H12*Assumptions!$F$92*Assumptions!$F$80+H13*Assumptions!$F$93*Assumptions!$F$81)</f>
        <v>148.80000000000001</v>
      </c>
      <c r="I21" s="67">
        <f>I8*(I11*Assumptions!$F$91*Assumptions!$F$79+I12*Assumptions!$F$92*Assumptions!$F$80+I13*Assumptions!$F$93*Assumptions!$F$81)</f>
        <v>17600</v>
      </c>
      <c r="J21" s="67">
        <f>J8*(J11*Assumptions!$F$91*Assumptions!$F$79+J12*Assumptions!$F$92*Assumptions!$F$80+J13*Assumptions!$F$93*Assumptions!$F$81)</f>
        <v>49600.000000000007</v>
      </c>
      <c r="K21" s="67">
        <f>K8*(K11*Assumptions!$F$91*Assumptions!$F$79+K12*Assumptions!$F$92*Assumptions!$F$80+K13*Assumptions!$F$93*Assumptions!$F$81)</f>
        <v>252000</v>
      </c>
      <c r="L21" s="67">
        <f>L8*(L11*Assumptions!$F$91*Assumptions!$F$79+L12*Assumptions!$F$92*Assumptions!$F$80+L13*Assumptions!$F$93*Assumptions!$F$81)</f>
        <v>384000</v>
      </c>
      <c r="N21" s="110">
        <f>N8*(N11*Assumptions!$F$91*Assumptions!$F$79+N12*Assumptions!$F$92*Assumptions!$F$80+N13*Assumptions!$F$93*Assumptions!$F$81)</f>
        <v>280.8</v>
      </c>
      <c r="O21" s="67">
        <f>O8*(O11*Assumptions!$F$91*Assumptions!$F$79+O12*Assumptions!$F$92*Assumptions!$F$80+O13*Assumptions!$F$93*Assumptions!$F$81)</f>
        <v>20800.000000000004</v>
      </c>
      <c r="P21" s="67">
        <f>P8*(P11*Assumptions!$F$91*Assumptions!$F$79+P12*Assumptions!$F$92*Assumptions!$F$80+P13*Assumptions!$F$93*Assumptions!$F$81)</f>
        <v>43520.000000000007</v>
      </c>
      <c r="Q21" s="67">
        <f>Q8*(Q11*Assumptions!$F$91*Assumptions!$F$79+Q12*Assumptions!$F$92*Assumptions!$F$80+Q13*Assumptions!$F$93*Assumptions!$F$81)</f>
        <v>307200.00000000006</v>
      </c>
      <c r="R21" s="67">
        <f>R8*(R11*Assumptions!$F$91*Assumptions!$F$79+R12*Assumptions!$F$92*Assumptions!$F$80+R13*Assumptions!$F$93*Assumptions!$F$81)</f>
        <v>537600</v>
      </c>
    </row>
    <row r="22" spans="1:18" ht="15" customHeight="1" x14ac:dyDescent="0.2">
      <c r="A22" s="12" t="s">
        <v>573</v>
      </c>
      <c r="B22" s="67">
        <f>IFERROR(ROUND(-B62*(B19/B8)*Assumptions!$F$112,0),0)</f>
        <v>-252</v>
      </c>
      <c r="C22" s="67">
        <f>IFERROR(ROUND(-MAX(0,C62-B62)*(C19/C8)*Assumptions!$F$112,0),0)</f>
        <v>-44800</v>
      </c>
      <c r="D22" s="67">
        <f>IFERROR(ROUND(-MAX(0,D62-C62)*(D19/D8)*Assumptions!$F$112,0),0)</f>
        <v>-119744</v>
      </c>
      <c r="E22" s="67">
        <f>IFERROR(ROUND(-MAX(0,E62-D62)*(E19/E8)*Assumptions!$F$112,0),0)</f>
        <v>-37642</v>
      </c>
      <c r="F22" s="67">
        <f>IFERROR(ROUND(-MAX(0,F62-E62)*(F19/F8)*Assumptions!$F$112,0),0)</f>
        <v>-271607</v>
      </c>
      <c r="H22" s="110">
        <f>IFERROR(ROUND(-H62*(H19/H8)*Assumptions!$F$112,0),0)</f>
        <v>-302</v>
      </c>
      <c r="I22" s="67">
        <f>IFERROR(ROUND(-MAX(0,I62-H62)*(I19/I8)*Assumptions!$F$112,0),0)</f>
        <v>-33936</v>
      </c>
      <c r="J22" s="67">
        <f>IFERROR(ROUND(-MAX(0,J62-I62)*(J19/J8)*Assumptions!$F$112,0),0)</f>
        <v>-53255</v>
      </c>
      <c r="K22" s="67">
        <f>IFERROR(ROUND(-MAX(0,K62-J62)*(K19/K8)*Assumptions!$F$112,0),0)</f>
        <v>-376441</v>
      </c>
      <c r="L22" s="67">
        <f>IFERROR(ROUND(-MAX(0,L62-K62)*(L19/L8)*Assumptions!$F$112,0),0)</f>
        <v>-278278</v>
      </c>
      <c r="N22" s="110">
        <f>IFERROR(ROUND(-N62*(N19/N8)*Assumptions!$F$112,0),0)</f>
        <v>-440</v>
      </c>
      <c r="O22" s="67">
        <f>IFERROR(ROUND(-MAX(0,O62-N62)*(O19/O8)*Assumptions!$F$112,0),0)</f>
        <v>-37243</v>
      </c>
      <c r="P22" s="67">
        <f>IFERROR(ROUND(-MAX(0,P62-O62)*(P19/P8)*Assumptions!$F$112,0),0)</f>
        <v>-32759</v>
      </c>
      <c r="Q22" s="67">
        <f>IFERROR(ROUND(-MAX(0,Q62-P62)*(Q19/Q8)*Assumptions!$F$112,0),0)</f>
        <v>-505387</v>
      </c>
      <c r="R22" s="67">
        <f>IFERROR(ROUND(-MAX(0,R62-Q62)*(R19/R8)*Assumptions!$F$112,0),0)</f>
        <v>-451174</v>
      </c>
    </row>
    <row r="23" spans="1:18" ht="15" customHeight="1" x14ac:dyDescent="0.2">
      <c r="A23" s="12" t="s">
        <v>331</v>
      </c>
      <c r="B23" s="67">
        <f>ROUND(B8*B12*Assumptions!$F$113*Assumptions!$F$115+B8*B13*Assumptions!$F$114*Assumptions!$F$116,0)</f>
        <v>46</v>
      </c>
      <c r="C23" s="67">
        <f>ROUND(C8*C12*Assumptions!$F$113*Assumptions!$F$115+C8*C13*Assumptions!$F$114*Assumptions!$F$116,0)</f>
        <v>9563</v>
      </c>
      <c r="D23" s="67">
        <f>ROUND(D8*D12*Assumptions!$F$113*Assumptions!$F$115+D8*D13*Assumptions!$F$114*Assumptions!$F$116,0)</f>
        <v>36000</v>
      </c>
      <c r="E23" s="67">
        <f>ROUND(E8*E12*Assumptions!$F$113*Assumptions!$F$115+E8*E13*Assumptions!$F$114*Assumptions!$F$116,0)</f>
        <v>39150</v>
      </c>
      <c r="F23" s="67">
        <f>ROUND(F8*F12*Assumptions!$F$113*Assumptions!$F$115+F8*F13*Assumptions!$F$114*Assumptions!$F$116,0)</f>
        <v>94500</v>
      </c>
      <c r="H23" s="110">
        <f>ROUND(H8*H12*Assumptions!$F$113*Assumptions!$F$115+H8*H13*Assumptions!$F$114*Assumptions!$F$116,0)</f>
        <v>92</v>
      </c>
      <c r="I23" s="67">
        <f>ROUND(I8*I12*Assumptions!$F$113*Assumptions!$F$115+I8*I13*Assumptions!$F$114*Assumptions!$F$116,0)</f>
        <v>10875</v>
      </c>
      <c r="J23" s="67">
        <f>ROUND(J8*J12*Assumptions!$F$113*Assumptions!$F$115+J8*J13*Assumptions!$F$114*Assumptions!$F$116,0)</f>
        <v>30000</v>
      </c>
      <c r="K23" s="67">
        <f>ROUND(K8*K12*Assumptions!$F$113*Assumptions!$F$115+K8*K13*Assumptions!$F$114*Assumptions!$F$116,0)</f>
        <v>144000</v>
      </c>
      <c r="L23" s="67">
        <f>ROUND(L8*L12*Assumptions!$F$113*Assumptions!$F$115+L8*L13*Assumptions!$F$114*Assumptions!$F$116,0)</f>
        <v>202500</v>
      </c>
      <c r="N23" s="110">
        <f>ROUND(N8*N12*Assumptions!$F$113*Assumptions!$F$115+N8*N13*Assumptions!$F$114*Assumptions!$F$116,0)</f>
        <v>176</v>
      </c>
      <c r="O23" s="67">
        <f>ROUND(O8*O12*Assumptions!$F$113*Assumptions!$F$115+O8*O13*Assumptions!$F$114*Assumptions!$F$116,0)</f>
        <v>12750</v>
      </c>
      <c r="P23" s="67">
        <f>ROUND(P8*P12*Assumptions!$F$113*Assumptions!$F$115+P8*P13*Assumptions!$F$114*Assumptions!$F$116,0)</f>
        <v>24000</v>
      </c>
      <c r="Q23" s="67">
        <f>ROUND(Q8*Q12*Assumptions!$F$113*Assumptions!$F$115+Q8*Q13*Assumptions!$F$114*Assumptions!$F$116,0)</f>
        <v>148800</v>
      </c>
      <c r="R23" s="67">
        <f>ROUND(R8*R12*Assumptions!$F$113*Assumptions!$F$115+R8*R13*Assumptions!$F$114*Assumptions!$F$116,0)</f>
        <v>220500</v>
      </c>
    </row>
    <row r="24" spans="1:18" ht="15" customHeight="1" x14ac:dyDescent="0.2">
      <c r="A24" s="12" t="s">
        <v>332</v>
      </c>
      <c r="B24" s="67">
        <f>ROUND(B15*Assumptions!$F$117,0)</f>
        <v>15</v>
      </c>
      <c r="C24" s="67">
        <f>ROUND(C15*Assumptions!$F$117,0)</f>
        <v>3750</v>
      </c>
      <c r="D24" s="67">
        <f>ROUND(D15*Assumptions!$F$117,0)</f>
        <v>18000</v>
      </c>
      <c r="E24" s="67">
        <f>ROUND(E15*Assumptions!$F$117,0)</f>
        <v>27000</v>
      </c>
      <c r="F24" s="67">
        <f>ROUND(F15*Assumptions!$F$117,0)</f>
        <v>90000</v>
      </c>
      <c r="H24" s="110">
        <f>ROUND(H15*Assumptions!$F$117,0)</f>
        <v>45</v>
      </c>
      <c r="I24" s="67">
        <f>ROUND(I15*Assumptions!$F$117,0)</f>
        <v>7500</v>
      </c>
      <c r="J24" s="67">
        <f>ROUND(J15*Assumptions!$F$117,0)</f>
        <v>30000</v>
      </c>
      <c r="K24" s="67">
        <f>ROUND(K15*Assumptions!$F$117,0)</f>
        <v>225000</v>
      </c>
      <c r="L24" s="67">
        <f>ROUND(L15*Assumptions!$F$117,0)</f>
        <v>450000</v>
      </c>
      <c r="N24" s="110">
        <f>ROUND(N15*Assumptions!$F$117,0)</f>
        <v>135</v>
      </c>
      <c r="O24" s="67">
        <f>ROUND(O15*Assumptions!$F$117,0)</f>
        <v>15000</v>
      </c>
      <c r="P24" s="67">
        <f>ROUND(P15*Assumptions!$F$117,0)</f>
        <v>48000</v>
      </c>
      <c r="Q24" s="67">
        <f>ROUND(Q15*Assumptions!$F$117,0)</f>
        <v>480000</v>
      </c>
      <c r="R24" s="67">
        <f>ROUND(R15*Assumptions!$F$117,0)</f>
        <v>1050000</v>
      </c>
    </row>
    <row r="25" spans="1:18" ht="15" customHeight="1" x14ac:dyDescent="0.2">
      <c r="A25" s="12" t="s">
        <v>334</v>
      </c>
      <c r="B25" s="67">
        <f>ROUND(B8*B13*Assumptions!$F$84*Assumptions!$F$118,0)</f>
        <v>21</v>
      </c>
      <c r="C25" s="67">
        <f>ROUND(C8*C13*Assumptions!$F$84*Assumptions!$F$118,0)</f>
        <v>4125</v>
      </c>
      <c r="D25" s="67">
        <f>ROUND(D8*D13*Assumptions!$F$84*Assumptions!$F$118,0)</f>
        <v>14400</v>
      </c>
      <c r="E25" s="67">
        <f>ROUND(E8*E13*Assumptions!$F$84*Assumptions!$F$118,0)</f>
        <v>13500</v>
      </c>
      <c r="F25" s="67">
        <f>ROUND(F8*F13*Assumptions!$F$84*Assumptions!$F$118,0)</f>
        <v>27000</v>
      </c>
      <c r="H25" s="110">
        <f>ROUND(H8*H13*Assumptions!$F$84*Assumptions!$F$118,0)</f>
        <v>36</v>
      </c>
      <c r="I25" s="67">
        <f>ROUND(I8*I13*Assumptions!$F$84*Assumptions!$F$118,0)</f>
        <v>3750</v>
      </c>
      <c r="J25" s="67">
        <f>ROUND(J8*J13*Assumptions!$F$84*Assumptions!$F$118,0)</f>
        <v>9000</v>
      </c>
      <c r="K25" s="67">
        <f>ROUND(K8*K13*Assumptions!$F$84*Assumptions!$F$118,0)</f>
        <v>36000</v>
      </c>
      <c r="L25" s="67">
        <f>ROUND(L8*L13*Assumptions!$F$84*Assumptions!$F$118,0)</f>
        <v>45000</v>
      </c>
      <c r="N25" s="110">
        <f>ROUND(N8*N13*Assumptions!$F$84*Assumptions!$F$118,0)</f>
        <v>54</v>
      </c>
      <c r="O25" s="67">
        <f>ROUND(O8*O13*Assumptions!$F$84*Assumptions!$F$118,0)</f>
        <v>3000</v>
      </c>
      <c r="P25" s="67">
        <f>ROUND(P8*P13*Assumptions!$F$84*Assumptions!$F$118,0)</f>
        <v>4800</v>
      </c>
      <c r="Q25" s="67">
        <f>ROUND(Q8*Q13*Assumptions!$F$84*Assumptions!$F$118,0)</f>
        <v>19200</v>
      </c>
      <c r="R25" s="67">
        <f>ROUND(R8*R13*Assumptions!$F$84*Assumptions!$F$118,0)</f>
        <v>21000</v>
      </c>
    </row>
    <row r="26" spans="1:18" ht="15" customHeight="1" x14ac:dyDescent="0.2">
      <c r="A26" s="12" t="s">
        <v>574</v>
      </c>
      <c r="B26" s="67">
        <f>ROUND(B8*B13*Assumptions!$F$119,0)</f>
        <v>53</v>
      </c>
      <c r="C26" s="67">
        <f>ROUND(C8*C13*Assumptions!$F$119,0)</f>
        <v>10313</v>
      </c>
      <c r="D26" s="67">
        <f>ROUND(D8*D13*Assumptions!$F$119,0)</f>
        <v>36000</v>
      </c>
      <c r="E26" s="67">
        <f>ROUND(E8*E13*Assumptions!$F$119,0)</f>
        <v>33750</v>
      </c>
      <c r="F26" s="67">
        <f>ROUND(F8*F13*Assumptions!$F$119,0)</f>
        <v>67500</v>
      </c>
      <c r="H26" s="110">
        <f>ROUND(H8*H13*Assumptions!$F$119,0)</f>
        <v>90</v>
      </c>
      <c r="I26" s="67">
        <f>ROUND(I8*I13*Assumptions!$F$119,0)</f>
        <v>9375</v>
      </c>
      <c r="J26" s="67">
        <f>ROUND(J8*J13*Assumptions!$F$119,0)</f>
        <v>22500</v>
      </c>
      <c r="K26" s="67">
        <f>ROUND(K8*K13*Assumptions!$F$119,0)</f>
        <v>90000</v>
      </c>
      <c r="L26" s="67">
        <f>ROUND(L8*L13*Assumptions!$F$119,0)</f>
        <v>112500</v>
      </c>
      <c r="N26" s="110">
        <f>ROUND(N8*N13*Assumptions!$F$119,0)</f>
        <v>135</v>
      </c>
      <c r="O26" s="67">
        <f>ROUND(O8*O13*Assumptions!$F$119,0)</f>
        <v>7500</v>
      </c>
      <c r="P26" s="67">
        <f>ROUND(P8*P13*Assumptions!$F$119,0)</f>
        <v>12000</v>
      </c>
      <c r="Q26" s="67">
        <f>ROUND(Q8*Q13*Assumptions!$F$119,0)</f>
        <v>48000</v>
      </c>
      <c r="R26" s="67">
        <f>ROUND(R8*R13*Assumptions!$F$119,0)</f>
        <v>52500</v>
      </c>
    </row>
    <row r="27" spans="1:18" ht="15" customHeight="1" x14ac:dyDescent="0.2">
      <c r="A27" s="12" t="s">
        <v>336</v>
      </c>
      <c r="B27" s="67">
        <f>ROUND(B16*Assumptions!$F$121*Assumptions!$F$120,0)</f>
        <v>10</v>
      </c>
      <c r="C27" s="67">
        <f>ROUND(C16*Assumptions!$F$121*Assumptions!$F$120,0)</f>
        <v>2235</v>
      </c>
      <c r="D27" s="67">
        <f>ROUND(D16*Assumptions!$F$121*Assumptions!$F$120,0)</f>
        <v>9216</v>
      </c>
      <c r="E27" s="67">
        <f>ROUND(E16*Assumptions!$F$121*Assumptions!$F$120,0)</f>
        <v>11556</v>
      </c>
      <c r="F27" s="67">
        <f>ROUND(F16*Assumptions!$F$121*Assumptions!$F$120,0)</f>
        <v>32760</v>
      </c>
      <c r="H27" s="110">
        <f>ROUND(H16*Assumptions!$F$121*Assumptions!$F$120,0)</f>
        <v>24</v>
      </c>
      <c r="I27" s="67">
        <f>ROUND(I16*Assumptions!$F$121*Assumptions!$F$120,0)</f>
        <v>3210</v>
      </c>
      <c r="J27" s="67">
        <f>ROUND(J16*Assumptions!$F$121*Assumptions!$F$120,0)</f>
        <v>10560</v>
      </c>
      <c r="K27" s="67">
        <f>ROUND(K16*Assumptions!$F$121*Assumptions!$F$120,0)</f>
        <v>64800</v>
      </c>
      <c r="L27" s="67">
        <f>ROUND(L16*Assumptions!$F$121*Assumptions!$F$120,0)</f>
        <v>113400</v>
      </c>
      <c r="N27" s="110">
        <f>ROUND(N16*Assumptions!$F$121*Assumptions!$F$120,0)</f>
        <v>55</v>
      </c>
      <c r="O27" s="67">
        <f>ROUND(O16*Assumptions!$F$121*Assumptions!$F$120,0)</f>
        <v>4980</v>
      </c>
      <c r="P27" s="67">
        <f>ROUND(P16*Assumptions!$F$121*Assumptions!$F$120,0)</f>
        <v>12672</v>
      </c>
      <c r="Q27" s="67">
        <f>ROUND(Q16*Assumptions!$F$121*Assumptions!$F$120,0)</f>
        <v>109440</v>
      </c>
      <c r="R27" s="67">
        <f>ROUND(R16*Assumptions!$F$121*Assumptions!$F$120,0)</f>
        <v>217560</v>
      </c>
    </row>
    <row r="28" spans="1:18" ht="15" customHeight="1" x14ac:dyDescent="0.2">
      <c r="A28" s="12" t="s">
        <v>575</v>
      </c>
      <c r="B28" s="56">
        <f>0</f>
        <v>0</v>
      </c>
      <c r="C28" s="67">
        <f>ROUND(Assumptions!$C$14*Assumptions!$F$122,0)+ROUND(Assumptions!$C$14*Assumptions!$F$123*12,0)</f>
        <v>0</v>
      </c>
      <c r="D28" s="67">
        <f>ROUND(MAX(0,Assumptions!$C$110-Assumptions!$C$14)*Assumptions!$F$122,0)+ROUND(Assumptions!$C$110*Assumptions!$F$123*12,0)</f>
        <v>0</v>
      </c>
      <c r="E28" s="67">
        <f>ROUND(MAX(0,Assumptions!$C$155-Assumptions!$C$110)*Assumptions!$F$122,0)+ROUND(Assumptions!$C$155*Assumptions!$F$123*12,0)</f>
        <v>16500</v>
      </c>
      <c r="F28" s="67">
        <f>ROUND(MAX(0,Assumptions!$C$156-Assumptions!$C$155)*Assumptions!$F$122,0)+ROUND(Assumptions!$C$156*Assumptions!$F$123*12,0)</f>
        <v>42000</v>
      </c>
      <c r="H28" s="107">
        <f>0</f>
        <v>0</v>
      </c>
      <c r="I28" s="67">
        <f>ROUND(Assumptions!$D$14*Assumptions!$F$122,0)+ROUND(Assumptions!$D$14*Assumptions!$F$123*12,0)</f>
        <v>49500</v>
      </c>
      <c r="J28" s="67">
        <f>ROUND(MAX(0,Assumptions!$D$110-Assumptions!$D$14)*Assumptions!$F$122,0)+ROUND(Assumptions!$D$110*Assumptions!$F$123*12,0)</f>
        <v>76500</v>
      </c>
      <c r="K28" s="67">
        <f>ROUND(MAX(0,Assumptions!$D$155-Assumptions!$D$110)*Assumptions!$F$122,0)+ROUND(Assumptions!$D$155*Assumptions!$F$123*12,0)</f>
        <v>120000</v>
      </c>
      <c r="L28" s="67">
        <f>ROUND(MAX(0,Assumptions!$D$156-Assumptions!$D$155)*Assumptions!$F$122,0)+ROUND(Assumptions!$D$156*Assumptions!$F$123*12,0)</f>
        <v>222000</v>
      </c>
      <c r="N28" s="107">
        <f>0</f>
        <v>0</v>
      </c>
      <c r="O28" s="67">
        <f>ROUND(Assumptions!$E$14*Assumptions!$F$122,0)+ROUND(Assumptions!$E$14*Assumptions!$F$123*12,0)</f>
        <v>165000</v>
      </c>
      <c r="P28" s="67">
        <f>ROUND(MAX(0,Assumptions!$E$110-Assumptions!$E$14)*Assumptions!$F$122,0)+ROUND(Assumptions!$E$110*Assumptions!$F$123*12,0)</f>
        <v>255000</v>
      </c>
      <c r="Q28" s="67">
        <f>ROUND(MAX(0,Assumptions!$E$155-Assumptions!$E$110)*Assumptions!$F$122,0)+ROUND(Assumptions!$E$155*Assumptions!$F$123*12,0)</f>
        <v>427500</v>
      </c>
      <c r="R28" s="67">
        <f>ROUND(MAX(0,Assumptions!$E$156-Assumptions!$E$155)*Assumptions!$F$122,0)+ROUND(Assumptions!$E$156*Assumptions!$F$123*12,0)</f>
        <v>727500</v>
      </c>
    </row>
    <row r="29" spans="1:18" ht="15" customHeight="1" x14ac:dyDescent="0.2">
      <c r="A29" s="12" t="s">
        <v>341</v>
      </c>
      <c r="B29" s="67">
        <f>ROUND(B8*Assumptions!$F$124,0)</f>
        <v>3</v>
      </c>
      <c r="C29" s="67">
        <f>ROUND(C8*Assumptions!$F$124,0)</f>
        <v>750</v>
      </c>
      <c r="D29" s="67">
        <f>ROUND(D8*Assumptions!$F$124,0)</f>
        <v>3600</v>
      </c>
      <c r="E29" s="67">
        <f>ROUND(E8*Assumptions!$F$124,0)</f>
        <v>5400</v>
      </c>
      <c r="F29" s="67">
        <f>ROUND(F8*Assumptions!$F$124,0)</f>
        <v>18000</v>
      </c>
      <c r="H29" s="110">
        <f>ROUND(H8*Assumptions!$F$124,0)</f>
        <v>9</v>
      </c>
      <c r="I29" s="67">
        <f>ROUND(I8*Assumptions!$F$124,0)</f>
        <v>1500</v>
      </c>
      <c r="J29" s="67">
        <f>ROUND(J8*Assumptions!$F$124,0)</f>
        <v>6000</v>
      </c>
      <c r="K29" s="67">
        <f>ROUND(K8*Assumptions!$F$124,0)</f>
        <v>45000</v>
      </c>
      <c r="L29" s="67">
        <f>ROUND(L8*Assumptions!$F$124,0)</f>
        <v>90000</v>
      </c>
      <c r="N29" s="110">
        <f>ROUND(N8*Assumptions!$F$124,0)</f>
        <v>27</v>
      </c>
      <c r="O29" s="67">
        <f>ROUND(O8*Assumptions!$F$124,0)</f>
        <v>3000</v>
      </c>
      <c r="P29" s="67">
        <f>ROUND(P8*Assumptions!$F$124,0)</f>
        <v>9600</v>
      </c>
      <c r="Q29" s="67">
        <f>ROUND(Q8*Assumptions!$F$124,0)</f>
        <v>96000</v>
      </c>
      <c r="R29" s="67">
        <f>ROUND(R8*Assumptions!$F$124,0)</f>
        <v>210000</v>
      </c>
    </row>
    <row r="30" spans="1:18" ht="15" customHeight="1" x14ac:dyDescent="0.2">
      <c r="A30" s="24" t="s">
        <v>385</v>
      </c>
      <c r="B30" s="92">
        <f>SUM(B19:B29)</f>
        <v>961.45</v>
      </c>
      <c r="C30" s="92">
        <f>SUM(C19:C29)</f>
        <v>231448.50000000003</v>
      </c>
      <c r="D30" s="92">
        <f>SUM(D19:D29)</f>
        <v>1058766.4000000001</v>
      </c>
      <c r="E30" s="92">
        <f>SUM(E19:E29)</f>
        <v>1523224.3490000002</v>
      </c>
      <c r="F30" s="92">
        <f>SUM(F19:F29)</f>
        <v>4448182.3489000006</v>
      </c>
      <c r="H30" s="89">
        <f>SUM(H19:H29)</f>
        <v>2449.0500000000002</v>
      </c>
      <c r="I30" s="92">
        <f>SUM(I19:I29)</f>
        <v>404549</v>
      </c>
      <c r="J30" s="92">
        <f>SUM(J19:J29)</f>
        <v>1387904</v>
      </c>
      <c r="K30" s="92">
        <f>SUM(K19:K29)</f>
        <v>8942691.9200000018</v>
      </c>
      <c r="L30" s="92">
        <f>SUM(L19:L29)</f>
        <v>17832613.677500002</v>
      </c>
      <c r="N30" s="89">
        <f>SUM(N19:N29)</f>
        <v>5836.3</v>
      </c>
      <c r="O30" s="92">
        <f>SUM(O19:O29)</f>
        <v>728337</v>
      </c>
      <c r="P30" s="92">
        <f>SUM(P19:P29)</f>
        <v>1930581.8000000003</v>
      </c>
      <c r="Q30" s="92">
        <f>SUM(Q19:Q29)</f>
        <v>16368431.144000003</v>
      </c>
      <c r="R30" s="92">
        <f>SUM(R19:R29)</f>
        <v>36883688.518300012</v>
      </c>
    </row>
    <row r="31" spans="1:18" ht="8.1" customHeight="1" x14ac:dyDescent="0.2"/>
    <row r="32" spans="1:18" ht="18.95" customHeight="1" x14ac:dyDescent="0.2">
      <c r="A32" s="5" t="s">
        <v>387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ht="15" customHeight="1" x14ac:dyDescent="0.2">
      <c r="A33" s="12" t="s">
        <v>388</v>
      </c>
      <c r="B33" s="67">
        <f>B14*Assumptions!$F$23/Assumptions!$F$8</f>
        <v>1.8632812499999998</v>
      </c>
      <c r="C33" s="67">
        <f>C14*Assumptions!$F$23/Assumptions!$F$8</f>
        <v>430.6640625</v>
      </c>
      <c r="D33" s="67">
        <f>D14*Assumptions!$F$23/Assumptions!$F$8</f>
        <v>1856.25</v>
      </c>
      <c r="E33" s="67">
        <f>E14*Assumptions!$F$23/Assumptions!$F$8</f>
        <v>2467.96875</v>
      </c>
      <c r="F33" s="67">
        <f>F14*Assumptions!$F$23/Assumptions!$F$8</f>
        <v>7382.8125</v>
      </c>
      <c r="H33" s="110">
        <f>H14*Assumptions!$F$23/Assumptions!$F$8</f>
        <v>4.74609375</v>
      </c>
      <c r="I33" s="67">
        <f>I14*Assumptions!$F$23/Assumptions!$F$8</f>
        <v>685.546875</v>
      </c>
      <c r="J33" s="67">
        <f>J14*Assumptions!$F$23/Assumptions!$F$8</f>
        <v>2390.6250000000005</v>
      </c>
      <c r="K33" s="67">
        <f>K14*Assumptions!$F$23/Assumptions!$F$8</f>
        <v>15609.374999999996</v>
      </c>
      <c r="L33" s="67">
        <f>L14*Assumptions!$F$23/Assumptions!$F$8</f>
        <v>28476.5625</v>
      </c>
      <c r="N33" s="110">
        <f>N14*Assumptions!$F$23/Assumptions!$F$8</f>
        <v>12.0234375</v>
      </c>
      <c r="O33" s="67">
        <f>O14*Assumptions!$F$23/Assumptions!$F$8</f>
        <v>1160.1562500000002</v>
      </c>
      <c r="P33" s="67">
        <f>P14*Assumptions!$F$23/Assumptions!$F$8</f>
        <v>3150</v>
      </c>
      <c r="Q33" s="67">
        <f>Q14*Assumptions!$F$23/Assumptions!$F$8</f>
        <v>28575</v>
      </c>
      <c r="R33" s="67">
        <f>R14*Assumptions!$F$23/Assumptions!$F$8</f>
        <v>58570.3125</v>
      </c>
    </row>
    <row r="34" spans="1:18" ht="15" customHeight="1" x14ac:dyDescent="0.2">
      <c r="A34" s="12" t="s">
        <v>390</v>
      </c>
      <c r="B34" s="67">
        <f>B15*Assumptions!$F$24/Assumptions!$F$8</f>
        <v>2.734375</v>
      </c>
      <c r="C34" s="67">
        <f>C15*Assumptions!$F$24/Assumptions!$F$8</f>
        <v>683.59375</v>
      </c>
      <c r="D34" s="67">
        <f>D15*Assumptions!$F$24/Assumptions!$F$8</f>
        <v>3281.25</v>
      </c>
      <c r="E34" s="67">
        <f>E15*Assumptions!$F$24/Assumptions!$F$8</f>
        <v>4921.875</v>
      </c>
      <c r="F34" s="67">
        <f>F15*Assumptions!$F$24/Assumptions!$F$8</f>
        <v>16406.25</v>
      </c>
      <c r="H34" s="110">
        <f>H15*Assumptions!$F$24/Assumptions!$F$8</f>
        <v>8.203125</v>
      </c>
      <c r="I34" s="67">
        <f>I15*Assumptions!$F$24/Assumptions!$F$8</f>
        <v>1367.1875</v>
      </c>
      <c r="J34" s="67">
        <f>J15*Assumptions!$F$24/Assumptions!$F$8</f>
        <v>5468.75</v>
      </c>
      <c r="K34" s="67">
        <f>K15*Assumptions!$F$24/Assumptions!$F$8</f>
        <v>41015.625</v>
      </c>
      <c r="L34" s="67">
        <f>L15*Assumptions!$F$24/Assumptions!$F$8</f>
        <v>82031.25</v>
      </c>
      <c r="N34" s="110">
        <f>N15*Assumptions!$F$24/Assumptions!$F$8</f>
        <v>24.609375</v>
      </c>
      <c r="O34" s="67">
        <f>O15*Assumptions!$F$24/Assumptions!$F$8</f>
        <v>2734.375</v>
      </c>
      <c r="P34" s="67">
        <f>P15*Assumptions!$F$24/Assumptions!$F$8</f>
        <v>8750</v>
      </c>
      <c r="Q34" s="67">
        <f>Q15*Assumptions!$F$24/Assumptions!$F$8</f>
        <v>87500</v>
      </c>
      <c r="R34" s="67">
        <f>R15*Assumptions!$F$24/Assumptions!$F$8</f>
        <v>191406.25</v>
      </c>
    </row>
    <row r="35" spans="1:18" ht="15" customHeight="1" x14ac:dyDescent="0.2">
      <c r="A35" s="12" t="s">
        <v>392</v>
      </c>
      <c r="B35" s="67">
        <f>B15*Assumptions!$F$25/Assumptions!$F$8</f>
        <v>1.0546875</v>
      </c>
      <c r="C35" s="67">
        <f>C15*Assumptions!$F$25/Assumptions!$F$8</f>
        <v>263.671875</v>
      </c>
      <c r="D35" s="67">
        <f>D15*Assumptions!$F$25/Assumptions!$F$8</f>
        <v>1265.625</v>
      </c>
      <c r="E35" s="67">
        <f>E15*Assumptions!$F$25/Assumptions!$F$8</f>
        <v>1898.4375</v>
      </c>
      <c r="F35" s="67">
        <f>F15*Assumptions!$F$25/Assumptions!$F$8</f>
        <v>6328.1250000000009</v>
      </c>
      <c r="H35" s="110">
        <f>H15*Assumptions!$F$25/Assumptions!$F$8</f>
        <v>3.1640625000000004</v>
      </c>
      <c r="I35" s="67">
        <f>I15*Assumptions!$F$25/Assumptions!$F$8</f>
        <v>527.34375</v>
      </c>
      <c r="J35" s="67">
        <f>J15*Assumptions!$F$25/Assumptions!$F$8</f>
        <v>2109.375</v>
      </c>
      <c r="K35" s="67">
        <f>K15*Assumptions!$F$25/Assumptions!$F$8</f>
        <v>15820.3125</v>
      </c>
      <c r="L35" s="67">
        <f>L15*Assumptions!$F$25/Assumptions!$F$8</f>
        <v>31640.625</v>
      </c>
      <c r="N35" s="110">
        <f>N15*Assumptions!$F$25/Assumptions!$F$8</f>
        <v>9.4921875</v>
      </c>
      <c r="O35" s="67">
        <f>O15*Assumptions!$F$25/Assumptions!$F$8</f>
        <v>1054.6875</v>
      </c>
      <c r="P35" s="67">
        <f>P15*Assumptions!$F$25/Assumptions!$F$8</f>
        <v>3375</v>
      </c>
      <c r="Q35" s="67">
        <f>Q15*Assumptions!$F$25/Assumptions!$F$8</f>
        <v>33750</v>
      </c>
      <c r="R35" s="67">
        <f>R15*Assumptions!$F$25/Assumptions!$F$8</f>
        <v>73828.125</v>
      </c>
    </row>
    <row r="36" spans="1:18" ht="15" customHeight="1" x14ac:dyDescent="0.2">
      <c r="A36" s="12" t="s">
        <v>394</v>
      </c>
      <c r="B36" s="67">
        <f>B8*(B11*Assumptions!$F$82+B12*Assumptions!$F$83+B13*Assumptions!$F$84)+B8*(B11*Assumptions!$F$85+B12*Assumptions!$F$86+B13*Assumptions!$F$87)</f>
        <v>217.8</v>
      </c>
      <c r="C36" s="67">
        <f>C8*(C11*Assumptions!$F$82+C12*Assumptions!$F$83+C13*Assumptions!$F$84)+C8*(C11*Assumptions!$F$85+C12*Assumptions!$F$86+C13*Assumptions!$F$87)</f>
        <v>44025</v>
      </c>
      <c r="D36" s="67">
        <f>D8*(D11*Assumptions!$F$82+D12*Assumptions!$F$83+D13*Assumptions!$F$84)+D8*(D11*Assumptions!$F$85+D12*Assumptions!$F$86+D13*Assumptions!$F$87)</f>
        <v>159840</v>
      </c>
      <c r="E36" s="67">
        <f>E8*(E11*Assumptions!$F$82+E12*Assumptions!$F$83+E13*Assumptions!$F$84)+E8*(E11*Assumptions!$F$85+E12*Assumptions!$F$86+E13*Assumptions!$F$87)</f>
        <v>162540</v>
      </c>
      <c r="F36" s="67">
        <f>F8*(F11*Assumptions!$F$82+F12*Assumptions!$F$83+F13*Assumptions!$F$84)+F8*(F11*Assumptions!$F$85+F12*Assumptions!$F$86+F13*Assumptions!$F$87)</f>
        <v>365400</v>
      </c>
      <c r="H36" s="110">
        <f>H8*(H11*Assumptions!$F$82+H12*Assumptions!$F$83+H13*Assumptions!$F$84)+H8*(H11*Assumptions!$F$85+H12*Assumptions!$F$86+H13*Assumptions!$F$87)</f>
        <v>403.20000000000005</v>
      </c>
      <c r="I36" s="67">
        <f>I8*(I11*Assumptions!$F$82+I12*Assumptions!$F$83+I13*Assumptions!$F$84)+I8*(I11*Assumptions!$F$85+I12*Assumptions!$F$86+I13*Assumptions!$F$87)</f>
        <v>45150</v>
      </c>
      <c r="J36" s="67">
        <f>J8*(J11*Assumptions!$F$82+J12*Assumptions!$F$83+J13*Assumptions!$F$84)+J8*(J11*Assumptions!$F$85+J12*Assumptions!$F$86+J13*Assumptions!$F$87)</f>
        <v>119400</v>
      </c>
      <c r="K36" s="67">
        <f>K8*(K11*Assumptions!$F$82+K12*Assumptions!$F$83+K13*Assumptions!$F$84)+K8*(K11*Assumptions!$F$85+K12*Assumptions!$F$86+K13*Assumptions!$F$87)</f>
        <v>558000</v>
      </c>
      <c r="L36" s="67">
        <f>L8*(L11*Assumptions!$F$82+L12*Assumptions!$F$83+L13*Assumptions!$F$84)+L8*(L11*Assumptions!$F$85+L12*Assumptions!$F$86+L13*Assumptions!$F$87)</f>
        <v>801000</v>
      </c>
      <c r="N36" s="110">
        <f>N8*(N11*Assumptions!$F$82+N12*Assumptions!$F$83+N13*Assumptions!$F$84)+N8*(N11*Assumptions!$F$85+N12*Assumptions!$F$86+N13*Assumptions!$F$87)</f>
        <v>691.19999999999993</v>
      </c>
      <c r="O36" s="67">
        <f>O8*(O11*Assumptions!$F$82+O12*Assumptions!$F$83+O13*Assumptions!$F$84)+O8*(O11*Assumptions!$F$85+O12*Assumptions!$F$86+O13*Assumptions!$F$87)</f>
        <v>46200</v>
      </c>
      <c r="P36" s="67">
        <f>P8*(P11*Assumptions!$F$82+P12*Assumptions!$F$83+P13*Assumptions!$F$84)+P8*(P11*Assumptions!$F$85+P12*Assumptions!$F$86+P13*Assumptions!$F$87)</f>
        <v>89280</v>
      </c>
      <c r="Q36" s="67">
        <f>Q8*(Q11*Assumptions!$F$82+Q12*Assumptions!$F$83+Q13*Assumptions!$F$84)+Q8*(Q11*Assumptions!$F$85+Q12*Assumptions!$F$86+Q13*Assumptions!$F$87)</f>
        <v>556800.00000000012</v>
      </c>
      <c r="R36" s="67">
        <f>R8*(R11*Assumptions!$F$82+R12*Assumptions!$F$83+R13*Assumptions!$F$84)+R8*(R11*Assumptions!$F$85+R12*Assumptions!$F$86+R13*Assumptions!$F$87)</f>
        <v>911400</v>
      </c>
    </row>
    <row r="37" spans="1:18" ht="15" customHeight="1" x14ac:dyDescent="0.2">
      <c r="A37" s="12" t="s">
        <v>396</v>
      </c>
      <c r="B37" s="67">
        <f>B8*Assumptions!$F$26/Assumptions!$F$8</f>
        <v>0.15625</v>
      </c>
      <c r="C37" s="67">
        <f>C8*Assumptions!$F$26/Assumptions!$F$8</f>
        <v>39.0625</v>
      </c>
      <c r="D37" s="67">
        <f>D8*Assumptions!$F$26/Assumptions!$F$8</f>
        <v>187.5</v>
      </c>
      <c r="E37" s="67">
        <f>E8*Assumptions!$F$26/Assumptions!$F$8</f>
        <v>281.25</v>
      </c>
      <c r="F37" s="67">
        <f>F8*Assumptions!$F$26/Assumptions!$F$8</f>
        <v>937.5</v>
      </c>
      <c r="H37" s="110">
        <f>H8*Assumptions!$F$26/Assumptions!$F$8</f>
        <v>0.46875000000000006</v>
      </c>
      <c r="I37" s="67">
        <f>I8*Assumptions!$F$26/Assumptions!$F$8</f>
        <v>78.125</v>
      </c>
      <c r="J37" s="67">
        <f>J8*Assumptions!$F$26/Assumptions!$F$8</f>
        <v>312.5</v>
      </c>
      <c r="K37" s="67">
        <f>K8*Assumptions!$F$26/Assumptions!$F$8</f>
        <v>2343.75</v>
      </c>
      <c r="L37" s="67">
        <f>L8*Assumptions!$F$26/Assumptions!$F$8</f>
        <v>4687.5</v>
      </c>
      <c r="N37" s="110">
        <f>N8*Assumptions!$F$26/Assumptions!$F$8</f>
        <v>1.40625</v>
      </c>
      <c r="O37" s="67">
        <f>O8*Assumptions!$F$26/Assumptions!$F$8</f>
        <v>156.25</v>
      </c>
      <c r="P37" s="67">
        <f>P8*Assumptions!$F$26/Assumptions!$F$8</f>
        <v>500</v>
      </c>
      <c r="Q37" s="67">
        <f>Q8*Assumptions!$F$26/Assumptions!$F$8</f>
        <v>5000</v>
      </c>
      <c r="R37" s="67">
        <f>R8*Assumptions!$F$26/Assumptions!$F$8</f>
        <v>10937.5</v>
      </c>
    </row>
    <row r="38" spans="1:18" ht="15" customHeight="1" x14ac:dyDescent="0.2">
      <c r="A38" s="12" t="s">
        <v>398</v>
      </c>
      <c r="B38" s="67">
        <f>B8*Assumptions!$F$27/Assumptions!$F$8</f>
        <v>7.8125E-3</v>
      </c>
      <c r="C38" s="67">
        <f>C8*Assumptions!$F$27/Assumptions!$F$8</f>
        <v>1.953125</v>
      </c>
      <c r="D38" s="67">
        <f>D8*Assumptions!$F$27/Assumptions!$F$8</f>
        <v>9.375</v>
      </c>
      <c r="E38" s="67">
        <f>E8*Assumptions!$F$27/Assumptions!$F$8</f>
        <v>14.0625</v>
      </c>
      <c r="F38" s="67">
        <f>F8*Assumptions!$F$27/Assumptions!$F$8</f>
        <v>46.875</v>
      </c>
      <c r="H38" s="110">
        <f>H8*Assumptions!$F$27/Assumptions!$F$8</f>
        <v>2.34375E-2</v>
      </c>
      <c r="I38" s="67">
        <f>I8*Assumptions!$F$27/Assumptions!$F$8</f>
        <v>3.90625</v>
      </c>
      <c r="J38" s="67">
        <f>J8*Assumptions!$F$27/Assumptions!$F$8</f>
        <v>15.625</v>
      </c>
      <c r="K38" s="67">
        <f>K8*Assumptions!$F$27/Assumptions!$F$8</f>
        <v>117.1875</v>
      </c>
      <c r="L38" s="67">
        <f>L8*Assumptions!$F$27/Assumptions!$F$8</f>
        <v>234.375</v>
      </c>
      <c r="N38" s="110">
        <f>N8*Assumptions!$F$27/Assumptions!$F$8</f>
        <v>7.03125E-2</v>
      </c>
      <c r="O38" s="67">
        <f>O8*Assumptions!$F$27/Assumptions!$F$8</f>
        <v>7.8125</v>
      </c>
      <c r="P38" s="67">
        <f>P8*Assumptions!$F$27/Assumptions!$F$8</f>
        <v>25</v>
      </c>
      <c r="Q38" s="67">
        <f>Q8*Assumptions!$F$27/Assumptions!$F$8</f>
        <v>250</v>
      </c>
      <c r="R38" s="67">
        <f>R8*Assumptions!$F$27/Assumptions!$F$8</f>
        <v>546.875</v>
      </c>
    </row>
    <row r="39" spans="1:18" ht="15" customHeight="1" x14ac:dyDescent="0.2">
      <c r="A39" s="12" t="s">
        <v>400</v>
      </c>
      <c r="B39" s="67">
        <f>B8*Assumptions!$F$28/Assumptions!$F$8</f>
        <v>2.34375E-2</v>
      </c>
      <c r="C39" s="67">
        <f>C8*Assumptions!$F$28/Assumptions!$F$8</f>
        <v>5.859375</v>
      </c>
      <c r="D39" s="67">
        <f>D8*Assumptions!$F$28/Assumptions!$F$8</f>
        <v>28.125</v>
      </c>
      <c r="E39" s="67">
        <f>E8*Assumptions!$F$28/Assumptions!$F$8</f>
        <v>42.1875</v>
      </c>
      <c r="F39" s="67">
        <f>F8*Assumptions!$F$28/Assumptions!$F$8</f>
        <v>140.625</v>
      </c>
      <c r="H39" s="110">
        <f>H8*Assumptions!$F$28/Assumptions!$F$8</f>
        <v>7.03125E-2</v>
      </c>
      <c r="I39" s="67">
        <f>I8*Assumptions!$F$28/Assumptions!$F$8</f>
        <v>11.71875</v>
      </c>
      <c r="J39" s="67">
        <f>J8*Assumptions!$F$28/Assumptions!$F$8</f>
        <v>46.875</v>
      </c>
      <c r="K39" s="67">
        <f>K8*Assumptions!$F$28/Assumptions!$F$8</f>
        <v>351.5625</v>
      </c>
      <c r="L39" s="67">
        <f>L8*Assumptions!$F$28/Assumptions!$F$8</f>
        <v>703.125</v>
      </c>
      <c r="N39" s="110">
        <f>N8*Assumptions!$F$28/Assumptions!$F$8</f>
        <v>0.2109375</v>
      </c>
      <c r="O39" s="67">
        <f>O8*Assumptions!$F$28/Assumptions!$F$8</f>
        <v>23.4375</v>
      </c>
      <c r="P39" s="67">
        <f>P8*Assumptions!$F$28/Assumptions!$F$8</f>
        <v>75</v>
      </c>
      <c r="Q39" s="67">
        <f>Q8*Assumptions!$F$28/Assumptions!$F$8</f>
        <v>750</v>
      </c>
      <c r="R39" s="67">
        <f>R8*Assumptions!$F$28/Assumptions!$F$8</f>
        <v>1640.625</v>
      </c>
    </row>
    <row r="40" spans="1:18" ht="15" customHeight="1" x14ac:dyDescent="0.2">
      <c r="A40" s="12" t="s">
        <v>402</v>
      </c>
      <c r="B40" s="67">
        <f>B8*(B11*Assumptions!$F$88+B12*Assumptions!$F$89+B13*Assumptions!$F$90)</f>
        <v>15.6</v>
      </c>
      <c r="C40" s="67">
        <f>C8*(C11*Assumptions!$F$88+C12*Assumptions!$F$89+C13*Assumptions!$F$90)</f>
        <v>3325</v>
      </c>
      <c r="D40" s="67">
        <f>D8*(D11*Assumptions!$F$88+D12*Assumptions!$F$89+D13*Assumptions!$F$90)</f>
        <v>12960</v>
      </c>
      <c r="E40" s="67">
        <f>E8*(E11*Assumptions!$F$88+E12*Assumptions!$F$89+E13*Assumptions!$F$90)</f>
        <v>14940.000000000002</v>
      </c>
      <c r="F40" s="67">
        <f>F8*(F11*Assumptions!$F$88+F12*Assumptions!$F$89+F13*Assumptions!$F$90)</f>
        <v>39000</v>
      </c>
      <c r="H40" s="110">
        <f>H8*(H11*Assumptions!$F$88+H12*Assumptions!$F$89+H13*Assumptions!$F$90)</f>
        <v>33</v>
      </c>
      <c r="I40" s="67">
        <f>I8*(I11*Assumptions!$F$88+I12*Assumptions!$F$89+I13*Assumptions!$F$90)</f>
        <v>4150</v>
      </c>
      <c r="J40" s="67">
        <f>J8*(J11*Assumptions!$F$88+J12*Assumptions!$F$89+J13*Assumptions!$F$90)</f>
        <v>12600.000000000002</v>
      </c>
      <c r="K40" s="67">
        <f>K8*(K11*Assumptions!$F$88+K12*Assumptions!$F$89+K13*Assumptions!$F$90)</f>
        <v>70800.000000000015</v>
      </c>
      <c r="L40" s="67">
        <f>L8*(L11*Assumptions!$F$88+L12*Assumptions!$F$89+L13*Assumptions!$F$90)</f>
        <v>117000</v>
      </c>
      <c r="N40" s="110">
        <f>N8*(N11*Assumptions!$F$88+N12*Assumptions!$F$89+N13*Assumptions!$F$90)</f>
        <v>68.399999999999991</v>
      </c>
      <c r="O40" s="67">
        <f>O8*(O11*Assumptions!$F$88+O12*Assumptions!$F$89+O13*Assumptions!$F$90)</f>
        <v>5600</v>
      </c>
      <c r="P40" s="67">
        <f>P8*(P11*Assumptions!$F$88+P12*Assumptions!$F$89+P13*Assumptions!$F$90)</f>
        <v>13119.999999999998</v>
      </c>
      <c r="Q40" s="67">
        <f>Q8*(Q11*Assumptions!$F$88+Q12*Assumptions!$F$89+Q13*Assumptions!$F$90)</f>
        <v>104960</v>
      </c>
      <c r="R40" s="67">
        <f>R8*(R11*Assumptions!$F$88+R12*Assumptions!$F$89+R13*Assumptions!$F$90)</f>
        <v>200200.00000000003</v>
      </c>
    </row>
    <row r="41" spans="1:18" ht="15" customHeight="1" x14ac:dyDescent="0.2">
      <c r="A41" s="12" t="s">
        <v>576</v>
      </c>
      <c r="B41" s="67">
        <f>B8*(B11*Assumptions!$F$91*Assumptions!$F$94+B12*Assumptions!$F$92*Assumptions!$F$95+B13*Assumptions!$F$93*Assumptions!$F$96)</f>
        <v>52.11999999999999</v>
      </c>
      <c r="C41" s="67">
        <f>C8*(C11*Assumptions!$F$91*Assumptions!$F$94+C12*Assumptions!$F$92*Assumptions!$F$95+C13*Assumptions!$F$93*Assumptions!$F$96)</f>
        <v>10735.000000000002</v>
      </c>
      <c r="D41" s="67">
        <f>D8*(D11*Assumptions!$F$91*Assumptions!$F$94+D12*Assumptions!$F$92*Assumptions!$F$95+D13*Assumptions!$F$93*Assumptions!$F$96)</f>
        <v>39936.000000000007</v>
      </c>
      <c r="E41" s="67">
        <f>E8*(E11*Assumptions!$F$91*Assumptions!$F$94+E12*Assumptions!$F$92*Assumptions!$F$95+E13*Assumptions!$F$93*Assumptions!$F$96)</f>
        <v>42516</v>
      </c>
      <c r="F41" s="67">
        <f>F8*(F11*Assumptions!$F$91*Assumptions!$F$94+F12*Assumptions!$F$92*Assumptions!$F$95+F13*Assumptions!$F$93*Assumptions!$F$96)</f>
        <v>101160</v>
      </c>
      <c r="H41" s="110">
        <f>H8*(H11*Assumptions!$F$91*Assumptions!$F$94+H12*Assumptions!$F$92*Assumptions!$F$95+H13*Assumptions!$F$93*Assumptions!$F$96)</f>
        <v>101.28000000000002</v>
      </c>
      <c r="I41" s="67">
        <f>I8*(I11*Assumptions!$F$91*Assumptions!$F$94+I12*Assumptions!$F$92*Assumptions!$F$95+I13*Assumptions!$F$93*Assumptions!$F$96)</f>
        <v>11810</v>
      </c>
      <c r="J41" s="67">
        <f>J8*(J11*Assumptions!$F$91*Assumptions!$F$94+J12*Assumptions!$F$92*Assumptions!$F$95+J13*Assumptions!$F$93*Assumptions!$F$96)</f>
        <v>32760.000000000004</v>
      </c>
      <c r="K41" s="67">
        <f>K8*(K11*Assumptions!$F$91*Assumptions!$F$94+K12*Assumptions!$F$92*Assumptions!$F$95+K13*Assumptions!$F$93*Assumptions!$F$96)</f>
        <v>163199.99999999997</v>
      </c>
      <c r="L41" s="67">
        <f>L8*(L11*Assumptions!$F$91*Assumptions!$F$94+L12*Assumptions!$F$92*Assumptions!$F$95+L13*Assumptions!$F$93*Assumptions!$F$96)</f>
        <v>245400</v>
      </c>
      <c r="N41" s="110">
        <f>N8*(N11*Assumptions!$F$91*Assumptions!$F$94+N12*Assumptions!$F$92*Assumptions!$F$95+N13*Assumptions!$F$93*Assumptions!$F$96)</f>
        <v>186.48000000000002</v>
      </c>
      <c r="O41" s="67">
        <f>O8*(O11*Assumptions!$F$91*Assumptions!$F$94+O12*Assumptions!$F$92*Assumptions!$F$95+O13*Assumptions!$F$93*Assumptions!$F$96)</f>
        <v>13480.000000000002</v>
      </c>
      <c r="P41" s="67">
        <f>P8*(P11*Assumptions!$F$91*Assumptions!$F$94+P12*Assumptions!$F$92*Assumptions!$F$95+P13*Assumptions!$F$93*Assumptions!$F$96)</f>
        <v>27712</v>
      </c>
      <c r="Q41" s="67">
        <f>Q8*(Q11*Assumptions!$F$91*Assumptions!$F$94+Q12*Assumptions!$F$92*Assumptions!$F$95+Q13*Assumptions!$F$93*Assumptions!$F$96)</f>
        <v>190720.00000000003</v>
      </c>
      <c r="R41" s="67">
        <f>R8*(R11*Assumptions!$F$91*Assumptions!$F$94+R12*Assumptions!$F$92*Assumptions!$F$95+R13*Assumptions!$F$93*Assumptions!$F$96)</f>
        <v>329560</v>
      </c>
    </row>
    <row r="42" spans="1:18" ht="15" customHeight="1" x14ac:dyDescent="0.2">
      <c r="A42" s="12" t="s">
        <v>344</v>
      </c>
      <c r="B42" s="67">
        <f>ROUND(B8*Assumptions!$F$131*Assumptions!$F$132+B8*Assumptions!$F$176*Assumptions!$F$181,0)</f>
        <v>12</v>
      </c>
      <c r="C42" s="67">
        <f>ROUND(C8*Assumptions!$F$131*Assumptions!$F$132+C8*Assumptions!$F$177*Assumptions!$F$181,0)</f>
        <v>4950</v>
      </c>
      <c r="D42" s="67">
        <f>ROUND(D8*Assumptions!$F$131*Assumptions!$F$132+D8*Assumptions!$F$178*Assumptions!$F$181,0)</f>
        <v>37260</v>
      </c>
      <c r="E42" s="67">
        <f>ROUND(E8*Assumptions!$F$131*Assumptions!$F$132+E8*Assumptions!$F$179*Assumptions!$F$181,0)</f>
        <v>76140</v>
      </c>
      <c r="F42" s="67">
        <f>ROUND(F8*Assumptions!$F$131*Assumptions!$F$132+F8*Assumptions!$F$180*Assumptions!$F$181,0)</f>
        <v>321300</v>
      </c>
      <c r="H42" s="110">
        <f>ROUND(H8*Assumptions!$F$131*Assumptions!$F$132+H8*Assumptions!$F$176*Assumptions!$F$181,0)</f>
        <v>37</v>
      </c>
      <c r="I42" s="67">
        <f>ROUND(I8*Assumptions!$F$131*Assumptions!$F$132+I8*Assumptions!$F$177*Assumptions!$F$181,0)</f>
        <v>9900</v>
      </c>
      <c r="J42" s="67">
        <f>ROUND(J8*Assumptions!$F$131*Assumptions!$F$132+J8*Assumptions!$F$178*Assumptions!$F$181,0)</f>
        <v>62100</v>
      </c>
      <c r="K42" s="67">
        <f>ROUND(K8*Assumptions!$F$131*Assumptions!$F$132+K8*Assumptions!$F$179*Assumptions!$F$181,0)</f>
        <v>634500</v>
      </c>
      <c r="L42" s="67">
        <f>ROUND(L8*Assumptions!$F$131*Assumptions!$F$132+L8*Assumptions!$F$180*Assumptions!$F$181,0)</f>
        <v>1606500</v>
      </c>
      <c r="N42" s="110">
        <f>ROUND(N8*Assumptions!$F$131*Assumptions!$F$132+N8*Assumptions!$F$176*Assumptions!$F$181,0)</f>
        <v>111</v>
      </c>
      <c r="O42" s="67">
        <f>ROUND(O8*Assumptions!$F$131*Assumptions!$F$132+O8*Assumptions!$F$177*Assumptions!$F$181,0)</f>
        <v>19800</v>
      </c>
      <c r="P42" s="67">
        <f>ROUND(P8*Assumptions!$F$131*Assumptions!$F$132+P8*Assumptions!$F$178*Assumptions!$F$181,0)</f>
        <v>99360</v>
      </c>
      <c r="Q42" s="67">
        <f>ROUND(Q8*Assumptions!$F$131*Assumptions!$F$132+Q8*Assumptions!$F$179*Assumptions!$F$181,0)</f>
        <v>1353600</v>
      </c>
      <c r="R42" s="67">
        <f>ROUND(R8*Assumptions!$F$131*Assumptions!$F$132+R8*Assumptions!$F$180*Assumptions!$F$181,0)</f>
        <v>3748500</v>
      </c>
    </row>
    <row r="43" spans="1:18" ht="15" customHeight="1" x14ac:dyDescent="0.2">
      <c r="A43" s="12" t="s">
        <v>346</v>
      </c>
      <c r="B43" s="67">
        <f>ROUND(B16*Assumptions!$F$133*Assumptions!$F$134,0)</f>
        <v>38</v>
      </c>
      <c r="C43" s="67">
        <f>ROUND(C16*Assumptions!$F$133*Assumptions!$F$134,0)</f>
        <v>8381</v>
      </c>
      <c r="D43" s="67">
        <f>ROUND(D16*Assumptions!$F$133*Assumptions!$F$134,0)</f>
        <v>34560</v>
      </c>
      <c r="E43" s="67">
        <f>ROUND(E16*Assumptions!$F$133*Assumptions!$F$134,0)</f>
        <v>43335</v>
      </c>
      <c r="F43" s="67">
        <f>ROUND(F16*Assumptions!$F$133*Assumptions!$F$134,0)</f>
        <v>122850</v>
      </c>
      <c r="H43" s="110">
        <f>ROUND(H16*Assumptions!$F$133*Assumptions!$F$134,0)</f>
        <v>88</v>
      </c>
      <c r="I43" s="67">
        <f>ROUND(I16*Assumptions!$F$133*Assumptions!$F$134,0)</f>
        <v>12038</v>
      </c>
      <c r="J43" s="67">
        <f>ROUND(J16*Assumptions!$F$133*Assumptions!$F$134,0)</f>
        <v>39600</v>
      </c>
      <c r="K43" s="67">
        <f>ROUND(K16*Assumptions!$F$133*Assumptions!$F$134,0)</f>
        <v>243000</v>
      </c>
      <c r="L43" s="67">
        <f>ROUND(L16*Assumptions!$F$133*Assumptions!$F$134,0)</f>
        <v>425250</v>
      </c>
      <c r="N43" s="110">
        <f>ROUND(N16*Assumptions!$F$133*Assumptions!$F$134,0)</f>
        <v>207</v>
      </c>
      <c r="O43" s="67">
        <f>ROUND(O16*Assumptions!$F$133*Assumptions!$F$134,0)</f>
        <v>18675</v>
      </c>
      <c r="P43" s="67">
        <f>ROUND(P16*Assumptions!$F$133*Assumptions!$F$134,0)</f>
        <v>47520</v>
      </c>
      <c r="Q43" s="67">
        <f>ROUND(Q16*Assumptions!$F$133*Assumptions!$F$134,0)</f>
        <v>410400</v>
      </c>
      <c r="R43" s="67">
        <f>ROUND(R16*Assumptions!$F$133*Assumptions!$F$134,0)</f>
        <v>815850</v>
      </c>
    </row>
    <row r="44" spans="1:18" ht="15" customHeight="1" x14ac:dyDescent="0.2">
      <c r="A44" s="12" t="s">
        <v>347</v>
      </c>
      <c r="B44" s="67">
        <f>ROUND(B30*Assumptions!$F$135,0)</f>
        <v>10</v>
      </c>
      <c r="C44" s="67">
        <f>ROUND(C30*Assumptions!$F$135,0)</f>
        <v>2314</v>
      </c>
      <c r="D44" s="67">
        <f>ROUND(D30*Assumptions!$F$135,0)</f>
        <v>10588</v>
      </c>
      <c r="E44" s="67">
        <f>ROUND(E30*Assumptions!$F$135,0)</f>
        <v>15232</v>
      </c>
      <c r="F44" s="67">
        <f>ROUND(F30*Assumptions!$F$135,0)</f>
        <v>44482</v>
      </c>
      <c r="H44" s="110">
        <f>ROUND(H30*Assumptions!$F$135,0)</f>
        <v>24</v>
      </c>
      <c r="I44" s="67">
        <f>ROUND(I30*Assumptions!$F$135,0)</f>
        <v>4045</v>
      </c>
      <c r="J44" s="67">
        <f>ROUND(J30*Assumptions!$F$135,0)</f>
        <v>13879</v>
      </c>
      <c r="K44" s="67">
        <f>ROUND(K30*Assumptions!$F$135,0)</f>
        <v>89427</v>
      </c>
      <c r="L44" s="67">
        <f>ROUND(L30*Assumptions!$F$135,0)</f>
        <v>178326</v>
      </c>
      <c r="N44" s="110">
        <f>ROUND(N30*Assumptions!$F$135,0)</f>
        <v>58</v>
      </c>
      <c r="O44" s="67">
        <f>ROUND(O30*Assumptions!$F$135,0)</f>
        <v>7283</v>
      </c>
      <c r="P44" s="67">
        <f>ROUND(P30*Assumptions!$F$135,0)</f>
        <v>19306</v>
      </c>
      <c r="Q44" s="67">
        <f>ROUND(Q30*Assumptions!$F$135,0)</f>
        <v>163684</v>
      </c>
      <c r="R44" s="67">
        <f>ROUND(R30*Assumptions!$F$135,0)</f>
        <v>368837</v>
      </c>
    </row>
    <row r="45" spans="1:18" ht="15" customHeight="1" x14ac:dyDescent="0.2">
      <c r="A45" s="12" t="s">
        <v>577</v>
      </c>
      <c r="B45" s="56">
        <f>0</f>
        <v>0</v>
      </c>
      <c r="C45" s="67">
        <f>ROUND(C30*Assumptions!$F$159*Assumptions!$F$139,0)</f>
        <v>3472</v>
      </c>
      <c r="D45" s="67">
        <f>ROUND(D30*Assumptions!$F$159*Assumptions!$F$139,0)</f>
        <v>15881</v>
      </c>
      <c r="E45" s="67">
        <f>ROUND(E30*Assumptions!$F$159*Assumptions!$F$139,0)</f>
        <v>22848</v>
      </c>
      <c r="F45" s="67">
        <f>ROUND(F30*Assumptions!$F$159*Assumptions!$F$139,0)</f>
        <v>66723</v>
      </c>
      <c r="H45" s="107">
        <f>0</f>
        <v>0</v>
      </c>
      <c r="I45" s="67">
        <f>ROUND(I30*Assumptions!$F$159*Assumptions!$F$139,0)</f>
        <v>6068</v>
      </c>
      <c r="J45" s="67">
        <f>ROUND(J30*Assumptions!$F$159*Assumptions!$F$139,0)</f>
        <v>20819</v>
      </c>
      <c r="K45" s="67">
        <f>ROUND(K30*Assumptions!$F$159*Assumptions!$F$139,0)</f>
        <v>134140</v>
      </c>
      <c r="L45" s="67">
        <f>ROUND(L30*Assumptions!$F$159*Assumptions!$F$139,0)</f>
        <v>267489</v>
      </c>
      <c r="N45" s="107">
        <f>0</f>
        <v>0</v>
      </c>
      <c r="O45" s="67">
        <f>ROUND(O30*Assumptions!$F$159*Assumptions!$F$139,0)</f>
        <v>10925</v>
      </c>
      <c r="P45" s="67">
        <f>ROUND(P30*Assumptions!$F$159*Assumptions!$F$139,0)</f>
        <v>28959</v>
      </c>
      <c r="Q45" s="67">
        <f>ROUND(Q30*Assumptions!$F$159*Assumptions!$F$139,0)</f>
        <v>245526</v>
      </c>
      <c r="R45" s="67">
        <f>ROUND(R30*Assumptions!$F$159*Assumptions!$F$139,0)</f>
        <v>553255</v>
      </c>
    </row>
    <row r="46" spans="1:18" ht="15" customHeight="1" x14ac:dyDescent="0.2">
      <c r="A46" s="12" t="s">
        <v>578</v>
      </c>
      <c r="B46" s="67">
        <f>ROUND((B24+B27+0)*Assumptions!$F$140,0)+ROUND(B8*B12*Assumptions!$F$141*Assumptions!$F$142,0)</f>
        <v>1</v>
      </c>
      <c r="C46" s="67">
        <f>ROUND((C24+C27+ROUND(Assumptions!$C$14*Assumptions!$F$123*12,0))*Assumptions!$F$140,0)+ROUND(C8*C12*Assumptions!$F$141*Assumptions!$F$142,0)</f>
        <v>257</v>
      </c>
      <c r="D46" s="67">
        <f>ROUND((D24+D27+ROUND(Assumptions!$C$110*Assumptions!$F$123*12,0))*Assumptions!$F$140,0)+ROUND(D8*D12*Assumptions!$F$141*Assumptions!$F$142,0)</f>
        <v>1352</v>
      </c>
      <c r="E46" s="67">
        <f>ROUND((E24+E27+ROUND(Assumptions!$C$155*Assumptions!$F$123*12,0))*Assumptions!$F$140,0)+ROUND(E8*E12*Assumptions!$F$141*Assumptions!$F$142,0)</f>
        <v>2299</v>
      </c>
      <c r="F46" s="67">
        <f>ROUND((F24+F27+ROUND(Assumptions!$C$156*Assumptions!$F$123*12,0))*Assumptions!$F$140,0)+ROUND(F8*F12*Assumptions!$F$141*Assumptions!$F$142,0)</f>
        <v>7573</v>
      </c>
      <c r="H46" s="110">
        <f>ROUND((H24+H27+0)*Assumptions!$F$140,0)+ROUND(H8*H12*Assumptions!$F$141*Assumptions!$F$142,0)</f>
        <v>4</v>
      </c>
      <c r="I46" s="67">
        <f>ROUND((I24+I27+ROUND(Assumptions!$D$14*Assumptions!$F$123*12,0))*Assumptions!$F$140,0)+ROUND(I8*I12*Assumptions!$F$141*Assumptions!$F$142,0)</f>
        <v>883</v>
      </c>
      <c r="J46" s="67">
        <f>ROUND((J24+J27+ROUND(Assumptions!$D$110*Assumptions!$F$123*12,0))*Assumptions!$F$140,0)+ROUND(J8*J12*Assumptions!$F$141*Assumptions!$F$142,0)</f>
        <v>2746</v>
      </c>
      <c r="K46" s="67">
        <f>ROUND((K24+K27+ROUND(Assumptions!$D$155*Assumptions!$F$123*12,0))*Assumptions!$F$140,0)+ROUND(K8*K12*Assumptions!$F$141*Assumptions!$F$142,0)</f>
        <v>14598</v>
      </c>
      <c r="L46" s="67">
        <f>ROUND((L24+L27+ROUND(Assumptions!$D$156*Assumptions!$F$123*12,0))*Assumptions!$F$140,0)+ROUND(L8*L12*Assumptions!$F$141*Assumptions!$F$142,0)</f>
        <v>24129</v>
      </c>
      <c r="N46" s="110">
        <f>ROUND((N24+N27+0)*Assumptions!$F$140,0)+ROUND(N8*N12*Assumptions!$F$141*Assumptions!$F$142,0)</f>
        <v>12</v>
      </c>
      <c r="O46" s="67">
        <f>ROUND((O24+O27+ROUND(Assumptions!$E$14*Assumptions!$F$123*12,0))*Assumptions!$F$140,0)+ROUND(O8*O12*Assumptions!$F$141*Assumptions!$F$142,0)</f>
        <v>2113</v>
      </c>
      <c r="P46" s="67">
        <f>ROUND((P24+P27+ROUND(Assumptions!$E$110*Assumptions!$F$123*12,0))*Assumptions!$F$140,0)+ROUND(P8*P12*Assumptions!$F$141*Assumptions!$F$142,0)</f>
        <v>4567</v>
      </c>
      <c r="Q46" s="67">
        <f>ROUND((Q24+Q27+ROUND(Assumptions!$E$155*Assumptions!$F$123*12,0))*Assumptions!$F$140,0)+ROUND(Q8*Q12*Assumptions!$F$141*Assumptions!$F$142,0)</f>
        <v>25604</v>
      </c>
      <c r="R46" s="67">
        <f>ROUND((R24+R27+ROUND(Assumptions!$E$156*Assumptions!$F$123*12,0))*Assumptions!$F$140,0)+ROUND(R8*R12*Assumptions!$F$141*Assumptions!$F$142,0)</f>
        <v>44851</v>
      </c>
    </row>
    <row r="47" spans="1:18" ht="15" customHeight="1" x14ac:dyDescent="0.2">
      <c r="A47" s="24" t="s">
        <v>406</v>
      </c>
      <c r="B47" s="92">
        <f>SUM(B33:B46)</f>
        <v>352.35984374999998</v>
      </c>
      <c r="C47" s="92">
        <f>SUM(C33:C46)</f>
        <v>78883.8046875</v>
      </c>
      <c r="D47" s="92">
        <f>SUM(D33:D46)</f>
        <v>319005.125</v>
      </c>
      <c r="E47" s="92">
        <f>SUM(E33:E46)</f>
        <v>389475.78125</v>
      </c>
      <c r="F47" s="92">
        <f>SUM(F33:F46)</f>
        <v>1099730.1875</v>
      </c>
      <c r="H47" s="89">
        <f>SUM(H33:H46)</f>
        <v>707.15578125000002</v>
      </c>
      <c r="I47" s="92">
        <f>SUM(I33:I46)</f>
        <v>96717.828125</v>
      </c>
      <c r="J47" s="92">
        <f>SUM(J33:J46)</f>
        <v>314247.75</v>
      </c>
      <c r="K47" s="92">
        <f>SUM(K33:K46)</f>
        <v>1982922.8125</v>
      </c>
      <c r="L47" s="92">
        <f>SUM(L33:L46)</f>
        <v>3812867.4375</v>
      </c>
      <c r="N47" s="89">
        <f>SUM(N33:N46)</f>
        <v>1381.8924999999999</v>
      </c>
      <c r="O47" s="92">
        <f>SUM(O33:O46)</f>
        <v>129212.71875</v>
      </c>
      <c r="P47" s="92">
        <f>SUM(P33:P46)</f>
        <v>345699</v>
      </c>
      <c r="Q47" s="92">
        <f>SUM(Q33:Q46)</f>
        <v>3207119</v>
      </c>
      <c r="R47" s="92">
        <f>SUM(R33:R46)</f>
        <v>7309382.6875</v>
      </c>
    </row>
    <row r="48" spans="1:18" ht="15" customHeight="1" x14ac:dyDescent="0.2">
      <c r="A48" s="24" t="s">
        <v>408</v>
      </c>
      <c r="B48" s="92">
        <f>B30-B47</f>
        <v>609.09015625000006</v>
      </c>
      <c r="C48" s="92">
        <f>C30-C47</f>
        <v>152564.69531250003</v>
      </c>
      <c r="D48" s="92">
        <f>D30-D47</f>
        <v>739761.27500000014</v>
      </c>
      <c r="E48" s="92">
        <f>E30-E47</f>
        <v>1133748.5677500002</v>
      </c>
      <c r="F48" s="92">
        <f>F30-F47</f>
        <v>3348452.1614000006</v>
      </c>
      <c r="H48" s="89">
        <f>H30-H47</f>
        <v>1741.8942187500002</v>
      </c>
      <c r="I48" s="92">
        <f>I30-I47</f>
        <v>307831.171875</v>
      </c>
      <c r="J48" s="92">
        <f>J30-J47</f>
        <v>1073656.25</v>
      </c>
      <c r="K48" s="92">
        <f>K30-K47</f>
        <v>6959769.1075000018</v>
      </c>
      <c r="L48" s="92">
        <f>L30-L47</f>
        <v>14019746.240000002</v>
      </c>
      <c r="N48" s="89">
        <f>N30-N47</f>
        <v>4454.4075000000003</v>
      </c>
      <c r="O48" s="92">
        <f>O30-O47</f>
        <v>599124.28125</v>
      </c>
      <c r="P48" s="92">
        <f>P30-P47</f>
        <v>1584882.8000000003</v>
      </c>
      <c r="Q48" s="92">
        <f>Q30-Q47</f>
        <v>13161312.144000003</v>
      </c>
      <c r="R48" s="92">
        <f>R30-R47</f>
        <v>29574305.830800012</v>
      </c>
    </row>
    <row r="49" spans="1:18" ht="15" customHeight="1" x14ac:dyDescent="0.2">
      <c r="A49" s="24" t="s">
        <v>410</v>
      </c>
      <c r="B49" s="105">
        <f>IF(B30=0,0,B48/B30)</f>
        <v>0.63351204560819596</v>
      </c>
      <c r="C49" s="105">
        <f>IF(C30=0,0,C48/C30)</f>
        <v>0.65917340277642766</v>
      </c>
      <c r="D49" s="105">
        <f>IF(D30=0,0,D48/D30)</f>
        <v>0.69870112519626615</v>
      </c>
      <c r="E49" s="105">
        <f>IF(E30=0,0,E48/E30)</f>
        <v>0.74430832759094767</v>
      </c>
      <c r="F49" s="105">
        <f>IF(F30=0,0,F48/F30)</f>
        <v>0.75276863643596936</v>
      </c>
      <c r="H49" s="108">
        <f>IF(H30=0,0,H48/H30)</f>
        <v>0.71125302413180624</v>
      </c>
      <c r="I49" s="105">
        <f>IF(I30=0,0,I48/I30)</f>
        <v>0.76092431788238257</v>
      </c>
      <c r="J49" s="105">
        <f>IF(J30=0,0,J48/J30)</f>
        <v>0.77358106180254538</v>
      </c>
      <c r="K49" s="105">
        <f>IF(K30=0,0,K48/K30)</f>
        <v>0.77826332045888036</v>
      </c>
      <c r="L49" s="105">
        <f>IF(L30=0,0,L48/L30)</f>
        <v>0.7861857209237465</v>
      </c>
      <c r="N49" s="108">
        <f>IF(N30=0,0,N48/N30)</f>
        <v>0.76322456008087314</v>
      </c>
      <c r="O49" s="105">
        <f>IF(O30=0,0,O48/O30)</f>
        <v>0.82259212596641385</v>
      </c>
      <c r="P49" s="105">
        <f>IF(P30=0,0,P48/P30)</f>
        <v>0.82093532633530475</v>
      </c>
      <c r="Q49" s="105">
        <f>IF(Q30=0,0,Q48/Q30)</f>
        <v>0.80406680568310918</v>
      </c>
      <c r="R49" s="105">
        <f>IF(R30=0,0,R48/R30)</f>
        <v>0.80182614643127637</v>
      </c>
    </row>
    <row r="50" spans="1:18" ht="8.1" customHeight="1" x14ac:dyDescent="0.2"/>
    <row r="51" spans="1:18" ht="18.95" customHeight="1" x14ac:dyDescent="0.2">
      <c r="A51" s="5" t="s">
        <v>1551</v>
      </c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 ht="15" customHeight="1" x14ac:dyDescent="0.2">
      <c r="A52" s="12" t="s">
        <v>431</v>
      </c>
      <c r="B52" s="67">
        <f>'P&amp;L 5yr'!C$42</f>
        <v>483950</v>
      </c>
      <c r="C52" s="67">
        <f>'P&amp;L 5yr'!D$42</f>
        <v>797900</v>
      </c>
      <c r="D52" s="67">
        <f>'P&amp;L 5yr'!E$42</f>
        <v>1015250</v>
      </c>
      <c r="E52" s="67">
        <f>'P&amp;L 5yr'!F$42</f>
        <v>1413350</v>
      </c>
      <c r="F52" s="67">
        <f>'P&amp;L 5yr'!G$42</f>
        <v>1630700</v>
      </c>
      <c r="H52" s="110">
        <f>'P&amp;L 5yr'!C$42</f>
        <v>483950</v>
      </c>
      <c r="I52" s="67">
        <f>'P&amp;L 5yr'!D$42</f>
        <v>797900</v>
      </c>
      <c r="J52" s="67">
        <f>'P&amp;L 5yr'!E$42</f>
        <v>1015250</v>
      </c>
      <c r="K52" s="67">
        <f>'P&amp;L 5yr'!F$42</f>
        <v>1413350</v>
      </c>
      <c r="L52" s="67">
        <f>'P&amp;L 5yr'!G$42</f>
        <v>1630700</v>
      </c>
      <c r="N52" s="110">
        <f>'P&amp;L 5yr'!C$42</f>
        <v>483950</v>
      </c>
      <c r="O52" s="67">
        <f>'P&amp;L 5yr'!D$42</f>
        <v>797900</v>
      </c>
      <c r="P52" s="67">
        <f>'P&amp;L 5yr'!E$42</f>
        <v>1015250</v>
      </c>
      <c r="Q52" s="67">
        <f>'P&amp;L 5yr'!F$42</f>
        <v>1413350</v>
      </c>
      <c r="R52" s="67">
        <f>'P&amp;L 5yr'!G$42</f>
        <v>1630700</v>
      </c>
    </row>
    <row r="53" spans="1:18" ht="15" customHeight="1" x14ac:dyDescent="0.2">
      <c r="A53" s="12" t="s">
        <v>452</v>
      </c>
      <c r="B53" s="67">
        <f>'P&amp;L 5yr'!C$56</f>
        <v>280158.33333333331</v>
      </c>
      <c r="C53" s="67">
        <f>'P&amp;L 5yr'!D$56</f>
        <v>344180</v>
      </c>
      <c r="D53" s="67">
        <f>'P&amp;L 5yr'!E$56</f>
        <v>436860.83333333331</v>
      </c>
      <c r="E53" s="67">
        <f>'P&amp;L 5yr'!F$56</f>
        <v>544390</v>
      </c>
      <c r="F53" s="67">
        <f>'P&amp;L 5yr'!G$56</f>
        <v>636030</v>
      </c>
      <c r="H53" s="110">
        <f>'P&amp;L 5yr'!C$56</f>
        <v>280158.33333333331</v>
      </c>
      <c r="I53" s="67">
        <f>'P&amp;L 5yr'!D$56</f>
        <v>344180</v>
      </c>
      <c r="J53" s="67">
        <f>'P&amp;L 5yr'!E$56</f>
        <v>436860.83333333331</v>
      </c>
      <c r="K53" s="67">
        <f>'P&amp;L 5yr'!F$56</f>
        <v>544390</v>
      </c>
      <c r="L53" s="67">
        <f>'P&amp;L 5yr'!G$56</f>
        <v>636030</v>
      </c>
      <c r="N53" s="110">
        <f>'P&amp;L 5yr'!C$56</f>
        <v>280158.33333333331</v>
      </c>
      <c r="O53" s="67">
        <f>'P&amp;L 5yr'!D$56</f>
        <v>344180</v>
      </c>
      <c r="P53" s="67">
        <f>'P&amp;L 5yr'!E$56</f>
        <v>436860.83333333331</v>
      </c>
      <c r="Q53" s="67">
        <f>'P&amp;L 5yr'!F$56</f>
        <v>544390</v>
      </c>
      <c r="R53" s="67">
        <f>'P&amp;L 5yr'!G$56</f>
        <v>636030</v>
      </c>
    </row>
    <row r="54" spans="1:18" ht="15" customHeight="1" x14ac:dyDescent="0.2">
      <c r="A54" s="12" t="s">
        <v>579</v>
      </c>
      <c r="B54" s="67">
        <f>'P&amp;L 5yr'!C$58</f>
        <v>303412.45</v>
      </c>
      <c r="C54" s="67">
        <f>'P&amp;L 5yr'!D$58</f>
        <v>42546</v>
      </c>
      <c r="D54" s="67">
        <f>'P&amp;L 5yr'!E$58</f>
        <v>0</v>
      </c>
      <c r="E54" s="67">
        <f>'P&amp;L 5yr'!F$58</f>
        <v>0</v>
      </c>
      <c r="F54" s="67">
        <f>'P&amp;L 5yr'!G$58</f>
        <v>0</v>
      </c>
      <c r="H54" s="110">
        <f>'P&amp;L 5yr'!C$58</f>
        <v>303412.45</v>
      </c>
      <c r="I54" s="67">
        <f>'P&amp;L 5yr'!D$58</f>
        <v>42546</v>
      </c>
      <c r="J54" s="67">
        <f>'P&amp;L 5yr'!E$58</f>
        <v>0</v>
      </c>
      <c r="K54" s="67">
        <f>'P&amp;L 5yr'!F$58</f>
        <v>0</v>
      </c>
      <c r="L54" s="67">
        <f>'P&amp;L 5yr'!G$58</f>
        <v>0</v>
      </c>
      <c r="N54" s="110">
        <f>'P&amp;L 5yr'!C$58</f>
        <v>303412.45</v>
      </c>
      <c r="O54" s="67">
        <f>'P&amp;L 5yr'!D$58</f>
        <v>42546</v>
      </c>
      <c r="P54" s="67">
        <f>'P&amp;L 5yr'!E$58</f>
        <v>0</v>
      </c>
      <c r="Q54" s="67">
        <f>'P&amp;L 5yr'!F$58</f>
        <v>0</v>
      </c>
      <c r="R54" s="67">
        <f>'P&amp;L 5yr'!G$58</f>
        <v>0</v>
      </c>
    </row>
    <row r="55" spans="1:18" ht="8.1" customHeight="1" x14ac:dyDescent="0.2"/>
    <row r="56" spans="1:18" ht="18.95" customHeight="1" x14ac:dyDescent="0.2">
      <c r="A56" s="5" t="s">
        <v>457</v>
      </c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spans="1:18" ht="15" customHeight="1" x14ac:dyDescent="0.2">
      <c r="A57" s="24" t="s">
        <v>460</v>
      </c>
      <c r="B57" s="92">
        <f>B48-B52-B53</f>
        <v>-763499.24317708332</v>
      </c>
      <c r="C57" s="92">
        <f>C48-C52-C53</f>
        <v>-989515.3046875</v>
      </c>
      <c r="D57" s="92">
        <f>D48-D52-D53</f>
        <v>-712349.55833333312</v>
      </c>
      <c r="E57" s="92">
        <f>E48-E52-E53</f>
        <v>-823991.43224999984</v>
      </c>
      <c r="F57" s="92">
        <f>F48-F52-F53</f>
        <v>1081722.1614000006</v>
      </c>
      <c r="H57" s="89">
        <f>H48-H52-H53</f>
        <v>-762366.43911458331</v>
      </c>
      <c r="I57" s="92">
        <f>I48-I52-I53</f>
        <v>-834248.828125</v>
      </c>
      <c r="J57" s="92">
        <f>J48-J52-J53</f>
        <v>-378454.58333333331</v>
      </c>
      <c r="K57" s="92">
        <f>K48-K52-K53</f>
        <v>5002029.1075000018</v>
      </c>
      <c r="L57" s="92">
        <f>L48-L52-L53</f>
        <v>11753016.240000002</v>
      </c>
      <c r="N57" s="89">
        <f>N48-N52-N53</f>
        <v>-759653.92583333328</v>
      </c>
      <c r="O57" s="92">
        <f>O48-O52-O53</f>
        <v>-542955.71875</v>
      </c>
      <c r="P57" s="92">
        <f>P48-P52-P53</f>
        <v>132771.96666666697</v>
      </c>
      <c r="Q57" s="92">
        <f>Q48-Q52-Q53</f>
        <v>11203572.144000003</v>
      </c>
      <c r="R57" s="92">
        <f>R48-R52-R53</f>
        <v>27307575.830800012</v>
      </c>
    </row>
    <row r="58" spans="1:18" ht="15" customHeight="1" x14ac:dyDescent="0.2">
      <c r="A58" s="24" t="s">
        <v>466</v>
      </c>
      <c r="B58" s="92">
        <f>-MIN(0,'Cash Flow Statement'!$B$52:$M$52)</f>
        <v>1067873</v>
      </c>
      <c r="C58" s="92">
        <f>-MIN(0,'Cash Flow Statement'!$B$52:$Y$52)</f>
        <v>2118265</v>
      </c>
      <c r="D58" s="92">
        <f>-MIN(0,'Cash Flow Statement'!$B$52:$AK$52)</f>
        <v>2899562</v>
      </c>
      <c r="E58" s="92">
        <f>-MIN(0,'Cash Flow Statement'!$B$52:$AW$52)</f>
        <v>3762259</v>
      </c>
      <c r="F58" s="92">
        <f>-MIN(0,'Cash Flow Statement'!$B$52:$BI$52)</f>
        <v>3915862</v>
      </c>
      <c r="H58" s="89">
        <f>IF(Assumptions!$C$4=2,-MIN(0,'Cash Flow Statement'!$B$38:$M$38),-MIN(0,'Cash Flow Statement'!$B$53:$M$53))</f>
        <v>1068227</v>
      </c>
      <c r="I58" s="92">
        <f>IF(Assumptions!$C$4=2,-MIN(0,'Cash Flow Statement'!$B$38:$Y$38),-MIN(0,'Cash Flow Statement'!$B$53:$Y$53))</f>
        <v>1976300</v>
      </c>
      <c r="J58" s="92">
        <f>IF(Assumptions!$C$4=2,-MIN(0,'Cash Flow Statement'!$B$38:$AK$38),-MIN(0,'Cash Flow Statement'!$B$53:$AK$53))</f>
        <v>2436689</v>
      </c>
      <c r="K58" s="92">
        <f>IF(Assumptions!$C$4=2,-MIN(0,'Cash Flow Statement'!$B$38:$AW$38),-MIN(0,'Cash Flow Statement'!$B$53:$AW$53))</f>
        <v>2649419</v>
      </c>
      <c r="L58" s="92">
        <f>IF(Assumptions!$C$4=2,-MIN(0,'Cash Flow Statement'!$B$38:$BI$38),-MIN(0,'Cash Flow Statement'!$B$53:$BI$53))</f>
        <v>2649419</v>
      </c>
      <c r="N58" s="89">
        <f>-MIN(0,'Cash Flow Statement'!$B$54:$M$54)</f>
        <v>1068902</v>
      </c>
      <c r="O58" s="92">
        <f>-MIN(0,'Cash Flow Statement'!$B$54:$Y$54)</f>
        <v>1709259</v>
      </c>
      <c r="P58" s="92">
        <f>-MIN(0,'Cash Flow Statement'!$B$54:$AK$54)</f>
        <v>1796675</v>
      </c>
      <c r="Q58" s="92">
        <f>-MIN(0,'Cash Flow Statement'!$B$54:$AW$54)</f>
        <v>1946199</v>
      </c>
      <c r="R58" s="92">
        <f>-MIN(0,'Cash Flow Statement'!$B$54:$BI$54)</f>
        <v>1946199</v>
      </c>
    </row>
    <row r="59" spans="1:18" ht="15" customHeight="1" x14ac:dyDescent="0.2">
      <c r="A59" s="24" t="s">
        <v>468</v>
      </c>
      <c r="B59" s="92">
        <f>ROUND('Launch Readiness'!$B$6*(INDEX($B$52:$F$52,1,MIN(5,ROUNDUP('Launch Readiness'!$E$6/12,0)))+INDEX($B$53:$F$53,1,MIN(5,ROUNDUP('Launch Readiness'!$E$6/12,0))))/12,0)</f>
        <v>191027</v>
      </c>
      <c r="C59" s="92">
        <f>ROUND('Launch Readiness'!$B$6*(INDEX($B$52:$F$52,1,MIN(5,ROUNDUP('Launch Readiness'!$E$6/12,0)))+INDEX($B$53:$F$53,1,MIN(5,ROUNDUP('Launch Readiness'!$E$6/12,0))))/12,0)</f>
        <v>191027</v>
      </c>
      <c r="D59" s="92">
        <f>ROUND('Launch Readiness'!$B$6*(INDEX($B$52:$F$52,1,MIN(5,ROUNDUP('Launch Readiness'!$E$6/12,0)))+INDEX($B$53:$F$53,1,MIN(5,ROUNDUP('Launch Readiness'!$E$6/12,0))))/12,0)</f>
        <v>191027</v>
      </c>
      <c r="E59" s="92">
        <f>ROUND('Launch Readiness'!$B$6*(INDEX($B$52:$F$52,1,MIN(5,ROUNDUP('Launch Readiness'!$E$6/12,0)))+INDEX($B$53:$F$53,1,MIN(5,ROUNDUP('Launch Readiness'!$E$6/12,0))))/12,0)</f>
        <v>191027</v>
      </c>
      <c r="F59" s="92">
        <f>ROUND('Launch Readiness'!$B$6*(INDEX($B$52:$F$52,1,MIN(5,ROUNDUP('Launch Readiness'!$E$6/12,0)))+INDEX($B$53:$F$53,1,MIN(5,ROUNDUP('Launch Readiness'!$E$6/12,0))))/12,0)</f>
        <v>191027</v>
      </c>
      <c r="H59" s="89">
        <f>ROUND('Launch Readiness'!$B$6*(INDEX($H$52:$L$52,1,MIN(5,ROUNDUP('Launch Readiness'!$E$6/12,0)))+INDEX($H$53:$L$53,1,MIN(5,ROUNDUP('Launch Readiness'!$E$6/12,0))))/12,0)</f>
        <v>191027</v>
      </c>
      <c r="I59" s="92">
        <f>ROUND('Launch Readiness'!$B$6*(INDEX($H$52:$L$52,1,MIN(5,ROUNDUP('Launch Readiness'!$E$6/12,0)))+INDEX($H$53:$L$53,1,MIN(5,ROUNDUP('Launch Readiness'!$E$6/12,0))))/12,0)</f>
        <v>191027</v>
      </c>
      <c r="J59" s="92">
        <f>ROUND('Launch Readiness'!$B$6*(INDEX($H$52:$L$52,1,MIN(5,ROUNDUP('Launch Readiness'!$E$6/12,0)))+INDEX($H$53:$L$53,1,MIN(5,ROUNDUP('Launch Readiness'!$E$6/12,0))))/12,0)</f>
        <v>191027</v>
      </c>
      <c r="K59" s="92">
        <f>ROUND('Launch Readiness'!$B$6*(INDEX($H$52:$L$52,1,MIN(5,ROUNDUP('Launch Readiness'!$E$6/12,0)))+INDEX($H$53:$L$53,1,MIN(5,ROUNDUP('Launch Readiness'!$E$6/12,0))))/12,0)</f>
        <v>191027</v>
      </c>
      <c r="L59" s="92">
        <f>ROUND('Launch Readiness'!$B$6*(INDEX($H$52:$L$52,1,MIN(5,ROUNDUP('Launch Readiness'!$E$6/12,0)))+INDEX($H$53:$L$53,1,MIN(5,ROUNDUP('Launch Readiness'!$E$6/12,0))))/12,0)</f>
        <v>191027</v>
      </c>
      <c r="N59" s="89">
        <f>ROUND('Launch Readiness'!$B$6*(INDEX($N$52:$R$52,1,MIN(5,ROUNDUP('Launch Readiness'!$E$6/12,0)))+INDEX($N$53:$R$53,1,MIN(5,ROUNDUP('Launch Readiness'!$E$6/12,0))))/12,0)</f>
        <v>191027</v>
      </c>
      <c r="O59" s="92">
        <f>ROUND('Launch Readiness'!$B$6*(INDEX($N$52:$R$52,1,MIN(5,ROUNDUP('Launch Readiness'!$E$6/12,0)))+INDEX($N$53:$R$53,1,MIN(5,ROUNDUP('Launch Readiness'!$E$6/12,0))))/12,0)</f>
        <v>191027</v>
      </c>
      <c r="P59" s="92">
        <f>ROUND('Launch Readiness'!$B$6*(INDEX($N$52:$R$52,1,MIN(5,ROUNDUP('Launch Readiness'!$E$6/12,0)))+INDEX($N$53:$R$53,1,MIN(5,ROUNDUP('Launch Readiness'!$E$6/12,0))))/12,0)</f>
        <v>191027</v>
      </c>
      <c r="Q59" s="92">
        <f>ROUND('Launch Readiness'!$B$6*(INDEX($N$52:$R$52,1,MIN(5,ROUNDUP('Launch Readiness'!$E$6/12,0)))+INDEX($N$53:$R$53,1,MIN(5,ROUNDUP('Launch Readiness'!$E$6/12,0))))/12,0)</f>
        <v>191027</v>
      </c>
      <c r="R59" s="92">
        <f>ROUND('Launch Readiness'!$B$6*(INDEX($N$52:$R$52,1,MIN(5,ROUNDUP('Launch Readiness'!$E$6/12,0)))+INDEX($N$53:$R$53,1,MIN(5,ROUNDUP('Launch Readiness'!$E$6/12,0))))/12,0)</f>
        <v>191027</v>
      </c>
    </row>
    <row r="60" spans="1:18" ht="15" customHeight="1" x14ac:dyDescent="0.2">
      <c r="A60" s="24" t="s">
        <v>470</v>
      </c>
      <c r="B60" s="92">
        <f>ROUND(B58+B59,0)</f>
        <v>1258900</v>
      </c>
      <c r="C60" s="92">
        <f>ROUND(C58+C59,0)</f>
        <v>2309292</v>
      </c>
      <c r="D60" s="92">
        <f>ROUND(D58+D59,0)</f>
        <v>3090589</v>
      </c>
      <c r="E60" s="92">
        <f>ROUND(E58+E59,0)</f>
        <v>3953286</v>
      </c>
      <c r="F60" s="92">
        <f>ROUND(F58+F59,0)</f>
        <v>4106889</v>
      </c>
      <c r="H60" s="89">
        <f>ROUND(H58+H59,0)</f>
        <v>1259254</v>
      </c>
      <c r="I60" s="92">
        <f>ROUND(I58+I59,0)</f>
        <v>2167327</v>
      </c>
      <c r="J60" s="92">
        <f>ROUND(J58+J59,0)</f>
        <v>2627716</v>
      </c>
      <c r="K60" s="92">
        <f>ROUND(K58+K59,0)</f>
        <v>2840446</v>
      </c>
      <c r="L60" s="92">
        <f>ROUND(L58+L59,0)</f>
        <v>2840446</v>
      </c>
      <c r="N60" s="89">
        <f>ROUND(N58+N59,0)</f>
        <v>1259929</v>
      </c>
      <c r="O60" s="92">
        <f>ROUND(O58+O59,0)</f>
        <v>1900286</v>
      </c>
      <c r="P60" s="92">
        <f>ROUND(P58+P59,0)</f>
        <v>1987702</v>
      </c>
      <c r="Q60" s="92">
        <f>ROUND(Q58+Q59,0)</f>
        <v>2137226</v>
      </c>
      <c r="R60" s="92">
        <f>ROUND(R58+R59,0)</f>
        <v>2137226</v>
      </c>
    </row>
    <row r="61" spans="1:18" ht="15" customHeight="1" x14ac:dyDescent="0.2">
      <c r="A61" s="12" t="s">
        <v>473</v>
      </c>
      <c r="B61" s="68">
        <f>Assumptions!$C$107</f>
        <v>1.5</v>
      </c>
      <c r="C61" s="68">
        <f>Assumptions!$C$108</f>
        <v>2</v>
      </c>
      <c r="D61" s="68">
        <f>Assumptions!$C$109</f>
        <v>2.5</v>
      </c>
      <c r="E61" s="68">
        <f>Assumptions!$C$157</f>
        <v>3</v>
      </c>
      <c r="F61" s="68">
        <f>Assumptions!$C$158</f>
        <v>4</v>
      </c>
      <c r="H61" s="112">
        <f>Assumptions!$D$107</f>
        <v>3</v>
      </c>
      <c r="I61" s="68">
        <f>Assumptions!$D$108</f>
        <v>4</v>
      </c>
      <c r="J61" s="68">
        <f>Assumptions!$D$109</f>
        <v>6</v>
      </c>
      <c r="K61" s="68">
        <f>Assumptions!$D$157</f>
        <v>8</v>
      </c>
      <c r="L61" s="68">
        <f>Assumptions!$D$158</f>
        <v>10</v>
      </c>
      <c r="N61" s="112">
        <f>Assumptions!$E$107</f>
        <v>5</v>
      </c>
      <c r="O61" s="68">
        <f>Assumptions!$E$108</f>
        <v>6</v>
      </c>
      <c r="P61" s="68">
        <f>Assumptions!$E$109</f>
        <v>10</v>
      </c>
      <c r="Q61" s="68">
        <f>Assumptions!$E$157</f>
        <v>12</v>
      </c>
      <c r="R61" s="68">
        <f>Assumptions!$E$158</f>
        <v>15</v>
      </c>
    </row>
    <row r="62" spans="1:18" ht="15" customHeight="1" x14ac:dyDescent="0.2">
      <c r="A62" s="12" t="s">
        <v>475</v>
      </c>
      <c r="B62" s="76">
        <f>IF(B61=0,0,B8/B61)</f>
        <v>0.66666666666666663</v>
      </c>
      <c r="C62" s="76">
        <f>IF(C61=0,0,C8/C61)</f>
        <v>125</v>
      </c>
      <c r="D62" s="76">
        <f>IF(D61=0,0,D8/D61)</f>
        <v>480</v>
      </c>
      <c r="E62" s="76">
        <f>IF(E61=0,0,E8/E61)</f>
        <v>600</v>
      </c>
      <c r="F62" s="76">
        <f>IF(F61=0,0,F8/F61)</f>
        <v>1500</v>
      </c>
      <c r="H62" s="106">
        <f>IF(H61=0,0,H8/H61)</f>
        <v>1</v>
      </c>
      <c r="I62" s="76">
        <f>IF(I61=0,0,I8/I61)</f>
        <v>125</v>
      </c>
      <c r="J62" s="76">
        <f>IF(J61=0,0,J8/J61)</f>
        <v>333.33333333333331</v>
      </c>
      <c r="K62" s="76">
        <f>IF(K61=0,0,K8/K61)</f>
        <v>1875</v>
      </c>
      <c r="L62" s="76">
        <f>IF(L61=0,0,L8/L61)</f>
        <v>3000</v>
      </c>
      <c r="N62" s="106">
        <f>IF(N61=0,0,N8/N61)</f>
        <v>1.8</v>
      </c>
      <c r="O62" s="76">
        <f>IF(O61=0,0,O8/O61)</f>
        <v>166.66666666666666</v>
      </c>
      <c r="P62" s="76">
        <f>IF(P61=0,0,P8/P61)</f>
        <v>320</v>
      </c>
      <c r="Q62" s="76">
        <f>IF(Q61=0,0,Q8/Q61)</f>
        <v>2666.6666666666665</v>
      </c>
      <c r="R62" s="76">
        <f>IF(R61=0,0,R8/R61)</f>
        <v>4666.666666666667</v>
      </c>
    </row>
    <row r="63" spans="1:18" ht="8.1" customHeight="1" x14ac:dyDescent="0.2"/>
    <row r="64" spans="1:18" ht="20.100000000000001" customHeight="1" x14ac:dyDescent="0.2">
      <c r="A64" s="29" t="s">
        <v>580</v>
      </c>
    </row>
    <row r="65" spans="1:18" ht="26.1" customHeight="1" x14ac:dyDescent="0.2">
      <c r="A65" s="168" t="s">
        <v>581</v>
      </c>
      <c r="B65" s="168"/>
      <c r="C65" s="168"/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</row>
    <row r="66" spans="1:18" ht="26.1" customHeight="1" x14ac:dyDescent="0.2">
      <c r="A66" s="168" t="s">
        <v>582</v>
      </c>
      <c r="B66" s="168"/>
      <c r="C66" s="168"/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</row>
    <row r="67" spans="1:18" ht="26.1" customHeight="1" x14ac:dyDescent="0.2">
      <c r="A67" s="168" t="s">
        <v>583</v>
      </c>
      <c r="B67" s="168"/>
      <c r="C67" s="168"/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</row>
  </sheetData>
  <mergeCells count="3">
    <mergeCell ref="A65:R65"/>
    <mergeCell ref="A66:R66"/>
    <mergeCell ref="A67:R67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B4E8F"/>
  </sheetPr>
  <dimension ref="A1:H193"/>
  <sheetViews>
    <sheetView showGridLines="0" topLeftCell="A173" workbookViewId="0">
      <selection activeCell="J180" sqref="J180"/>
    </sheetView>
  </sheetViews>
  <sheetFormatPr defaultColWidth="8.5703125" defaultRowHeight="12.75" x14ac:dyDescent="0.2"/>
  <cols>
    <col min="1" max="1" width="2.140625" customWidth="1"/>
    <col min="2" max="2" width="46" customWidth="1"/>
    <col min="3" max="5" width="13" customWidth="1"/>
    <col min="6" max="6" width="18" customWidth="1"/>
    <col min="7" max="7" width="15" customWidth="1"/>
    <col min="8" max="8" width="78" customWidth="1"/>
  </cols>
  <sheetData>
    <row r="1" spans="2:8" x14ac:dyDescent="0.2">
      <c r="H1" s="42"/>
    </row>
    <row r="2" spans="2:8" ht="30" customHeight="1" x14ac:dyDescent="0.2">
      <c r="B2" s="3" t="s">
        <v>584</v>
      </c>
      <c r="H2" s="42"/>
    </row>
    <row r="3" spans="2:8" ht="15.95" customHeight="1" x14ac:dyDescent="0.2">
      <c r="B3" s="4" t="s">
        <v>585</v>
      </c>
      <c r="H3" s="42"/>
    </row>
    <row r="4" spans="2:8" ht="21.95" customHeight="1" x14ac:dyDescent="0.2">
      <c r="B4" s="14" t="s">
        <v>586</v>
      </c>
      <c r="C4" s="73">
        <v>2</v>
      </c>
      <c r="D4" s="28" t="str">
        <f>CHOOSE($C$4,"LOW","BASE","HIGH")</f>
        <v>BASE</v>
      </c>
      <c r="H4" s="42"/>
    </row>
    <row r="5" spans="2:8" ht="9.9499999999999993" customHeight="1" x14ac:dyDescent="0.2">
      <c r="H5" s="42"/>
    </row>
    <row r="6" spans="2:8" ht="30" customHeight="1" x14ac:dyDescent="0.2">
      <c r="B6" s="10" t="s">
        <v>587</v>
      </c>
      <c r="C6" s="9" t="s">
        <v>588</v>
      </c>
      <c r="D6" s="9" t="s">
        <v>589</v>
      </c>
      <c r="E6" s="9" t="s">
        <v>590</v>
      </c>
      <c r="F6" s="9" t="s">
        <v>591</v>
      </c>
      <c r="G6" s="9" t="s">
        <v>592</v>
      </c>
      <c r="H6" s="10" t="s">
        <v>593</v>
      </c>
    </row>
    <row r="7" spans="2:8" ht="20.100000000000001" customHeight="1" x14ac:dyDescent="0.2">
      <c r="B7" s="5" t="s">
        <v>594</v>
      </c>
      <c r="C7" s="5"/>
      <c r="D7" s="5"/>
      <c r="E7" s="5"/>
      <c r="F7" s="5"/>
      <c r="G7" s="5"/>
      <c r="H7" s="5"/>
    </row>
    <row r="8" spans="2:8" ht="18" customHeight="1" x14ac:dyDescent="0.2">
      <c r="B8" s="12" t="s">
        <v>595</v>
      </c>
      <c r="C8" s="113"/>
      <c r="D8" s="113"/>
      <c r="E8" s="113"/>
      <c r="F8" s="114">
        <v>1.28</v>
      </c>
      <c r="G8" s="31" t="s">
        <v>596</v>
      </c>
      <c r="H8" s="32" t="s">
        <v>597</v>
      </c>
    </row>
    <row r="9" spans="2:8" ht="20.100000000000001" customHeight="1" x14ac:dyDescent="0.2">
      <c r="B9" s="5" t="s">
        <v>598</v>
      </c>
      <c r="C9" s="5"/>
      <c r="D9" s="5"/>
      <c r="E9" s="5"/>
      <c r="F9" s="5"/>
      <c r="G9" s="5"/>
      <c r="H9" s="5"/>
    </row>
    <row r="10" spans="2:8" ht="18" customHeight="1" x14ac:dyDescent="0.2">
      <c r="B10" s="12" t="s">
        <v>599</v>
      </c>
      <c r="C10" s="71">
        <v>15</v>
      </c>
      <c r="D10" s="71">
        <v>30</v>
      </c>
      <c r="E10" s="71">
        <v>110</v>
      </c>
      <c r="F10" s="146">
        <f>CHOOSE($C$4,C10,D10,E10)</f>
        <v>30</v>
      </c>
      <c r="G10" s="31" t="s">
        <v>600</v>
      </c>
      <c r="H10" s="32" t="s">
        <v>601</v>
      </c>
    </row>
    <row r="11" spans="2:8" ht="18" customHeight="1" x14ac:dyDescent="0.2">
      <c r="B11" s="12" t="s">
        <v>602</v>
      </c>
      <c r="C11" s="71">
        <v>250</v>
      </c>
      <c r="D11" s="71">
        <v>500</v>
      </c>
      <c r="E11" s="71">
        <v>1000</v>
      </c>
      <c r="F11" s="146">
        <f>CHOOSE($C$4,C11,D11,E11)</f>
        <v>500</v>
      </c>
      <c r="G11" s="31" t="s">
        <v>600</v>
      </c>
      <c r="H11" s="32" t="s">
        <v>603</v>
      </c>
    </row>
    <row r="12" spans="2:8" ht="18" customHeight="1" x14ac:dyDescent="0.2">
      <c r="B12" s="12" t="s">
        <v>604</v>
      </c>
      <c r="C12" s="71">
        <v>1200</v>
      </c>
      <c r="D12" s="71">
        <v>2000</v>
      </c>
      <c r="E12" s="71">
        <v>3200</v>
      </c>
      <c r="F12" s="146">
        <f>CHOOSE($C$4,C12,D12,E12)</f>
        <v>2000</v>
      </c>
      <c r="G12" s="31" t="s">
        <v>600</v>
      </c>
      <c r="H12" s="32" t="s">
        <v>603</v>
      </c>
    </row>
    <row r="13" spans="2:8" ht="18" customHeight="1" x14ac:dyDescent="0.2">
      <c r="B13" s="12" t="s">
        <v>607</v>
      </c>
      <c r="C13" s="119"/>
      <c r="D13" s="119"/>
      <c r="E13" s="119"/>
      <c r="F13" s="71">
        <v>2</v>
      </c>
      <c r="G13" s="31" t="s">
        <v>608</v>
      </c>
      <c r="H13" s="32" t="s">
        <v>609</v>
      </c>
    </row>
    <row r="14" spans="2:8" ht="18" customHeight="1" x14ac:dyDescent="0.2">
      <c r="B14" s="12" t="s">
        <v>610</v>
      </c>
      <c r="C14" s="115">
        <v>0</v>
      </c>
      <c r="D14" s="115">
        <v>3</v>
      </c>
      <c r="E14" s="115">
        <v>10</v>
      </c>
      <c r="F14" s="146">
        <f>CHOOSE($C$4,C14,D14,E14)</f>
        <v>3</v>
      </c>
      <c r="G14" s="31" t="s">
        <v>611</v>
      </c>
      <c r="H14" s="32" t="s">
        <v>612</v>
      </c>
    </row>
    <row r="15" spans="2:8" ht="18" customHeight="1" x14ac:dyDescent="0.2">
      <c r="B15" s="12"/>
      <c r="C15" s="115"/>
      <c r="D15" s="115"/>
      <c r="E15" s="115"/>
      <c r="F15" s="146"/>
      <c r="G15" s="31"/>
      <c r="H15" s="32"/>
    </row>
    <row r="16" spans="2:8" ht="18" customHeight="1" x14ac:dyDescent="0.2">
      <c r="B16" s="12"/>
      <c r="C16" s="115"/>
      <c r="D16" s="115"/>
      <c r="E16" s="115"/>
      <c r="F16" s="146"/>
      <c r="G16" s="31"/>
      <c r="H16" s="32"/>
    </row>
    <row r="17" spans="2:8" ht="18" customHeight="1" x14ac:dyDescent="0.2">
      <c r="B17" s="12"/>
      <c r="C17" s="115"/>
      <c r="D17" s="115"/>
      <c r="E17" s="115"/>
      <c r="F17" s="146"/>
      <c r="G17" s="31"/>
      <c r="H17" s="32"/>
    </row>
    <row r="18" spans="2:8" ht="18" customHeight="1" x14ac:dyDescent="0.2">
      <c r="B18" s="12"/>
      <c r="C18" s="115"/>
      <c r="D18" s="115"/>
      <c r="E18" s="115"/>
      <c r="F18" s="146"/>
      <c r="G18" s="31"/>
      <c r="H18" s="32"/>
    </row>
    <row r="19" spans="2:8" ht="18" customHeight="1" x14ac:dyDescent="0.2">
      <c r="B19" s="12"/>
      <c r="C19" s="115"/>
      <c r="D19" s="115"/>
      <c r="E19" s="115"/>
      <c r="F19" s="146"/>
      <c r="G19" s="31"/>
      <c r="H19" s="32"/>
    </row>
    <row r="20" spans="2:8" ht="18" customHeight="1" x14ac:dyDescent="0.2">
      <c r="B20" s="12"/>
      <c r="C20" s="115"/>
      <c r="D20" s="115"/>
      <c r="E20" s="115"/>
      <c r="F20" s="146"/>
      <c r="G20" s="31"/>
      <c r="H20" s="32"/>
    </row>
    <row r="21" spans="2:8" ht="18" customHeight="1" x14ac:dyDescent="0.2">
      <c r="B21" s="12"/>
      <c r="C21" s="115"/>
      <c r="D21" s="115"/>
      <c r="E21" s="115"/>
      <c r="F21" s="146"/>
      <c r="G21" s="31"/>
      <c r="H21" s="32"/>
    </row>
    <row r="22" spans="2:8" ht="20.100000000000001" customHeight="1" x14ac:dyDescent="0.2">
      <c r="B22" s="5" t="s">
        <v>613</v>
      </c>
      <c r="C22" s="5"/>
      <c r="D22" s="5"/>
      <c r="E22" s="5"/>
      <c r="F22" s="5"/>
      <c r="G22" s="5"/>
      <c r="H22" s="5"/>
    </row>
    <row r="23" spans="2:8" ht="18" customHeight="1" x14ac:dyDescent="0.2">
      <c r="B23" s="12" t="s">
        <v>614</v>
      </c>
      <c r="C23" s="120"/>
      <c r="D23" s="120"/>
      <c r="E23" s="120"/>
      <c r="F23" s="121">
        <v>0.3</v>
      </c>
      <c r="G23" s="31" t="s">
        <v>615</v>
      </c>
      <c r="H23" s="32" t="s">
        <v>616</v>
      </c>
    </row>
    <row r="24" spans="2:8" ht="18" customHeight="1" x14ac:dyDescent="0.2">
      <c r="B24" s="12" t="s">
        <v>617</v>
      </c>
      <c r="C24" s="120"/>
      <c r="D24" s="120"/>
      <c r="E24" s="120"/>
      <c r="F24" s="121">
        <v>3.5</v>
      </c>
      <c r="G24" s="31" t="s">
        <v>618</v>
      </c>
      <c r="H24" s="32" t="s">
        <v>619</v>
      </c>
    </row>
    <row r="25" spans="2:8" ht="18" customHeight="1" x14ac:dyDescent="0.2">
      <c r="B25" s="12" t="s">
        <v>620</v>
      </c>
      <c r="C25" s="120"/>
      <c r="D25" s="120"/>
      <c r="E25" s="120"/>
      <c r="F25" s="121">
        <v>1.35</v>
      </c>
      <c r="G25" s="31" t="s">
        <v>621</v>
      </c>
      <c r="H25" s="32" t="s">
        <v>622</v>
      </c>
    </row>
    <row r="26" spans="2:8" ht="18" customHeight="1" x14ac:dyDescent="0.2">
      <c r="B26" s="12" t="s">
        <v>623</v>
      </c>
      <c r="C26" s="120"/>
      <c r="D26" s="120"/>
      <c r="E26" s="120"/>
      <c r="F26" s="121">
        <v>0.2</v>
      </c>
      <c r="G26" s="31" t="s">
        <v>624</v>
      </c>
      <c r="H26" s="32" t="s">
        <v>625</v>
      </c>
    </row>
    <row r="27" spans="2:8" ht="18" customHeight="1" x14ac:dyDescent="0.2">
      <c r="B27" s="12" t="s">
        <v>626</v>
      </c>
      <c r="C27" s="120"/>
      <c r="D27" s="120"/>
      <c r="E27" s="120"/>
      <c r="F27" s="121">
        <v>0.01</v>
      </c>
      <c r="G27" s="31" t="s">
        <v>624</v>
      </c>
      <c r="H27" s="32" t="s">
        <v>627</v>
      </c>
    </row>
    <row r="28" spans="2:8" ht="18" customHeight="1" x14ac:dyDescent="0.2">
      <c r="B28" s="12" t="s">
        <v>628</v>
      </c>
      <c r="C28" s="120"/>
      <c r="D28" s="120"/>
      <c r="E28" s="120"/>
      <c r="F28" s="121">
        <v>0.03</v>
      </c>
      <c r="G28" s="31" t="s">
        <v>624</v>
      </c>
      <c r="H28" s="32" t="s">
        <v>629</v>
      </c>
    </row>
    <row r="29" spans="2:8" ht="20.100000000000001" customHeight="1" x14ac:dyDescent="0.2">
      <c r="B29" s="5" t="s">
        <v>630</v>
      </c>
      <c r="C29" s="5"/>
      <c r="D29" s="5"/>
      <c r="E29" s="5"/>
      <c r="F29" s="5"/>
      <c r="G29" s="5"/>
      <c r="H29" s="5"/>
    </row>
    <row r="30" spans="2:8" ht="18" customHeight="1" x14ac:dyDescent="0.2">
      <c r="B30" s="12" t="s">
        <v>434</v>
      </c>
      <c r="C30" s="117"/>
      <c r="D30" s="117"/>
      <c r="E30" s="117"/>
      <c r="F30" s="122">
        <v>350</v>
      </c>
      <c r="G30" s="31" t="s">
        <v>631</v>
      </c>
      <c r="H30" s="32" t="s">
        <v>632</v>
      </c>
    </row>
    <row r="31" spans="2:8" ht="18" customHeight="1" x14ac:dyDescent="0.2">
      <c r="B31" s="12" t="s">
        <v>436</v>
      </c>
      <c r="C31" s="117"/>
      <c r="D31" s="117"/>
      <c r="E31" s="117"/>
      <c r="F31" s="69">
        <v>220</v>
      </c>
      <c r="G31" s="31" t="s">
        <v>631</v>
      </c>
      <c r="H31" s="32" t="s">
        <v>633</v>
      </c>
    </row>
    <row r="32" spans="2:8" ht="18" customHeight="1" x14ac:dyDescent="0.2">
      <c r="B32" s="12" t="s">
        <v>437</v>
      </c>
      <c r="C32" s="117"/>
      <c r="D32" s="117"/>
      <c r="E32" s="117"/>
      <c r="F32" s="69">
        <v>250</v>
      </c>
      <c r="G32" s="31" t="s">
        <v>631</v>
      </c>
      <c r="H32" s="32" t="s">
        <v>634</v>
      </c>
    </row>
    <row r="33" spans="2:8" ht="18" customHeight="1" x14ac:dyDescent="0.2">
      <c r="B33" s="12" t="s">
        <v>438</v>
      </c>
      <c r="C33" s="117"/>
      <c r="D33" s="117"/>
      <c r="E33" s="117"/>
      <c r="F33" s="69">
        <v>60</v>
      </c>
      <c r="G33" s="31" t="s">
        <v>631</v>
      </c>
      <c r="H33" s="32" t="s">
        <v>635</v>
      </c>
    </row>
    <row r="34" spans="2:8" ht="18" customHeight="1" x14ac:dyDescent="0.2">
      <c r="B34" s="12" t="s">
        <v>440</v>
      </c>
      <c r="C34" s="117"/>
      <c r="D34" s="117"/>
      <c r="E34" s="117"/>
      <c r="F34" s="69">
        <v>90</v>
      </c>
      <c r="G34" s="31" t="s">
        <v>631</v>
      </c>
      <c r="H34" s="32" t="s">
        <v>636</v>
      </c>
    </row>
    <row r="35" spans="2:8" ht="18" customHeight="1" x14ac:dyDescent="0.2">
      <c r="B35" s="12" t="s">
        <v>441</v>
      </c>
      <c r="C35" s="117"/>
      <c r="D35" s="117"/>
      <c r="E35" s="117"/>
      <c r="F35" s="69">
        <v>80</v>
      </c>
      <c r="G35" s="31" t="s">
        <v>631</v>
      </c>
      <c r="H35" s="32" t="s">
        <v>637</v>
      </c>
    </row>
    <row r="36" spans="2:8" ht="18" customHeight="1" x14ac:dyDescent="0.2">
      <c r="B36" s="12" t="s">
        <v>443</v>
      </c>
      <c r="C36" s="117"/>
      <c r="D36" s="117"/>
      <c r="E36" s="117"/>
      <c r="F36" s="69">
        <v>350</v>
      </c>
      <c r="G36" s="31" t="s">
        <v>631</v>
      </c>
      <c r="H36" s="32" t="s">
        <v>638</v>
      </c>
    </row>
    <row r="37" spans="2:8" ht="18" customHeight="1" x14ac:dyDescent="0.2">
      <c r="B37" s="12" t="s">
        <v>444</v>
      </c>
      <c r="C37" s="117"/>
      <c r="D37" s="117"/>
      <c r="E37" s="117"/>
      <c r="F37" s="69">
        <v>600</v>
      </c>
      <c r="G37" s="31" t="s">
        <v>631</v>
      </c>
      <c r="H37" s="32" t="s">
        <v>639</v>
      </c>
    </row>
    <row r="38" spans="2:8" ht="18" customHeight="1" x14ac:dyDescent="0.2">
      <c r="B38" s="12" t="s">
        <v>640</v>
      </c>
      <c r="C38" s="117"/>
      <c r="D38" s="117"/>
      <c r="E38" s="117"/>
      <c r="F38" s="69">
        <v>1200</v>
      </c>
      <c r="G38" s="31" t="s">
        <v>631</v>
      </c>
      <c r="H38" s="32" t="s">
        <v>641</v>
      </c>
    </row>
    <row r="39" spans="2:8" ht="18" customHeight="1" x14ac:dyDescent="0.2">
      <c r="B39" s="12" t="s">
        <v>448</v>
      </c>
      <c r="C39" s="117"/>
      <c r="D39" s="117"/>
      <c r="E39" s="117"/>
      <c r="F39" s="69">
        <v>2500</v>
      </c>
      <c r="G39" s="31" t="s">
        <v>631</v>
      </c>
      <c r="H39" s="32" t="s">
        <v>642</v>
      </c>
    </row>
    <row r="40" spans="2:8" ht="18" customHeight="1" x14ac:dyDescent="0.2">
      <c r="B40" s="12" t="s">
        <v>449</v>
      </c>
      <c r="C40" s="117"/>
      <c r="D40" s="117"/>
      <c r="E40" s="117"/>
      <c r="F40" s="69">
        <v>400</v>
      </c>
      <c r="G40" s="31" t="s">
        <v>631</v>
      </c>
      <c r="H40" s="32" t="s">
        <v>643</v>
      </c>
    </row>
    <row r="41" spans="2:8" ht="18" customHeight="1" x14ac:dyDescent="0.2">
      <c r="B41" s="12" t="s">
        <v>450</v>
      </c>
      <c r="C41" s="117"/>
      <c r="D41" s="117"/>
      <c r="E41" s="117"/>
      <c r="F41" s="69">
        <v>700</v>
      </c>
      <c r="G41" s="31" t="s">
        <v>631</v>
      </c>
      <c r="H41" s="32" t="s">
        <v>644</v>
      </c>
    </row>
    <row r="42" spans="2:8" ht="20.100000000000001" customHeight="1" x14ac:dyDescent="0.2">
      <c r="B42" s="5" t="s">
        <v>645</v>
      </c>
      <c r="C42" s="5"/>
      <c r="D42" s="5"/>
      <c r="E42" s="5"/>
      <c r="F42" s="5"/>
      <c r="G42" s="5"/>
      <c r="H42" s="5"/>
    </row>
    <row r="43" spans="2:8" ht="18" customHeight="1" x14ac:dyDescent="0.2">
      <c r="B43" s="12" t="s">
        <v>413</v>
      </c>
      <c r="C43" s="115"/>
      <c r="D43" s="115"/>
      <c r="E43" s="115"/>
      <c r="F43" s="116">
        <v>4</v>
      </c>
      <c r="G43" s="31" t="s">
        <v>646</v>
      </c>
      <c r="H43" s="32"/>
    </row>
    <row r="44" spans="2:8" ht="18" customHeight="1" x14ac:dyDescent="0.2">
      <c r="B44" s="12" t="s">
        <v>647</v>
      </c>
      <c r="C44" s="115"/>
      <c r="D44" s="115"/>
      <c r="E44" s="115"/>
      <c r="F44" s="116">
        <v>2</v>
      </c>
      <c r="G44" s="31" t="s">
        <v>648</v>
      </c>
      <c r="H44" s="32" t="s">
        <v>649</v>
      </c>
    </row>
    <row r="45" spans="2:8" ht="18" customHeight="1" x14ac:dyDescent="0.2">
      <c r="B45" s="12" t="s">
        <v>650</v>
      </c>
      <c r="C45" s="115"/>
      <c r="D45" s="115"/>
      <c r="E45" s="115"/>
      <c r="F45" s="116">
        <v>2</v>
      </c>
      <c r="G45" s="31" t="s">
        <v>648</v>
      </c>
      <c r="H45" s="32" t="s">
        <v>651</v>
      </c>
    </row>
    <row r="46" spans="2:8" ht="18" customHeight="1" x14ac:dyDescent="0.2">
      <c r="B46" s="12" t="s">
        <v>652</v>
      </c>
      <c r="C46" s="115"/>
      <c r="D46" s="115"/>
      <c r="E46" s="115"/>
      <c r="F46" s="116">
        <v>1</v>
      </c>
      <c r="G46" s="31" t="s">
        <v>648</v>
      </c>
      <c r="H46" s="32" t="s">
        <v>653</v>
      </c>
    </row>
    <row r="47" spans="2:8" ht="20.100000000000001" customHeight="1" x14ac:dyDescent="0.2">
      <c r="B47" s="5" t="s">
        <v>654</v>
      </c>
      <c r="C47" s="5"/>
      <c r="D47" s="5"/>
      <c r="E47" s="5"/>
      <c r="F47" s="5"/>
      <c r="G47" s="5"/>
      <c r="H47" s="5"/>
    </row>
    <row r="48" spans="2:8" ht="18" customHeight="1" x14ac:dyDescent="0.2">
      <c r="B48" s="12" t="s">
        <v>655</v>
      </c>
      <c r="C48" s="117"/>
      <c r="D48" s="117"/>
      <c r="E48" s="117"/>
      <c r="F48" s="69">
        <v>45000</v>
      </c>
      <c r="G48" s="31" t="s">
        <v>656</v>
      </c>
      <c r="H48" s="32" t="s">
        <v>657</v>
      </c>
    </row>
    <row r="49" spans="1:8" ht="18" customHeight="1" x14ac:dyDescent="0.2">
      <c r="B49" s="12" t="s">
        <v>658</v>
      </c>
      <c r="C49" s="117"/>
      <c r="D49" s="117"/>
      <c r="E49" s="117"/>
      <c r="F49" s="69">
        <v>70000</v>
      </c>
      <c r="G49" s="31" t="s">
        <v>656</v>
      </c>
      <c r="H49" s="32" t="s">
        <v>659</v>
      </c>
    </row>
    <row r="50" spans="1:8" ht="18" customHeight="1" x14ac:dyDescent="0.2">
      <c r="B50" s="12" t="s">
        <v>660</v>
      </c>
      <c r="C50" s="117"/>
      <c r="D50" s="117"/>
      <c r="E50" s="117"/>
      <c r="F50" s="69">
        <v>60000</v>
      </c>
      <c r="G50" s="31" t="s">
        <v>656</v>
      </c>
      <c r="H50" s="32" t="s">
        <v>661</v>
      </c>
    </row>
    <row r="51" spans="1:8" ht="18" customHeight="1" x14ac:dyDescent="0.2">
      <c r="B51" s="12" t="s">
        <v>662</v>
      </c>
      <c r="C51" s="117"/>
      <c r="D51" s="117"/>
      <c r="E51" s="117"/>
      <c r="F51" s="69">
        <v>50000</v>
      </c>
      <c r="G51" s="31" t="s">
        <v>656</v>
      </c>
      <c r="H51" s="32" t="s">
        <v>653</v>
      </c>
    </row>
    <row r="52" spans="1:8" ht="18" customHeight="1" x14ac:dyDescent="0.2">
      <c r="B52" s="12" t="s">
        <v>663</v>
      </c>
      <c r="C52" s="113"/>
      <c r="D52" s="113"/>
      <c r="E52" s="113"/>
      <c r="F52" s="118">
        <v>0.15</v>
      </c>
      <c r="G52" s="31" t="s">
        <v>664</v>
      </c>
      <c r="H52" s="32" t="s">
        <v>665</v>
      </c>
    </row>
    <row r="53" spans="1:8" ht="18" customHeight="1" x14ac:dyDescent="0.2">
      <c r="B53" s="12" t="s">
        <v>666</v>
      </c>
      <c r="C53" s="117"/>
      <c r="D53" s="117"/>
      <c r="E53" s="117"/>
      <c r="F53" s="69">
        <v>5000</v>
      </c>
      <c r="G53" s="31" t="s">
        <v>656</v>
      </c>
      <c r="H53" s="32" t="s">
        <v>667</v>
      </c>
    </row>
    <row r="54" spans="1:8" ht="18" customHeight="1" x14ac:dyDescent="0.2">
      <c r="B54" s="12" t="s">
        <v>668</v>
      </c>
      <c r="C54" s="113"/>
      <c r="D54" s="113"/>
      <c r="E54" s="113"/>
      <c r="F54" s="118">
        <v>0.04</v>
      </c>
      <c r="G54" s="31" t="s">
        <v>669</v>
      </c>
      <c r="H54" s="32" t="s">
        <v>670</v>
      </c>
    </row>
    <row r="55" spans="1:8" ht="18" customHeight="1" x14ac:dyDescent="0.2">
      <c r="B55" s="12" t="s">
        <v>429</v>
      </c>
      <c r="C55" s="113"/>
      <c r="D55" s="113"/>
      <c r="E55" s="113"/>
      <c r="F55" s="118">
        <v>0.03</v>
      </c>
      <c r="G55" s="31" t="s">
        <v>669</v>
      </c>
      <c r="H55" s="32" t="s">
        <v>671</v>
      </c>
    </row>
    <row r="56" spans="1:8" ht="20.100000000000001" customHeight="1" x14ac:dyDescent="0.2">
      <c r="A56" s="42"/>
      <c r="B56" s="5" t="s">
        <v>672</v>
      </c>
      <c r="C56" s="5"/>
      <c r="D56" s="5"/>
      <c r="E56" s="5"/>
      <c r="F56" s="5"/>
      <c r="G56" s="5"/>
      <c r="H56" s="5"/>
    </row>
    <row r="57" spans="1:8" ht="18" customHeight="1" x14ac:dyDescent="0.2">
      <c r="B57" s="12" t="s">
        <v>673</v>
      </c>
      <c r="C57" s="119"/>
      <c r="D57" s="119"/>
      <c r="E57" s="119"/>
      <c r="F57" s="71">
        <v>10500</v>
      </c>
      <c r="G57" s="31" t="s">
        <v>674</v>
      </c>
      <c r="H57" s="32" t="s">
        <v>1562</v>
      </c>
    </row>
    <row r="58" spans="1:8" ht="18" customHeight="1" x14ac:dyDescent="0.2">
      <c r="B58" s="12" t="s">
        <v>675</v>
      </c>
      <c r="C58" s="119"/>
      <c r="D58" s="119"/>
      <c r="E58" s="119"/>
      <c r="F58" s="71">
        <v>90000</v>
      </c>
      <c r="G58" s="31" t="s">
        <v>676</v>
      </c>
      <c r="H58" s="32" t="s">
        <v>677</v>
      </c>
    </row>
    <row r="59" spans="1:8" ht="18" customHeight="1" x14ac:dyDescent="0.2">
      <c r="B59" s="12" t="s">
        <v>678</v>
      </c>
      <c r="C59" s="113"/>
      <c r="D59" s="113"/>
      <c r="E59" s="113"/>
      <c r="F59" s="118">
        <v>0.5</v>
      </c>
      <c r="G59" s="31" t="s">
        <v>679</v>
      </c>
      <c r="H59" s="32" t="s">
        <v>680</v>
      </c>
    </row>
    <row r="60" spans="1:8" ht="20.100000000000001" customHeight="1" x14ac:dyDescent="0.2">
      <c r="B60" s="5" t="s">
        <v>681</v>
      </c>
      <c r="C60" s="5"/>
      <c r="D60" s="5"/>
      <c r="E60" s="5"/>
      <c r="F60" s="5"/>
      <c r="G60" s="5"/>
      <c r="H60" s="5"/>
    </row>
    <row r="61" spans="1:8" ht="18" customHeight="1" x14ac:dyDescent="0.2">
      <c r="B61" s="178" t="s">
        <v>682</v>
      </c>
      <c r="C61" s="187">
        <v>0.05</v>
      </c>
      <c r="D61" s="187">
        <v>0.15</v>
      </c>
      <c r="E61" s="187">
        <v>0.3</v>
      </c>
      <c r="F61" s="188">
        <f t="shared" ref="F61:F69" si="0">CHOOSE($C$4,C61,D61,E61)</f>
        <v>0.15</v>
      </c>
      <c r="G61" s="31" t="s">
        <v>683</v>
      </c>
      <c r="H61" s="32" t="s">
        <v>684</v>
      </c>
    </row>
    <row r="62" spans="1:8" ht="18" customHeight="1" x14ac:dyDescent="0.2">
      <c r="B62" s="12" t="s">
        <v>685</v>
      </c>
      <c r="C62" s="70">
        <v>0.25</v>
      </c>
      <c r="D62" s="70">
        <v>0.45</v>
      </c>
      <c r="E62" s="70">
        <v>0.5</v>
      </c>
      <c r="F62" s="126">
        <f t="shared" si="0"/>
        <v>0.45</v>
      </c>
      <c r="G62" s="31" t="s">
        <v>683</v>
      </c>
      <c r="H62" s="32" t="s">
        <v>686</v>
      </c>
    </row>
    <row r="63" spans="1:8" ht="18" customHeight="1" x14ac:dyDescent="0.2">
      <c r="B63" s="179" t="s">
        <v>687</v>
      </c>
      <c r="C63" s="185">
        <v>0.7</v>
      </c>
      <c r="D63" s="185">
        <v>0.4</v>
      </c>
      <c r="E63" s="185">
        <v>0.2</v>
      </c>
      <c r="F63" s="186">
        <f t="shared" si="0"/>
        <v>0.4</v>
      </c>
      <c r="G63" s="31" t="s">
        <v>683</v>
      </c>
      <c r="H63" s="32" t="s">
        <v>688</v>
      </c>
    </row>
    <row r="64" spans="1:8" ht="18" customHeight="1" x14ac:dyDescent="0.2">
      <c r="B64" s="12" t="s">
        <v>689</v>
      </c>
      <c r="C64" s="70">
        <v>0.1</v>
      </c>
      <c r="D64" s="70">
        <v>0.3</v>
      </c>
      <c r="E64" s="70">
        <v>0.45</v>
      </c>
      <c r="F64" s="126">
        <f t="shared" si="0"/>
        <v>0.3</v>
      </c>
      <c r="G64" s="31" t="s">
        <v>683</v>
      </c>
      <c r="H64" s="32" t="s">
        <v>690</v>
      </c>
    </row>
    <row r="65" spans="2:8" ht="18" customHeight="1" x14ac:dyDescent="0.2">
      <c r="B65" s="12" t="s">
        <v>691</v>
      </c>
      <c r="C65" s="70">
        <v>0.35</v>
      </c>
      <c r="D65" s="70">
        <v>0.45</v>
      </c>
      <c r="E65" s="70">
        <v>0.45</v>
      </c>
      <c r="F65" s="126">
        <f t="shared" si="0"/>
        <v>0.45</v>
      </c>
      <c r="G65" s="31" t="s">
        <v>683</v>
      </c>
      <c r="H65" s="32" t="s">
        <v>692</v>
      </c>
    </row>
    <row r="66" spans="2:8" ht="18" customHeight="1" x14ac:dyDescent="0.2">
      <c r="B66" s="42" t="s">
        <v>693</v>
      </c>
      <c r="C66" s="181">
        <v>0.55000000000000004</v>
      </c>
      <c r="D66" s="181">
        <v>0.25</v>
      </c>
      <c r="E66" s="181">
        <v>0.1</v>
      </c>
      <c r="F66" s="182">
        <f t="shared" si="0"/>
        <v>0.25</v>
      </c>
      <c r="G66" s="31" t="s">
        <v>683</v>
      </c>
      <c r="H66" s="32" t="s">
        <v>694</v>
      </c>
    </row>
    <row r="67" spans="2:8" ht="18" customHeight="1" x14ac:dyDescent="0.2">
      <c r="B67" s="180" t="s">
        <v>695</v>
      </c>
      <c r="C67" s="183">
        <v>0.2</v>
      </c>
      <c r="D67" s="183">
        <v>0.45</v>
      </c>
      <c r="E67" s="183">
        <v>0.65</v>
      </c>
      <c r="F67" s="184">
        <f t="shared" si="0"/>
        <v>0.45</v>
      </c>
      <c r="G67" s="31" t="s">
        <v>683</v>
      </c>
      <c r="H67" s="32" t="s">
        <v>696</v>
      </c>
    </row>
    <row r="68" spans="2:8" ht="18" customHeight="1" x14ac:dyDescent="0.2">
      <c r="B68" s="12" t="s">
        <v>697</v>
      </c>
      <c r="C68" s="70">
        <v>0.4</v>
      </c>
      <c r="D68" s="70">
        <v>0.4</v>
      </c>
      <c r="E68" s="70">
        <v>0.3</v>
      </c>
      <c r="F68" s="126">
        <f t="shared" si="0"/>
        <v>0.4</v>
      </c>
      <c r="G68" s="31" t="s">
        <v>683</v>
      </c>
      <c r="H68" s="32" t="s">
        <v>698</v>
      </c>
    </row>
    <row r="69" spans="2:8" ht="18" customHeight="1" x14ac:dyDescent="0.2">
      <c r="B69" s="179" t="s">
        <v>699</v>
      </c>
      <c r="C69" s="185">
        <v>0.4</v>
      </c>
      <c r="D69" s="185">
        <v>0.15</v>
      </c>
      <c r="E69" s="185">
        <v>0.05</v>
      </c>
      <c r="F69" s="186">
        <f t="shared" si="0"/>
        <v>0.15</v>
      </c>
      <c r="G69" s="31" t="s">
        <v>683</v>
      </c>
      <c r="H69" s="32" t="s">
        <v>700</v>
      </c>
    </row>
    <row r="70" spans="2:8" ht="18" customHeight="1" x14ac:dyDescent="0.2">
      <c r="B70" s="180" t="s">
        <v>701</v>
      </c>
      <c r="C70" s="189"/>
      <c r="D70" s="189"/>
      <c r="E70" s="189"/>
      <c r="F70" s="190">
        <v>8.0000000000000002E-3</v>
      </c>
      <c r="G70" s="31" t="s">
        <v>702</v>
      </c>
      <c r="H70" s="32" t="s">
        <v>703</v>
      </c>
    </row>
    <row r="71" spans="2:8" ht="18" customHeight="1" x14ac:dyDescent="0.2">
      <c r="B71" s="12" t="s">
        <v>704</v>
      </c>
      <c r="C71" s="113"/>
      <c r="D71" s="113"/>
      <c r="E71" s="113"/>
      <c r="F71" s="123">
        <v>1.4999999999999999E-2</v>
      </c>
      <c r="G71" s="31" t="s">
        <v>702</v>
      </c>
      <c r="H71" s="32" t="s">
        <v>705</v>
      </c>
    </row>
    <row r="72" spans="2:8" ht="18" customHeight="1" x14ac:dyDescent="0.2">
      <c r="B72" s="179" t="s">
        <v>706</v>
      </c>
      <c r="C72" s="191"/>
      <c r="D72" s="191"/>
      <c r="E72" s="191"/>
      <c r="F72" s="192">
        <v>0.03</v>
      </c>
      <c r="G72" s="31" t="s">
        <v>702</v>
      </c>
      <c r="H72" s="32" t="s">
        <v>707</v>
      </c>
    </row>
    <row r="73" spans="2:8" ht="18" customHeight="1" x14ac:dyDescent="0.2">
      <c r="B73" s="180" t="s">
        <v>708</v>
      </c>
      <c r="C73" s="193"/>
      <c r="D73" s="193"/>
      <c r="E73" s="193"/>
      <c r="F73" s="194">
        <v>150</v>
      </c>
      <c r="G73" s="31" t="s">
        <v>605</v>
      </c>
      <c r="H73" s="32" t="s">
        <v>709</v>
      </c>
    </row>
    <row r="74" spans="2:8" ht="18" customHeight="1" x14ac:dyDescent="0.2">
      <c r="B74" s="12" t="s">
        <v>710</v>
      </c>
      <c r="C74" s="119"/>
      <c r="D74" s="119"/>
      <c r="E74" s="119"/>
      <c r="F74" s="71">
        <v>250</v>
      </c>
      <c r="G74" s="31" t="s">
        <v>605</v>
      </c>
      <c r="H74" s="32" t="s">
        <v>709</v>
      </c>
    </row>
    <row r="75" spans="2:8" ht="18" customHeight="1" x14ac:dyDescent="0.2">
      <c r="B75" s="179" t="s">
        <v>711</v>
      </c>
      <c r="C75" s="195"/>
      <c r="D75" s="195"/>
      <c r="E75" s="195"/>
      <c r="F75" s="196">
        <v>500</v>
      </c>
      <c r="G75" s="31" t="s">
        <v>605</v>
      </c>
      <c r="H75" s="32" t="s">
        <v>709</v>
      </c>
    </row>
    <row r="76" spans="2:8" ht="18" customHeight="1" x14ac:dyDescent="0.2">
      <c r="B76" s="180" t="s">
        <v>712</v>
      </c>
      <c r="C76" s="193"/>
      <c r="D76" s="193"/>
      <c r="E76" s="193"/>
      <c r="F76" s="194">
        <v>25</v>
      </c>
      <c r="G76" s="31" t="s">
        <v>605</v>
      </c>
      <c r="H76" s="32" t="s">
        <v>713</v>
      </c>
    </row>
    <row r="77" spans="2:8" ht="18" customHeight="1" x14ac:dyDescent="0.2">
      <c r="B77" s="12" t="s">
        <v>714</v>
      </c>
      <c r="C77" s="119"/>
      <c r="D77" s="119"/>
      <c r="E77" s="119"/>
      <c r="F77" s="71">
        <v>90</v>
      </c>
      <c r="G77" s="31" t="s">
        <v>605</v>
      </c>
      <c r="H77" s="32" t="s">
        <v>715</v>
      </c>
    </row>
    <row r="78" spans="2:8" ht="18" customHeight="1" x14ac:dyDescent="0.2">
      <c r="B78" s="179" t="s">
        <v>716</v>
      </c>
      <c r="C78" s="195"/>
      <c r="D78" s="195"/>
      <c r="E78" s="195"/>
      <c r="F78" s="196">
        <v>300</v>
      </c>
      <c r="G78" s="31" t="s">
        <v>605</v>
      </c>
      <c r="H78" s="32" t="s">
        <v>717</v>
      </c>
    </row>
    <row r="79" spans="2:8" ht="18" customHeight="1" x14ac:dyDescent="0.2">
      <c r="B79" s="180" t="s">
        <v>718</v>
      </c>
      <c r="C79" s="193"/>
      <c r="D79" s="193"/>
      <c r="E79" s="193"/>
      <c r="F79" s="194">
        <v>100</v>
      </c>
      <c r="G79" s="31" t="s">
        <v>719</v>
      </c>
      <c r="H79" s="32" t="s">
        <v>720</v>
      </c>
    </row>
    <row r="80" spans="2:8" ht="18" customHeight="1" x14ac:dyDescent="0.2">
      <c r="B80" s="12" t="s">
        <v>721</v>
      </c>
      <c r="C80" s="119"/>
      <c r="D80" s="119"/>
      <c r="E80" s="119"/>
      <c r="F80" s="71">
        <v>200</v>
      </c>
      <c r="G80" s="31" t="s">
        <v>719</v>
      </c>
      <c r="H80" s="32" t="s">
        <v>720</v>
      </c>
    </row>
    <row r="81" spans="2:8" ht="18" customHeight="1" x14ac:dyDescent="0.2">
      <c r="B81" s="179" t="s">
        <v>722</v>
      </c>
      <c r="C81" s="195"/>
      <c r="D81" s="195"/>
      <c r="E81" s="195"/>
      <c r="F81" s="196">
        <v>500</v>
      </c>
      <c r="G81" s="31" t="s">
        <v>719</v>
      </c>
      <c r="H81" s="32" t="s">
        <v>723</v>
      </c>
    </row>
    <row r="82" spans="2:8" ht="18" customHeight="1" x14ac:dyDescent="0.2">
      <c r="B82" s="180" t="s">
        <v>724</v>
      </c>
      <c r="C82" s="193"/>
      <c r="D82" s="193"/>
      <c r="E82" s="193"/>
      <c r="F82" s="194">
        <v>3</v>
      </c>
      <c r="G82" s="31" t="s">
        <v>605</v>
      </c>
      <c r="H82" s="32" t="s">
        <v>725</v>
      </c>
    </row>
    <row r="83" spans="2:8" ht="18" customHeight="1" x14ac:dyDescent="0.2">
      <c r="B83" s="12" t="s">
        <v>726</v>
      </c>
      <c r="C83" s="119"/>
      <c r="D83" s="119"/>
      <c r="E83" s="119"/>
      <c r="F83" s="71">
        <v>10</v>
      </c>
      <c r="G83" s="31" t="s">
        <v>605</v>
      </c>
      <c r="H83" s="32" t="s">
        <v>727</v>
      </c>
    </row>
    <row r="84" spans="2:8" ht="18" customHeight="1" x14ac:dyDescent="0.2">
      <c r="B84" s="179" t="s">
        <v>728</v>
      </c>
      <c r="C84" s="195"/>
      <c r="D84" s="195"/>
      <c r="E84" s="195"/>
      <c r="F84" s="196">
        <v>150</v>
      </c>
      <c r="G84" s="31" t="s">
        <v>605</v>
      </c>
      <c r="H84" s="32" t="s">
        <v>729</v>
      </c>
    </row>
    <row r="85" spans="2:8" ht="18" customHeight="1" x14ac:dyDescent="0.2">
      <c r="B85" s="180" t="s">
        <v>730</v>
      </c>
      <c r="C85" s="193"/>
      <c r="D85" s="193"/>
      <c r="E85" s="193"/>
      <c r="F85" s="194">
        <v>3</v>
      </c>
      <c r="G85" s="31" t="s">
        <v>605</v>
      </c>
      <c r="H85" s="32" t="s">
        <v>731</v>
      </c>
    </row>
    <row r="86" spans="2:8" ht="18" customHeight="1" x14ac:dyDescent="0.2">
      <c r="B86" s="12" t="s">
        <v>732</v>
      </c>
      <c r="C86" s="119"/>
      <c r="D86" s="119"/>
      <c r="E86" s="119"/>
      <c r="F86" s="71">
        <v>20</v>
      </c>
      <c r="G86" s="31" t="s">
        <v>605</v>
      </c>
      <c r="H86" s="32" t="s">
        <v>733</v>
      </c>
    </row>
    <row r="87" spans="2:8" ht="18" customHeight="1" x14ac:dyDescent="0.2">
      <c r="B87" s="179" t="s">
        <v>734</v>
      </c>
      <c r="C87" s="195"/>
      <c r="D87" s="195"/>
      <c r="E87" s="195"/>
      <c r="F87" s="196">
        <v>150</v>
      </c>
      <c r="G87" s="31" t="s">
        <v>605</v>
      </c>
      <c r="H87" s="32" t="s">
        <v>735</v>
      </c>
    </row>
    <row r="88" spans="2:8" ht="18" customHeight="1" x14ac:dyDescent="0.2">
      <c r="B88" s="180" t="s">
        <v>736</v>
      </c>
      <c r="C88" s="193"/>
      <c r="D88" s="193"/>
      <c r="E88" s="193"/>
      <c r="F88" s="194">
        <v>2</v>
      </c>
      <c r="G88" s="31" t="s">
        <v>605</v>
      </c>
      <c r="H88" s="32" t="s">
        <v>737</v>
      </c>
    </row>
    <row r="89" spans="2:8" ht="18" customHeight="1" x14ac:dyDescent="0.2">
      <c r="B89" s="12" t="s">
        <v>738</v>
      </c>
      <c r="C89" s="119"/>
      <c r="D89" s="119"/>
      <c r="E89" s="119"/>
      <c r="F89" s="71">
        <v>6</v>
      </c>
      <c r="G89" s="31" t="s">
        <v>605</v>
      </c>
      <c r="H89" s="32" t="s">
        <v>739</v>
      </c>
    </row>
    <row r="90" spans="2:8" ht="18" customHeight="1" x14ac:dyDescent="0.2">
      <c r="B90" s="179" t="s">
        <v>740</v>
      </c>
      <c r="C90" s="195"/>
      <c r="D90" s="195"/>
      <c r="E90" s="195"/>
      <c r="F90" s="196">
        <v>20</v>
      </c>
      <c r="G90" s="31" t="s">
        <v>605</v>
      </c>
      <c r="H90" s="32" t="s">
        <v>741</v>
      </c>
    </row>
    <row r="91" spans="2:8" ht="18" customHeight="1" x14ac:dyDescent="0.2">
      <c r="B91" s="180" t="s">
        <v>742</v>
      </c>
      <c r="C91" s="189"/>
      <c r="D91" s="189"/>
      <c r="E91" s="189"/>
      <c r="F91" s="197">
        <v>0.04</v>
      </c>
      <c r="G91" s="31" t="s">
        <v>683</v>
      </c>
      <c r="H91" s="32" t="s">
        <v>743</v>
      </c>
    </row>
    <row r="92" spans="2:8" ht="18" customHeight="1" x14ac:dyDescent="0.2">
      <c r="B92" s="12" t="s">
        <v>744</v>
      </c>
      <c r="C92" s="113"/>
      <c r="D92" s="113"/>
      <c r="E92" s="113"/>
      <c r="F92" s="118">
        <v>0.1</v>
      </c>
      <c r="G92" s="31" t="s">
        <v>683</v>
      </c>
      <c r="H92" s="32" t="s">
        <v>745</v>
      </c>
    </row>
    <row r="93" spans="2:8" ht="18" customHeight="1" x14ac:dyDescent="0.2">
      <c r="B93" s="179" t="s">
        <v>746</v>
      </c>
      <c r="C93" s="191"/>
      <c r="D93" s="191"/>
      <c r="E93" s="191"/>
      <c r="F93" s="198">
        <v>0.2</v>
      </c>
      <c r="G93" s="31" t="s">
        <v>683</v>
      </c>
      <c r="H93" s="32" t="s">
        <v>747</v>
      </c>
    </row>
    <row r="94" spans="2:8" ht="18" customHeight="1" x14ac:dyDescent="0.2">
      <c r="B94" s="180" t="s">
        <v>748</v>
      </c>
      <c r="C94" s="193"/>
      <c r="D94" s="193"/>
      <c r="E94" s="193"/>
      <c r="F94" s="194">
        <v>60</v>
      </c>
      <c r="G94" s="31" t="s">
        <v>719</v>
      </c>
      <c r="H94" s="32" t="s">
        <v>749</v>
      </c>
    </row>
    <row r="95" spans="2:8" ht="18" customHeight="1" x14ac:dyDescent="0.2">
      <c r="B95" s="12" t="s">
        <v>750</v>
      </c>
      <c r="C95" s="119"/>
      <c r="D95" s="119"/>
      <c r="E95" s="119"/>
      <c r="F95" s="71">
        <v>120</v>
      </c>
      <c r="G95" s="31" t="s">
        <v>719</v>
      </c>
      <c r="H95" s="32" t="s">
        <v>749</v>
      </c>
    </row>
    <row r="96" spans="2:8" ht="18" customHeight="1" x14ac:dyDescent="0.2">
      <c r="B96" s="179" t="s">
        <v>751</v>
      </c>
      <c r="C96" s="195"/>
      <c r="D96" s="195"/>
      <c r="E96" s="195"/>
      <c r="F96" s="196">
        <v>350</v>
      </c>
      <c r="G96" s="31" t="s">
        <v>719</v>
      </c>
      <c r="H96" s="32" t="s">
        <v>749</v>
      </c>
    </row>
    <row r="97" spans="2:8" ht="18" customHeight="1" x14ac:dyDescent="0.2">
      <c r="B97" s="180" t="s">
        <v>752</v>
      </c>
      <c r="C97" s="199"/>
      <c r="D97" s="199"/>
      <c r="E97" s="199"/>
      <c r="F97" s="200">
        <v>1</v>
      </c>
      <c r="G97" s="31" t="s">
        <v>753</v>
      </c>
      <c r="H97" s="32" t="s">
        <v>754</v>
      </c>
    </row>
    <row r="98" spans="2:8" ht="18" customHeight="1" x14ac:dyDescent="0.2">
      <c r="B98" s="12" t="s">
        <v>755</v>
      </c>
      <c r="C98" s="17"/>
      <c r="D98" s="17"/>
      <c r="E98" s="17"/>
      <c r="F98" s="16">
        <v>3</v>
      </c>
      <c r="G98" s="31" t="s">
        <v>753</v>
      </c>
      <c r="H98" s="32" t="s">
        <v>754</v>
      </c>
    </row>
    <row r="99" spans="2:8" ht="18" customHeight="1" x14ac:dyDescent="0.2">
      <c r="B99" s="179" t="s">
        <v>756</v>
      </c>
      <c r="C99" s="201"/>
      <c r="D99" s="201"/>
      <c r="E99" s="201"/>
      <c r="F99" s="202">
        <v>5</v>
      </c>
      <c r="G99" s="31" t="s">
        <v>753</v>
      </c>
      <c r="H99" s="32" t="s">
        <v>754</v>
      </c>
    </row>
    <row r="100" spans="2:8" ht="18" customHeight="1" x14ac:dyDescent="0.2">
      <c r="B100" s="180" t="s">
        <v>757</v>
      </c>
      <c r="C100" s="199"/>
      <c r="D100" s="199"/>
      <c r="E100" s="199"/>
      <c r="F100" s="200">
        <v>0.05</v>
      </c>
      <c r="G100" s="31" t="s">
        <v>758</v>
      </c>
      <c r="H100" s="32" t="s">
        <v>759</v>
      </c>
    </row>
    <row r="101" spans="2:8" ht="18" customHeight="1" x14ac:dyDescent="0.2">
      <c r="B101" s="12" t="s">
        <v>760</v>
      </c>
      <c r="C101" s="17"/>
      <c r="D101" s="17"/>
      <c r="E101" s="17"/>
      <c r="F101" s="16">
        <v>0.5</v>
      </c>
      <c r="G101" s="31" t="s">
        <v>758</v>
      </c>
      <c r="H101" s="32" t="s">
        <v>761</v>
      </c>
    </row>
    <row r="102" spans="2:8" ht="18" customHeight="1" x14ac:dyDescent="0.2">
      <c r="B102" s="179" t="s">
        <v>762</v>
      </c>
      <c r="C102" s="201"/>
      <c r="D102" s="201"/>
      <c r="E102" s="201"/>
      <c r="F102" s="202">
        <v>7</v>
      </c>
      <c r="G102" s="31" t="s">
        <v>758</v>
      </c>
      <c r="H102" s="32" t="s">
        <v>763</v>
      </c>
    </row>
    <row r="103" spans="2:8" ht="18" customHeight="1" x14ac:dyDescent="0.2">
      <c r="B103" s="12" t="s">
        <v>764</v>
      </c>
      <c r="C103" s="17"/>
      <c r="D103" s="17"/>
      <c r="E103" s="17"/>
      <c r="F103" s="16">
        <v>3</v>
      </c>
      <c r="G103" s="31" t="s">
        <v>765</v>
      </c>
      <c r="H103" s="32" t="s">
        <v>766</v>
      </c>
    </row>
    <row r="104" spans="2:8" ht="18" customHeight="1" x14ac:dyDescent="0.2">
      <c r="B104" s="12" t="s">
        <v>767</v>
      </c>
      <c r="C104" s="17"/>
      <c r="D104" s="17"/>
      <c r="E104" s="17"/>
      <c r="F104" s="16">
        <v>6</v>
      </c>
      <c r="G104" s="31" t="s">
        <v>765</v>
      </c>
      <c r="H104" s="32" t="s">
        <v>768</v>
      </c>
    </row>
    <row r="105" spans="2:8" ht="18" customHeight="1" x14ac:dyDescent="0.2">
      <c r="B105" s="12" t="s">
        <v>769</v>
      </c>
      <c r="C105" s="17"/>
      <c r="D105" s="17"/>
      <c r="E105" s="17"/>
      <c r="F105" s="16">
        <v>9</v>
      </c>
      <c r="G105" s="31" t="s">
        <v>765</v>
      </c>
      <c r="H105" s="32" t="s">
        <v>770</v>
      </c>
    </row>
    <row r="106" spans="2:8" ht="20.100000000000001" customHeight="1" x14ac:dyDescent="0.2">
      <c r="B106" s="5" t="s">
        <v>771</v>
      </c>
      <c r="C106" s="5"/>
      <c r="D106" s="5"/>
      <c r="E106" s="5"/>
      <c r="F106" s="5"/>
      <c r="G106" s="5"/>
      <c r="H106" s="5"/>
    </row>
    <row r="107" spans="2:8" ht="18" customHeight="1" x14ac:dyDescent="0.2">
      <c r="B107" s="12" t="s">
        <v>772</v>
      </c>
      <c r="C107" s="115">
        <v>1.5</v>
      </c>
      <c r="D107" s="115">
        <v>3</v>
      </c>
      <c r="E107" s="115">
        <v>5</v>
      </c>
      <c r="F107" s="125">
        <f>CHOOSE($C$4,C107,D107,E107)</f>
        <v>3</v>
      </c>
      <c r="G107" s="31" t="s">
        <v>773</v>
      </c>
      <c r="H107" s="32" t="s">
        <v>774</v>
      </c>
    </row>
    <row r="108" spans="2:8" ht="18" customHeight="1" x14ac:dyDescent="0.2">
      <c r="B108" s="12" t="s">
        <v>775</v>
      </c>
      <c r="C108" s="115">
        <v>2</v>
      </c>
      <c r="D108" s="115">
        <v>4</v>
      </c>
      <c r="E108" s="115">
        <v>6</v>
      </c>
      <c r="F108" s="125">
        <f>CHOOSE($C$4,C108,D108,E108)</f>
        <v>4</v>
      </c>
      <c r="G108" s="31" t="s">
        <v>773</v>
      </c>
      <c r="H108" s="32" t="s">
        <v>776</v>
      </c>
    </row>
    <row r="109" spans="2:8" ht="18" customHeight="1" x14ac:dyDescent="0.2">
      <c r="B109" s="12" t="s">
        <v>777</v>
      </c>
      <c r="C109" s="115">
        <v>2.5</v>
      </c>
      <c r="D109" s="115">
        <v>6</v>
      </c>
      <c r="E109" s="115">
        <v>10</v>
      </c>
      <c r="F109" s="125">
        <f>CHOOSE($C$4,C109,D109,E109)</f>
        <v>6</v>
      </c>
      <c r="G109" s="31" t="s">
        <v>773</v>
      </c>
      <c r="H109" s="32" t="s">
        <v>778</v>
      </c>
    </row>
    <row r="110" spans="2:8" ht="18" customHeight="1" x14ac:dyDescent="0.2">
      <c r="B110" s="12" t="s">
        <v>779</v>
      </c>
      <c r="C110" s="115">
        <v>0</v>
      </c>
      <c r="D110" s="115">
        <v>6</v>
      </c>
      <c r="E110" s="115">
        <v>20</v>
      </c>
      <c r="F110" s="125">
        <f>CHOOSE($C$4,C110,D110,E110)</f>
        <v>6</v>
      </c>
      <c r="G110" s="31" t="s">
        <v>611</v>
      </c>
      <c r="H110" s="32" t="s">
        <v>780</v>
      </c>
    </row>
    <row r="111" spans="2:8" ht="20.100000000000001" customHeight="1" x14ac:dyDescent="0.2">
      <c r="B111" s="5" t="s">
        <v>781</v>
      </c>
      <c r="C111" s="5"/>
      <c r="D111" s="5"/>
      <c r="E111" s="5"/>
      <c r="F111" s="5"/>
      <c r="G111" s="5"/>
      <c r="H111" s="5"/>
    </row>
    <row r="112" spans="2:8" ht="18" customHeight="1" x14ac:dyDescent="0.2">
      <c r="B112" s="12" t="s">
        <v>782</v>
      </c>
      <c r="C112" s="113"/>
      <c r="D112" s="113"/>
      <c r="E112" s="113"/>
      <c r="F112" s="118">
        <v>0.5</v>
      </c>
      <c r="G112" s="31" t="s">
        <v>783</v>
      </c>
      <c r="H112" s="32" t="s">
        <v>784</v>
      </c>
    </row>
    <row r="113" spans="2:8" ht="18" customHeight="1" x14ac:dyDescent="0.2">
      <c r="B113" s="12" t="s">
        <v>785</v>
      </c>
      <c r="C113" s="113"/>
      <c r="D113" s="113"/>
      <c r="E113" s="113"/>
      <c r="F113" s="118">
        <v>0.1</v>
      </c>
      <c r="G113" s="31" t="s">
        <v>786</v>
      </c>
      <c r="H113" s="32" t="s">
        <v>787</v>
      </c>
    </row>
    <row r="114" spans="2:8" ht="18" customHeight="1" x14ac:dyDescent="0.2">
      <c r="B114" s="12" t="s">
        <v>788</v>
      </c>
      <c r="C114" s="113"/>
      <c r="D114" s="113"/>
      <c r="E114" s="113"/>
      <c r="F114" s="118">
        <v>0.2</v>
      </c>
      <c r="G114" s="31" t="s">
        <v>789</v>
      </c>
      <c r="H114" s="32" t="s">
        <v>790</v>
      </c>
    </row>
    <row r="115" spans="2:8" ht="18" customHeight="1" x14ac:dyDescent="0.2">
      <c r="B115" s="12" t="s">
        <v>791</v>
      </c>
      <c r="C115" s="119"/>
      <c r="D115" s="119"/>
      <c r="E115" s="119"/>
      <c r="F115" s="71">
        <v>150</v>
      </c>
      <c r="G115" s="31" t="s">
        <v>605</v>
      </c>
      <c r="H115" s="32" t="s">
        <v>792</v>
      </c>
    </row>
    <row r="116" spans="2:8" ht="18" customHeight="1" x14ac:dyDescent="0.2">
      <c r="B116" s="12" t="s">
        <v>793</v>
      </c>
      <c r="C116" s="119"/>
      <c r="D116" s="119"/>
      <c r="E116" s="119"/>
      <c r="F116" s="71">
        <v>300</v>
      </c>
      <c r="G116" s="31" t="s">
        <v>605</v>
      </c>
      <c r="H116" s="32" t="s">
        <v>794</v>
      </c>
    </row>
    <row r="117" spans="2:8" ht="18" customHeight="1" x14ac:dyDescent="0.2">
      <c r="B117" s="12" t="s">
        <v>795</v>
      </c>
      <c r="C117" s="119"/>
      <c r="D117" s="119"/>
      <c r="E117" s="119"/>
      <c r="F117" s="71">
        <v>15</v>
      </c>
      <c r="G117" s="31" t="s">
        <v>796</v>
      </c>
      <c r="H117" s="32" t="s">
        <v>797</v>
      </c>
    </row>
    <row r="118" spans="2:8" ht="18" customHeight="1" x14ac:dyDescent="0.2">
      <c r="B118" s="12" t="s">
        <v>798</v>
      </c>
      <c r="C118" s="113"/>
      <c r="D118" s="113"/>
      <c r="E118" s="113"/>
      <c r="F118" s="118">
        <v>0.2</v>
      </c>
      <c r="G118" s="31" t="s">
        <v>799</v>
      </c>
      <c r="H118" s="32" t="s">
        <v>800</v>
      </c>
    </row>
    <row r="119" spans="2:8" ht="18" customHeight="1" x14ac:dyDescent="0.2">
      <c r="B119" s="12" t="s">
        <v>801</v>
      </c>
      <c r="C119" s="119"/>
      <c r="D119" s="119"/>
      <c r="E119" s="119"/>
      <c r="F119" s="71">
        <v>75</v>
      </c>
      <c r="G119" s="31" t="s">
        <v>605</v>
      </c>
      <c r="H119" s="32" t="s">
        <v>802</v>
      </c>
    </row>
    <row r="120" spans="2:8" ht="18" customHeight="1" x14ac:dyDescent="0.2">
      <c r="B120" s="12" t="s">
        <v>803</v>
      </c>
      <c r="C120" s="119"/>
      <c r="D120" s="119"/>
      <c r="E120" s="119"/>
      <c r="F120" s="71">
        <v>150</v>
      </c>
      <c r="G120" s="31" t="s">
        <v>804</v>
      </c>
      <c r="H120" s="32" t="s">
        <v>805</v>
      </c>
    </row>
    <row r="121" spans="2:8" ht="18" customHeight="1" x14ac:dyDescent="0.2">
      <c r="B121" s="12" t="s">
        <v>806</v>
      </c>
      <c r="C121" s="113"/>
      <c r="D121" s="113"/>
      <c r="E121" s="113"/>
      <c r="F121" s="118">
        <v>0.4</v>
      </c>
      <c r="G121" s="31" t="s">
        <v>807</v>
      </c>
      <c r="H121" s="32" t="s">
        <v>808</v>
      </c>
    </row>
    <row r="122" spans="2:8" ht="18" customHeight="1" x14ac:dyDescent="0.2">
      <c r="B122" s="12" t="s">
        <v>809</v>
      </c>
      <c r="C122" s="119"/>
      <c r="D122" s="119"/>
      <c r="E122" s="119"/>
      <c r="F122" s="71">
        <v>7500</v>
      </c>
      <c r="G122" s="31" t="s">
        <v>810</v>
      </c>
      <c r="H122" s="32" t="s">
        <v>811</v>
      </c>
    </row>
    <row r="123" spans="2:8" ht="18" customHeight="1" x14ac:dyDescent="0.2">
      <c r="B123" s="12" t="s">
        <v>812</v>
      </c>
      <c r="C123" s="119"/>
      <c r="D123" s="119"/>
      <c r="E123" s="119"/>
      <c r="F123" s="71">
        <v>750</v>
      </c>
      <c r="G123" s="31" t="s">
        <v>813</v>
      </c>
      <c r="H123" s="32" t="s">
        <v>814</v>
      </c>
    </row>
    <row r="124" spans="2:8" ht="18" customHeight="1" x14ac:dyDescent="0.2">
      <c r="B124" s="12" t="s">
        <v>815</v>
      </c>
      <c r="C124" s="119"/>
      <c r="D124" s="119"/>
      <c r="E124" s="119"/>
      <c r="F124" s="71">
        <v>3</v>
      </c>
      <c r="G124" s="31" t="s">
        <v>605</v>
      </c>
      <c r="H124" s="32" t="s">
        <v>816</v>
      </c>
    </row>
    <row r="125" spans="2:8" ht="18" customHeight="1" x14ac:dyDescent="0.2">
      <c r="B125" s="12" t="s">
        <v>817</v>
      </c>
      <c r="C125" s="113"/>
      <c r="D125" s="113"/>
      <c r="E125" s="113"/>
      <c r="F125" s="118">
        <v>0</v>
      </c>
      <c r="G125" s="31" t="s">
        <v>818</v>
      </c>
      <c r="H125" s="32" t="s">
        <v>819</v>
      </c>
    </row>
    <row r="126" spans="2:8" ht="20.100000000000001" customHeight="1" x14ac:dyDescent="0.2">
      <c r="B126" s="5" t="s">
        <v>820</v>
      </c>
      <c r="C126" s="5"/>
      <c r="D126" s="5"/>
      <c r="E126" s="5"/>
      <c r="F126" s="5"/>
      <c r="G126" s="5"/>
      <c r="H126" s="5"/>
    </row>
    <row r="127" spans="2:8" ht="18" customHeight="1" x14ac:dyDescent="0.2">
      <c r="B127" s="12" t="s">
        <v>353</v>
      </c>
      <c r="C127" s="119"/>
      <c r="D127" s="119"/>
      <c r="E127" s="119"/>
      <c r="F127" s="71">
        <v>15000</v>
      </c>
      <c r="G127" s="31" t="s">
        <v>674</v>
      </c>
      <c r="H127" s="32" t="s">
        <v>821</v>
      </c>
    </row>
    <row r="128" spans="2:8" ht="18" customHeight="1" x14ac:dyDescent="0.2">
      <c r="B128" s="12" t="s">
        <v>354</v>
      </c>
      <c r="C128" s="119"/>
      <c r="D128" s="119"/>
      <c r="E128" s="119"/>
      <c r="F128" s="71">
        <v>20000</v>
      </c>
      <c r="G128" s="31" t="s">
        <v>674</v>
      </c>
      <c r="H128" s="32" t="s">
        <v>822</v>
      </c>
    </row>
    <row r="129" spans="2:8" ht="18" customHeight="1" x14ac:dyDescent="0.2">
      <c r="B129" s="12" t="s">
        <v>823</v>
      </c>
      <c r="C129" s="119"/>
      <c r="D129" s="119"/>
      <c r="E129" s="119"/>
      <c r="F129" s="71">
        <v>40000</v>
      </c>
      <c r="G129" s="31" t="s">
        <v>824</v>
      </c>
      <c r="H129" s="32" t="s">
        <v>825</v>
      </c>
    </row>
    <row r="130" spans="2:8" ht="18" customHeight="1" x14ac:dyDescent="0.2">
      <c r="B130" s="12" t="s">
        <v>826</v>
      </c>
      <c r="C130" s="119"/>
      <c r="D130" s="119"/>
      <c r="E130" s="119"/>
      <c r="F130" s="71">
        <v>15000</v>
      </c>
      <c r="G130" s="31" t="s">
        <v>674</v>
      </c>
      <c r="H130" s="32" t="s">
        <v>827</v>
      </c>
    </row>
    <row r="131" spans="2:8" ht="18" customHeight="1" x14ac:dyDescent="0.2">
      <c r="B131" s="12" t="s">
        <v>828</v>
      </c>
      <c r="C131" s="113"/>
      <c r="D131" s="113"/>
      <c r="E131" s="113"/>
      <c r="F131" s="118">
        <v>0.12</v>
      </c>
      <c r="G131" s="31" t="s">
        <v>683</v>
      </c>
      <c r="H131" s="32" t="s">
        <v>829</v>
      </c>
    </row>
    <row r="132" spans="2:8" ht="18" customHeight="1" x14ac:dyDescent="0.2">
      <c r="B132" s="12" t="s">
        <v>830</v>
      </c>
      <c r="C132" s="119"/>
      <c r="D132" s="119"/>
      <c r="E132" s="119"/>
      <c r="F132" s="71">
        <v>40</v>
      </c>
      <c r="G132" s="31" t="s">
        <v>831</v>
      </c>
      <c r="H132" s="32" t="s">
        <v>832</v>
      </c>
    </row>
    <row r="133" spans="2:8" ht="18" customHeight="1" x14ac:dyDescent="0.2">
      <c r="B133" s="12" t="s">
        <v>833</v>
      </c>
      <c r="C133" s="113"/>
      <c r="D133" s="113"/>
      <c r="E133" s="113"/>
      <c r="F133" s="118">
        <v>0.15</v>
      </c>
      <c r="G133" s="31" t="s">
        <v>834</v>
      </c>
      <c r="H133" s="32" t="s">
        <v>835</v>
      </c>
    </row>
    <row r="134" spans="2:8" ht="18" customHeight="1" x14ac:dyDescent="0.2">
      <c r="B134" s="12" t="s">
        <v>346</v>
      </c>
      <c r="C134" s="119"/>
      <c r="D134" s="119"/>
      <c r="E134" s="119"/>
      <c r="F134" s="71">
        <v>1500</v>
      </c>
      <c r="G134" s="31" t="s">
        <v>719</v>
      </c>
      <c r="H134" s="32" t="s">
        <v>836</v>
      </c>
    </row>
    <row r="135" spans="2:8" ht="18" customHeight="1" x14ac:dyDescent="0.2">
      <c r="B135" s="12" t="s">
        <v>837</v>
      </c>
      <c r="C135" s="113"/>
      <c r="D135" s="113"/>
      <c r="E135" s="113"/>
      <c r="F135" s="118">
        <v>0.01</v>
      </c>
      <c r="G135" s="31" t="s">
        <v>838</v>
      </c>
      <c r="H135" s="32" t="s">
        <v>839</v>
      </c>
    </row>
    <row r="136" spans="2:8" ht="18" customHeight="1" x14ac:dyDescent="0.2">
      <c r="B136" s="12" t="s">
        <v>358</v>
      </c>
      <c r="C136" s="119"/>
      <c r="D136" s="119"/>
      <c r="E136" s="119"/>
      <c r="F136" s="71">
        <v>15000</v>
      </c>
      <c r="G136" s="31" t="s">
        <v>674</v>
      </c>
      <c r="H136" s="32" t="s">
        <v>840</v>
      </c>
    </row>
    <row r="137" spans="2:8" ht="18" customHeight="1" x14ac:dyDescent="0.2">
      <c r="B137" s="12" t="s">
        <v>356</v>
      </c>
      <c r="C137" s="119"/>
      <c r="D137" s="119"/>
      <c r="E137" s="119"/>
      <c r="F137" s="71">
        <v>12000</v>
      </c>
      <c r="G137" s="31" t="s">
        <v>674</v>
      </c>
      <c r="H137" s="32" t="s">
        <v>841</v>
      </c>
    </row>
    <row r="138" spans="2:8" ht="18" customHeight="1" x14ac:dyDescent="0.2">
      <c r="B138" s="12" t="s">
        <v>357</v>
      </c>
      <c r="C138" s="119"/>
      <c r="D138" s="119"/>
      <c r="E138" s="119"/>
      <c r="F138" s="71">
        <v>18000</v>
      </c>
      <c r="G138" s="31" t="s">
        <v>674</v>
      </c>
      <c r="H138" s="32" t="s">
        <v>842</v>
      </c>
    </row>
    <row r="139" spans="2:8" ht="18" customHeight="1" x14ac:dyDescent="0.2">
      <c r="B139" s="12" t="s">
        <v>348</v>
      </c>
      <c r="C139" s="113"/>
      <c r="D139" s="113"/>
      <c r="E139" s="113"/>
      <c r="F139" s="118">
        <v>0.05</v>
      </c>
      <c r="G139" s="31" t="s">
        <v>838</v>
      </c>
      <c r="H139" s="32" t="s">
        <v>843</v>
      </c>
    </row>
    <row r="140" spans="2:8" ht="18" customHeight="1" x14ac:dyDescent="0.2">
      <c r="B140" s="12" t="s">
        <v>349</v>
      </c>
      <c r="C140" s="113"/>
      <c r="D140" s="113"/>
      <c r="E140" s="113"/>
      <c r="F140" s="118">
        <v>0.01</v>
      </c>
      <c r="G140" s="31" t="s">
        <v>844</v>
      </c>
      <c r="H140" s="32" t="s">
        <v>845</v>
      </c>
    </row>
    <row r="141" spans="2:8" ht="18" customHeight="1" x14ac:dyDescent="0.2">
      <c r="B141" s="12" t="s">
        <v>846</v>
      </c>
      <c r="C141" s="113"/>
      <c r="D141" s="113"/>
      <c r="E141" s="113"/>
      <c r="F141" s="118">
        <v>0.03</v>
      </c>
      <c r="G141" s="31" t="s">
        <v>786</v>
      </c>
      <c r="H141" s="32" t="s">
        <v>847</v>
      </c>
    </row>
    <row r="142" spans="2:8" ht="18" customHeight="1" x14ac:dyDescent="0.2">
      <c r="B142" s="12" t="s">
        <v>848</v>
      </c>
      <c r="C142" s="119"/>
      <c r="D142" s="119"/>
      <c r="E142" s="119"/>
      <c r="F142" s="71">
        <v>75</v>
      </c>
      <c r="G142" s="31" t="s">
        <v>605</v>
      </c>
      <c r="H142" s="32" t="s">
        <v>849</v>
      </c>
    </row>
    <row r="143" spans="2:8" ht="18" customHeight="1" x14ac:dyDescent="0.2">
      <c r="B143" s="12" t="s">
        <v>359</v>
      </c>
      <c r="C143" s="119"/>
      <c r="D143" s="119"/>
      <c r="E143" s="119"/>
      <c r="F143" s="71">
        <v>30000</v>
      </c>
      <c r="G143" s="31" t="s">
        <v>674</v>
      </c>
      <c r="H143" s="32" t="s">
        <v>850</v>
      </c>
    </row>
    <row r="144" spans="2:8" ht="18" customHeight="1" x14ac:dyDescent="0.2">
      <c r="B144" s="12" t="s">
        <v>360</v>
      </c>
      <c r="C144" s="119"/>
      <c r="D144" s="119"/>
      <c r="E144" s="119"/>
      <c r="F144" s="71">
        <v>7500</v>
      </c>
      <c r="G144" s="31" t="s">
        <v>824</v>
      </c>
      <c r="H144" s="32" t="s">
        <v>852</v>
      </c>
    </row>
    <row r="145" spans="2:8" ht="18" customHeight="1" x14ac:dyDescent="0.2">
      <c r="B145" s="12" t="s">
        <v>361</v>
      </c>
      <c r="C145" s="119"/>
      <c r="D145" s="119"/>
      <c r="E145" s="119"/>
      <c r="F145" s="71">
        <v>7500</v>
      </c>
      <c r="G145" s="31" t="s">
        <v>824</v>
      </c>
      <c r="H145" s="32" t="s">
        <v>853</v>
      </c>
    </row>
    <row r="146" spans="2:8" ht="20.100000000000001" customHeight="1" x14ac:dyDescent="0.2">
      <c r="B146" s="5" t="s">
        <v>854</v>
      </c>
      <c r="C146" s="5"/>
      <c r="D146" s="5"/>
      <c r="E146" s="5"/>
      <c r="F146" s="5"/>
      <c r="G146" s="5"/>
      <c r="H146" s="5"/>
    </row>
    <row r="147" spans="2:8" ht="18" customHeight="1" x14ac:dyDescent="0.2">
      <c r="B147" s="12" t="s">
        <v>855</v>
      </c>
      <c r="C147" s="115">
        <v>1800</v>
      </c>
      <c r="D147" s="115">
        <v>15000</v>
      </c>
      <c r="E147" s="115">
        <v>32000</v>
      </c>
      <c r="F147" s="125">
        <f t="shared" ref="F147:F158" si="1">CHOOSE($C$4,C147,D147,E147)</f>
        <v>15000</v>
      </c>
      <c r="G147" s="31" t="s">
        <v>600</v>
      </c>
      <c r="H147" s="32" t="s">
        <v>1552</v>
      </c>
    </row>
    <row r="148" spans="2:8" ht="18" customHeight="1" x14ac:dyDescent="0.2">
      <c r="B148" s="12" t="s">
        <v>856</v>
      </c>
      <c r="C148" s="115">
        <v>6000</v>
      </c>
      <c r="D148" s="115">
        <v>30000</v>
      </c>
      <c r="E148" s="115">
        <v>70000</v>
      </c>
      <c r="F148" s="125">
        <f t="shared" si="1"/>
        <v>30000</v>
      </c>
      <c r="G148" s="31" t="s">
        <v>600</v>
      </c>
      <c r="H148" s="32" t="s">
        <v>857</v>
      </c>
    </row>
    <row r="149" spans="2:8" ht="18" customHeight="1" x14ac:dyDescent="0.2">
      <c r="B149" s="12" t="s">
        <v>858</v>
      </c>
      <c r="C149" s="113">
        <v>0.3</v>
      </c>
      <c r="D149" s="113">
        <v>0.6</v>
      </c>
      <c r="E149" s="113">
        <v>0.75</v>
      </c>
      <c r="F149" s="126">
        <f t="shared" si="1"/>
        <v>0.6</v>
      </c>
      <c r="G149" s="31" t="s">
        <v>683</v>
      </c>
      <c r="H149" s="32" t="s">
        <v>859</v>
      </c>
    </row>
    <row r="150" spans="2:8" ht="18" customHeight="1" x14ac:dyDescent="0.2">
      <c r="B150" s="12" t="s">
        <v>860</v>
      </c>
      <c r="C150" s="113">
        <v>0.45</v>
      </c>
      <c r="D150" s="113">
        <v>0.32</v>
      </c>
      <c r="E150" s="113">
        <v>0.23</v>
      </c>
      <c r="F150" s="126">
        <f t="shared" si="1"/>
        <v>0.32</v>
      </c>
      <c r="G150" s="31" t="s">
        <v>683</v>
      </c>
      <c r="H150" s="32" t="s">
        <v>698</v>
      </c>
    </row>
    <row r="151" spans="2:8" ht="18" customHeight="1" x14ac:dyDescent="0.2">
      <c r="B151" s="12" t="s">
        <v>861</v>
      </c>
      <c r="C151" s="113">
        <v>0.25</v>
      </c>
      <c r="D151" s="113">
        <v>0.08</v>
      </c>
      <c r="E151" s="113">
        <v>0.02</v>
      </c>
      <c r="F151" s="126">
        <f t="shared" si="1"/>
        <v>0.08</v>
      </c>
      <c r="G151" s="31" t="s">
        <v>683</v>
      </c>
      <c r="H151" s="32" t="s">
        <v>862</v>
      </c>
    </row>
    <row r="152" spans="2:8" ht="18" customHeight="1" x14ac:dyDescent="0.2">
      <c r="B152" s="12" t="s">
        <v>863</v>
      </c>
      <c r="C152" s="113">
        <v>0.4</v>
      </c>
      <c r="D152" s="113">
        <v>0.7</v>
      </c>
      <c r="E152" s="113">
        <v>0.82</v>
      </c>
      <c r="F152" s="126">
        <f t="shared" si="1"/>
        <v>0.7</v>
      </c>
      <c r="G152" s="31" t="s">
        <v>683</v>
      </c>
      <c r="H152" s="32" t="s">
        <v>696</v>
      </c>
    </row>
    <row r="153" spans="2:8" ht="18" customHeight="1" x14ac:dyDescent="0.2">
      <c r="B153" s="12" t="s">
        <v>864</v>
      </c>
      <c r="C153" s="113">
        <v>0.45</v>
      </c>
      <c r="D153" s="113">
        <v>0.25</v>
      </c>
      <c r="E153" s="113">
        <v>0.17</v>
      </c>
      <c r="F153" s="126">
        <f t="shared" si="1"/>
        <v>0.25</v>
      </c>
      <c r="G153" s="31" t="s">
        <v>683</v>
      </c>
      <c r="H153" s="32" t="s">
        <v>698</v>
      </c>
    </row>
    <row r="154" spans="2:8" ht="18" customHeight="1" x14ac:dyDescent="0.2">
      <c r="B154" s="12" t="s">
        <v>865</v>
      </c>
      <c r="C154" s="113">
        <v>0.15</v>
      </c>
      <c r="D154" s="113">
        <v>0.05</v>
      </c>
      <c r="E154" s="113">
        <v>0.01</v>
      </c>
      <c r="F154" s="126">
        <f t="shared" si="1"/>
        <v>0.05</v>
      </c>
      <c r="G154" s="31" t="s">
        <v>683</v>
      </c>
      <c r="H154" s="32" t="s">
        <v>866</v>
      </c>
    </row>
    <row r="155" spans="2:8" ht="18" customHeight="1" x14ac:dyDescent="0.2">
      <c r="B155" s="12" t="s">
        <v>867</v>
      </c>
      <c r="C155" s="115">
        <v>1</v>
      </c>
      <c r="D155" s="115">
        <v>10</v>
      </c>
      <c r="E155" s="115">
        <v>35</v>
      </c>
      <c r="F155" s="125">
        <f t="shared" si="1"/>
        <v>10</v>
      </c>
      <c r="G155" s="31" t="s">
        <v>611</v>
      </c>
      <c r="H155" s="32" t="s">
        <v>868</v>
      </c>
    </row>
    <row r="156" spans="2:8" ht="18" customHeight="1" x14ac:dyDescent="0.2">
      <c r="B156" s="12" t="s">
        <v>869</v>
      </c>
      <c r="C156" s="115">
        <v>3</v>
      </c>
      <c r="D156" s="115">
        <v>18</v>
      </c>
      <c r="E156" s="115">
        <v>60</v>
      </c>
      <c r="F156" s="125">
        <f t="shared" si="1"/>
        <v>18</v>
      </c>
      <c r="G156" s="31" t="s">
        <v>611</v>
      </c>
      <c r="H156" s="32" t="s">
        <v>870</v>
      </c>
    </row>
    <row r="157" spans="2:8" ht="18" customHeight="1" x14ac:dyDescent="0.2">
      <c r="B157" s="12" t="s">
        <v>871</v>
      </c>
      <c r="C157" s="115">
        <v>3</v>
      </c>
      <c r="D157" s="115">
        <v>8</v>
      </c>
      <c r="E157" s="115">
        <v>12</v>
      </c>
      <c r="F157" s="125">
        <f t="shared" si="1"/>
        <v>8</v>
      </c>
      <c r="G157" s="31" t="s">
        <v>773</v>
      </c>
      <c r="H157" s="32" t="s">
        <v>872</v>
      </c>
    </row>
    <row r="158" spans="2:8" ht="18" customHeight="1" x14ac:dyDescent="0.2">
      <c r="B158" s="12" t="s">
        <v>873</v>
      </c>
      <c r="C158" s="115">
        <v>4</v>
      </c>
      <c r="D158" s="115">
        <v>10</v>
      </c>
      <c r="E158" s="115">
        <v>15</v>
      </c>
      <c r="F158" s="125">
        <f t="shared" si="1"/>
        <v>10</v>
      </c>
      <c r="G158" s="31" t="s">
        <v>773</v>
      </c>
      <c r="H158" s="32" t="s">
        <v>874</v>
      </c>
    </row>
    <row r="159" spans="2:8" ht="18" customHeight="1" x14ac:dyDescent="0.2">
      <c r="B159" s="12" t="s">
        <v>875</v>
      </c>
      <c r="C159" s="124"/>
      <c r="D159" s="124"/>
      <c r="E159" s="124"/>
      <c r="F159" s="118">
        <v>0.3</v>
      </c>
      <c r="G159" s="31" t="s">
        <v>838</v>
      </c>
      <c r="H159" s="32" t="s">
        <v>876</v>
      </c>
    </row>
    <row r="160" spans="2:8" ht="8.1" customHeight="1" x14ac:dyDescent="0.2"/>
    <row r="161" spans="1:8" ht="20.100000000000001" customHeight="1" x14ac:dyDescent="0.2">
      <c r="A161" s="42"/>
      <c r="B161" s="5" t="s">
        <v>877</v>
      </c>
      <c r="C161" s="5"/>
      <c r="D161" s="5"/>
      <c r="E161" s="5"/>
      <c r="F161" s="5"/>
      <c r="G161" s="5"/>
      <c r="H161" s="5" t="s">
        <v>878</v>
      </c>
    </row>
    <row r="162" spans="1:8" ht="18" customHeight="1" x14ac:dyDescent="0.2">
      <c r="A162" s="42"/>
      <c r="B162" s="12" t="s">
        <v>879</v>
      </c>
      <c r="C162" s="17"/>
      <c r="D162" s="17"/>
      <c r="E162" s="17"/>
      <c r="F162" s="69">
        <v>35000</v>
      </c>
      <c r="G162" s="31" t="s">
        <v>605</v>
      </c>
      <c r="H162" s="32" t="s">
        <v>880</v>
      </c>
    </row>
    <row r="163" spans="1:8" ht="18" customHeight="1" x14ac:dyDescent="0.2">
      <c r="A163" s="42"/>
      <c r="B163" s="12" t="s">
        <v>881</v>
      </c>
      <c r="C163" s="17"/>
      <c r="D163" s="17"/>
      <c r="E163" s="17"/>
      <c r="F163" s="70">
        <v>0.1</v>
      </c>
      <c r="G163" s="31" t="s">
        <v>606</v>
      </c>
      <c r="H163" s="32" t="s">
        <v>882</v>
      </c>
    </row>
    <row r="164" spans="1:8" ht="18" customHeight="1" x14ac:dyDescent="0.2">
      <c r="A164" s="42"/>
      <c r="B164" s="12" t="s">
        <v>883</v>
      </c>
      <c r="C164" s="17"/>
      <c r="D164" s="17"/>
      <c r="E164" s="17"/>
      <c r="F164" s="69">
        <v>30000</v>
      </c>
      <c r="G164" s="31" t="s">
        <v>605</v>
      </c>
      <c r="H164" s="32" t="s">
        <v>880</v>
      </c>
    </row>
    <row r="165" spans="1:8" ht="18" customHeight="1" x14ac:dyDescent="0.2">
      <c r="A165" s="42"/>
      <c r="B165" s="12" t="s">
        <v>884</v>
      </c>
      <c r="C165" s="17"/>
      <c r="D165" s="17"/>
      <c r="E165" s="17"/>
      <c r="F165" s="70">
        <v>0.08</v>
      </c>
      <c r="G165" s="31" t="s">
        <v>606</v>
      </c>
      <c r="H165" s="32" t="s">
        <v>882</v>
      </c>
    </row>
    <row r="166" spans="1:8" ht="18" customHeight="1" x14ac:dyDescent="0.2">
      <c r="A166" s="42"/>
      <c r="B166" s="12" t="s">
        <v>885</v>
      </c>
      <c r="C166" s="17"/>
      <c r="D166" s="17"/>
      <c r="E166" s="17"/>
      <c r="F166" s="69">
        <v>30000</v>
      </c>
      <c r="G166" s="31" t="s">
        <v>605</v>
      </c>
      <c r="H166" s="32" t="s">
        <v>880</v>
      </c>
    </row>
    <row r="167" spans="1:8" ht="18" customHeight="1" x14ac:dyDescent="0.2">
      <c r="A167" s="42"/>
      <c r="B167" s="12" t="s">
        <v>886</v>
      </c>
      <c r="C167" s="17"/>
      <c r="D167" s="17"/>
      <c r="E167" s="17"/>
      <c r="F167" s="70">
        <v>0.05</v>
      </c>
      <c r="G167" s="31" t="s">
        <v>606</v>
      </c>
      <c r="H167" s="32" t="s">
        <v>882</v>
      </c>
    </row>
    <row r="168" spans="1:8" ht="8.1" customHeight="1" x14ac:dyDescent="0.2"/>
    <row r="169" spans="1:8" ht="20.100000000000001" customHeight="1" x14ac:dyDescent="0.2">
      <c r="A169" s="42"/>
      <c r="B169" s="5" t="s">
        <v>887</v>
      </c>
      <c r="C169" s="5"/>
      <c r="D169" s="5"/>
      <c r="E169" s="5"/>
      <c r="F169" s="5"/>
      <c r="G169" s="5"/>
      <c r="H169" s="5" t="s">
        <v>888</v>
      </c>
    </row>
    <row r="170" spans="1:8" ht="18" customHeight="1" x14ac:dyDescent="0.2">
      <c r="A170" s="42"/>
      <c r="B170" s="12" t="s">
        <v>492</v>
      </c>
      <c r="C170" s="17"/>
      <c r="D170" s="17"/>
      <c r="E170" s="17"/>
      <c r="F170" s="70">
        <v>0.1</v>
      </c>
      <c r="G170" s="31" t="s">
        <v>606</v>
      </c>
      <c r="H170" s="32" t="s">
        <v>889</v>
      </c>
    </row>
    <row r="171" spans="1:8" ht="18" customHeight="1" x14ac:dyDescent="0.2">
      <c r="A171" s="42"/>
      <c r="B171" s="12" t="s">
        <v>890</v>
      </c>
      <c r="C171" s="17"/>
      <c r="D171" s="17"/>
      <c r="E171" s="17"/>
      <c r="F171" s="71">
        <v>14</v>
      </c>
      <c r="G171" s="31" t="s">
        <v>758</v>
      </c>
      <c r="H171" s="32" t="s">
        <v>891</v>
      </c>
    </row>
    <row r="172" spans="1:8" ht="18" customHeight="1" x14ac:dyDescent="0.2">
      <c r="A172" s="42"/>
      <c r="B172" s="12" t="s">
        <v>892</v>
      </c>
      <c r="C172" s="17"/>
      <c r="D172" s="17"/>
      <c r="E172" s="17"/>
      <c r="F172" s="70">
        <v>0</v>
      </c>
      <c r="G172" s="31" t="s">
        <v>893</v>
      </c>
      <c r="H172" s="32" t="s">
        <v>894</v>
      </c>
    </row>
    <row r="173" spans="1:8" ht="18" customHeight="1" x14ac:dyDescent="0.2">
      <c r="A173" s="42"/>
      <c r="B173" s="12" t="s">
        <v>895</v>
      </c>
      <c r="C173" s="17"/>
      <c r="D173" s="17"/>
      <c r="E173" s="17"/>
      <c r="F173" s="70">
        <v>0</v>
      </c>
      <c r="G173" s="31" t="s">
        <v>893</v>
      </c>
      <c r="H173" s="32" t="s">
        <v>896</v>
      </c>
    </row>
    <row r="174" spans="1:8" ht="8.1" customHeight="1" x14ac:dyDescent="0.2"/>
    <row r="175" spans="1:8" ht="20.100000000000001" customHeight="1" x14ac:dyDescent="0.2">
      <c r="B175" s="5" t="s">
        <v>897</v>
      </c>
      <c r="C175" s="5"/>
      <c r="D175" s="5"/>
      <c r="E175" s="5"/>
      <c r="F175" s="5"/>
      <c r="G175" s="5"/>
      <c r="H175" s="5" t="s">
        <v>898</v>
      </c>
    </row>
    <row r="176" spans="1:8" ht="18" customHeight="1" x14ac:dyDescent="0.2">
      <c r="B176" s="12" t="s">
        <v>899</v>
      </c>
      <c r="C176" s="17"/>
      <c r="D176" s="17"/>
      <c r="E176" s="17"/>
      <c r="F176" s="70">
        <v>0.1</v>
      </c>
      <c r="G176" s="31" t="s">
        <v>683</v>
      </c>
      <c r="H176" s="32" t="s">
        <v>900</v>
      </c>
    </row>
    <row r="177" spans="2:8" ht="18" customHeight="1" x14ac:dyDescent="0.2">
      <c r="B177" s="12" t="s">
        <v>901</v>
      </c>
      <c r="C177" s="17"/>
      <c r="D177" s="17"/>
      <c r="E177" s="17"/>
      <c r="F177" s="70">
        <v>0.2</v>
      </c>
      <c r="G177" s="31" t="s">
        <v>683</v>
      </c>
      <c r="H177" s="32" t="s">
        <v>902</v>
      </c>
    </row>
    <row r="178" spans="2:8" ht="18" customHeight="1" x14ac:dyDescent="0.2">
      <c r="B178" s="12" t="s">
        <v>903</v>
      </c>
      <c r="C178" s="17"/>
      <c r="D178" s="17"/>
      <c r="E178" s="17"/>
      <c r="F178" s="70">
        <v>0.35</v>
      </c>
      <c r="G178" s="31" t="s">
        <v>683</v>
      </c>
      <c r="H178" s="32" t="s">
        <v>904</v>
      </c>
    </row>
    <row r="179" spans="2:8" ht="18" customHeight="1" x14ac:dyDescent="0.2">
      <c r="B179" s="12" t="s">
        <v>905</v>
      </c>
      <c r="C179" s="17"/>
      <c r="D179" s="17"/>
      <c r="E179" s="17"/>
      <c r="F179" s="70">
        <v>0.5</v>
      </c>
      <c r="G179" s="31" t="s">
        <v>683</v>
      </c>
      <c r="H179" s="32" t="s">
        <v>906</v>
      </c>
    </row>
    <row r="180" spans="2:8" ht="18" customHeight="1" x14ac:dyDescent="0.2">
      <c r="B180" s="12" t="s">
        <v>907</v>
      </c>
      <c r="C180" s="17"/>
      <c r="D180" s="17"/>
      <c r="E180" s="17"/>
      <c r="F180" s="70">
        <v>0.65</v>
      </c>
      <c r="G180" s="31" t="s">
        <v>683</v>
      </c>
      <c r="H180" s="32" t="s">
        <v>908</v>
      </c>
    </row>
    <row r="181" spans="2:8" ht="18" customHeight="1" x14ac:dyDescent="0.2">
      <c r="B181" s="12" t="s">
        <v>909</v>
      </c>
      <c r="C181" s="17"/>
      <c r="D181" s="17"/>
      <c r="E181" s="17"/>
      <c r="F181" s="71">
        <v>75</v>
      </c>
      <c r="G181" s="31" t="s">
        <v>605</v>
      </c>
      <c r="H181" s="32" t="s">
        <v>910</v>
      </c>
    </row>
    <row r="182" spans="2:8" ht="18" customHeight="1" x14ac:dyDescent="0.2">
      <c r="B182" s="12" t="s">
        <v>911</v>
      </c>
      <c r="C182" s="17"/>
      <c r="D182" s="17"/>
      <c r="E182" s="17"/>
      <c r="F182" s="71">
        <v>250</v>
      </c>
      <c r="G182" s="31" t="s">
        <v>912</v>
      </c>
      <c r="H182" s="32" t="s">
        <v>913</v>
      </c>
    </row>
    <row r="183" spans="2:8" ht="18" customHeight="1" x14ac:dyDescent="0.2">
      <c r="B183" s="12" t="s">
        <v>914</v>
      </c>
      <c r="C183" s="71">
        <v>1</v>
      </c>
      <c r="D183" s="71">
        <v>2</v>
      </c>
      <c r="E183" s="71">
        <v>3</v>
      </c>
      <c r="F183" s="71">
        <v>7</v>
      </c>
      <c r="G183" s="71">
        <v>8</v>
      </c>
      <c r="H183" s="32" t="s">
        <v>915</v>
      </c>
    </row>
    <row r="184" spans="2:8" ht="20.100000000000001" customHeight="1" x14ac:dyDescent="0.2">
      <c r="B184" s="5" t="s">
        <v>916</v>
      </c>
      <c r="C184" s="5"/>
      <c r="D184" s="5"/>
      <c r="E184" s="5"/>
      <c r="F184" s="5"/>
      <c r="G184" s="5"/>
      <c r="H184" s="5" t="s">
        <v>917</v>
      </c>
    </row>
    <row r="185" spans="2:8" ht="24" x14ac:dyDescent="0.2">
      <c r="B185" s="12" t="s">
        <v>918</v>
      </c>
      <c r="C185" s="17"/>
      <c r="D185" s="17"/>
      <c r="E185" s="17"/>
      <c r="F185" s="21" t="s">
        <v>919</v>
      </c>
      <c r="G185" s="31" t="s">
        <v>920</v>
      </c>
      <c r="H185" s="32" t="s">
        <v>921</v>
      </c>
    </row>
    <row r="186" spans="2:8" ht="25.5" x14ac:dyDescent="0.2">
      <c r="B186" s="12" t="s">
        <v>922</v>
      </c>
      <c r="C186" s="17"/>
      <c r="D186" s="17"/>
      <c r="E186" s="17"/>
      <c r="F186" s="21" t="s">
        <v>923</v>
      </c>
      <c r="G186" s="31" t="s">
        <v>920</v>
      </c>
      <c r="H186" s="32" t="s">
        <v>924</v>
      </c>
    </row>
    <row r="187" spans="2:8" ht="25.5" x14ac:dyDescent="0.2">
      <c r="B187" s="12" t="s">
        <v>925</v>
      </c>
      <c r="C187" s="17"/>
      <c r="D187" s="17"/>
      <c r="E187" s="17"/>
      <c r="F187" s="21" t="s">
        <v>926</v>
      </c>
      <c r="G187" s="31" t="s">
        <v>927</v>
      </c>
      <c r="H187" s="32" t="s">
        <v>928</v>
      </c>
    </row>
    <row r="188" spans="2:8" ht="8.1" customHeight="1" x14ac:dyDescent="0.2"/>
    <row r="189" spans="2:8" ht="20.100000000000001" customHeight="1" x14ac:dyDescent="0.2">
      <c r="B189" s="151" t="s">
        <v>929</v>
      </c>
      <c r="C189" s="151"/>
      <c r="D189" s="151"/>
      <c r="E189" s="151"/>
      <c r="F189" s="151"/>
      <c r="G189" s="151" t="s">
        <v>930</v>
      </c>
      <c r="H189" s="151"/>
    </row>
    <row r="190" spans="2:8" ht="26.1" customHeight="1" x14ac:dyDescent="0.2">
      <c r="B190" s="168" t="s">
        <v>931</v>
      </c>
      <c r="C190" s="168"/>
      <c r="D190" s="168"/>
      <c r="E190" s="168"/>
      <c r="F190" s="168"/>
      <c r="G190" s="168" t="s">
        <v>257</v>
      </c>
      <c r="H190" s="168"/>
    </row>
    <row r="191" spans="2:8" ht="26.1" customHeight="1" x14ac:dyDescent="0.2">
      <c r="B191" s="168" t="s">
        <v>932</v>
      </c>
      <c r="C191" s="168"/>
      <c r="D191" s="168"/>
      <c r="E191" s="168"/>
      <c r="F191" s="168"/>
      <c r="G191" s="168" t="s">
        <v>933</v>
      </c>
      <c r="H191" s="168"/>
    </row>
    <row r="192" spans="2:8" ht="26.1" customHeight="1" x14ac:dyDescent="0.2">
      <c r="B192" s="168" t="s">
        <v>934</v>
      </c>
      <c r="C192" s="168"/>
      <c r="D192" s="168"/>
      <c r="E192" s="168"/>
      <c r="F192" s="168"/>
      <c r="G192" s="168" t="s">
        <v>935</v>
      </c>
      <c r="H192" s="168"/>
    </row>
    <row r="193" spans="2:8" ht="26.1" customHeight="1" x14ac:dyDescent="0.2">
      <c r="B193" s="168" t="s">
        <v>936</v>
      </c>
      <c r="C193" s="168"/>
      <c r="D193" s="168"/>
      <c r="E193" s="168"/>
      <c r="F193" s="168"/>
      <c r="G193" s="168" t="s">
        <v>937</v>
      </c>
      <c r="H193" s="168"/>
    </row>
  </sheetData>
  <mergeCells count="10">
    <mergeCell ref="B192:F192"/>
    <mergeCell ref="G192:H192"/>
    <mergeCell ref="B193:F193"/>
    <mergeCell ref="G193:H193"/>
    <mergeCell ref="B189:F189"/>
    <mergeCell ref="G189:H189"/>
    <mergeCell ref="B190:F190"/>
    <mergeCell ref="G190:H190"/>
    <mergeCell ref="B191:F191"/>
    <mergeCell ref="G191:H19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B4E8F"/>
  </sheetPr>
  <dimension ref="B2:H49"/>
  <sheetViews>
    <sheetView showGridLines="0" topLeftCell="A28" workbookViewId="0"/>
  </sheetViews>
  <sheetFormatPr defaultColWidth="8.5703125" defaultRowHeight="12.75" x14ac:dyDescent="0.2"/>
  <cols>
    <col min="1" max="1" width="2.140625" customWidth="1"/>
    <col min="2" max="2" width="48" customWidth="1"/>
    <col min="3" max="6" width="13" customWidth="1"/>
    <col min="7" max="7" width="12" customWidth="1"/>
    <col min="8" max="8" width="50" customWidth="1"/>
  </cols>
  <sheetData>
    <row r="2" spans="2:8" ht="30" customHeight="1" x14ac:dyDescent="0.2">
      <c r="B2" s="3" t="s">
        <v>938</v>
      </c>
    </row>
    <row r="3" spans="2:8" ht="15.95" customHeight="1" x14ac:dyDescent="0.2">
      <c r="B3" s="4" t="s">
        <v>1553</v>
      </c>
    </row>
    <row r="4" spans="2:8" ht="9.9499999999999993" customHeight="1" x14ac:dyDescent="0.2"/>
    <row r="5" spans="2:8" ht="24" customHeight="1" x14ac:dyDescent="0.2">
      <c r="B5" s="10" t="s">
        <v>939</v>
      </c>
      <c r="C5" s="9" t="s">
        <v>108</v>
      </c>
      <c r="D5" s="9" t="s">
        <v>111</v>
      </c>
      <c r="E5" s="9" t="s">
        <v>113</v>
      </c>
      <c r="F5" s="9" t="s">
        <v>940</v>
      </c>
      <c r="G5" s="9" t="s">
        <v>941</v>
      </c>
      <c r="H5" s="10" t="s">
        <v>593</v>
      </c>
    </row>
    <row r="6" spans="2:8" ht="20.100000000000001" customHeight="1" x14ac:dyDescent="0.2">
      <c r="B6" s="5" t="s">
        <v>942</v>
      </c>
      <c r="C6" s="5"/>
      <c r="D6" s="5"/>
      <c r="E6" s="5"/>
      <c r="F6" s="5"/>
      <c r="G6" s="5"/>
      <c r="H6" s="5"/>
    </row>
    <row r="7" spans="2:8" ht="21.95" customHeight="1" x14ac:dyDescent="0.2">
      <c r="B7" s="12" t="s">
        <v>943</v>
      </c>
      <c r="C7" s="56">
        <v>100</v>
      </c>
      <c r="D7" s="56">
        <v>100</v>
      </c>
      <c r="E7" s="56">
        <v>100</v>
      </c>
      <c r="F7" s="67">
        <f>CHOOSE(Assumptions!$C$4,C7,D7,E7)</f>
        <v>100</v>
      </c>
      <c r="G7" s="31" t="s">
        <v>944</v>
      </c>
      <c r="H7" s="32" t="s">
        <v>1554</v>
      </c>
    </row>
    <row r="8" spans="2:8" ht="21.95" customHeight="1" x14ac:dyDescent="0.2">
      <c r="B8" s="12" t="s">
        <v>945</v>
      </c>
      <c r="C8" s="56">
        <v>30</v>
      </c>
      <c r="D8" s="56">
        <v>90</v>
      </c>
      <c r="E8" s="56">
        <v>180</v>
      </c>
      <c r="F8" s="67">
        <f>CHOOSE(Assumptions!$C$4,C8,D8,E8)</f>
        <v>90</v>
      </c>
      <c r="G8" s="31" t="s">
        <v>944</v>
      </c>
      <c r="H8" s="32" t="s">
        <v>946</v>
      </c>
    </row>
    <row r="9" spans="2:8" ht="21.95" customHeight="1" x14ac:dyDescent="0.2">
      <c r="B9" s="12" t="s">
        <v>947</v>
      </c>
      <c r="C9" s="56">
        <v>0</v>
      </c>
      <c r="D9" s="56">
        <v>63</v>
      </c>
      <c r="E9" s="56">
        <v>63</v>
      </c>
      <c r="F9" s="67">
        <f>CHOOSE(Assumptions!$C$4,C9,D9,E9)</f>
        <v>63</v>
      </c>
      <c r="G9" s="31" t="s">
        <v>944</v>
      </c>
      <c r="H9" s="32" t="s">
        <v>948</v>
      </c>
    </row>
    <row r="10" spans="2:8" ht="21.95" customHeight="1" x14ac:dyDescent="0.2">
      <c r="B10" s="12" t="s">
        <v>949</v>
      </c>
      <c r="C10" s="56">
        <v>50</v>
      </c>
      <c r="D10" s="56">
        <v>50</v>
      </c>
      <c r="E10" s="56">
        <v>50</v>
      </c>
      <c r="F10" s="67">
        <f>CHOOSE(Assumptions!$C$4,C10,D10,E10)</f>
        <v>50</v>
      </c>
      <c r="G10" s="31" t="s">
        <v>944</v>
      </c>
      <c r="H10" s="32" t="s">
        <v>950</v>
      </c>
    </row>
    <row r="11" spans="2:8" ht="20.100000000000001" customHeight="1" x14ac:dyDescent="0.2">
      <c r="B11" s="5" t="s">
        <v>951</v>
      </c>
      <c r="C11" s="5"/>
      <c r="D11" s="5"/>
      <c r="E11" s="5"/>
      <c r="F11" s="5"/>
      <c r="G11" s="5"/>
      <c r="H11" s="5"/>
    </row>
    <row r="12" spans="2:8" ht="21.95" customHeight="1" x14ac:dyDescent="0.2">
      <c r="B12" s="12" t="s">
        <v>952</v>
      </c>
      <c r="C12" s="56">
        <v>375</v>
      </c>
      <c r="D12" s="56">
        <v>1500</v>
      </c>
      <c r="E12" s="56">
        <v>3000</v>
      </c>
      <c r="F12" s="67">
        <f>CHOOSE(Assumptions!$C$4,C12,D12,E12)</f>
        <v>1500</v>
      </c>
      <c r="G12" s="31" t="s">
        <v>944</v>
      </c>
      <c r="H12" s="32" t="s">
        <v>953</v>
      </c>
    </row>
    <row r="13" spans="2:8" ht="21.95" customHeight="1" x14ac:dyDescent="0.2">
      <c r="B13" s="12" t="s">
        <v>954</v>
      </c>
      <c r="C13" s="56">
        <v>200</v>
      </c>
      <c r="D13" s="56">
        <v>600</v>
      </c>
      <c r="E13" s="56">
        <v>1500</v>
      </c>
      <c r="F13" s="67">
        <f>CHOOSE(Assumptions!$C$4,C13,D13,E13)</f>
        <v>600</v>
      </c>
      <c r="G13" s="31" t="s">
        <v>944</v>
      </c>
      <c r="H13" s="32" t="s">
        <v>955</v>
      </c>
    </row>
    <row r="14" spans="2:8" ht="21.95" customHeight="1" x14ac:dyDescent="0.2">
      <c r="B14" s="12" t="s">
        <v>956</v>
      </c>
      <c r="C14" s="56">
        <v>0</v>
      </c>
      <c r="D14" s="56">
        <v>1000</v>
      </c>
      <c r="E14" s="56">
        <v>3000</v>
      </c>
      <c r="F14" s="67">
        <f>CHOOSE(Assumptions!$C$4,C14,D14,E14)</f>
        <v>1000</v>
      </c>
      <c r="G14" s="31" t="s">
        <v>944</v>
      </c>
      <c r="H14" s="32" t="s">
        <v>957</v>
      </c>
    </row>
    <row r="15" spans="2:8" ht="21.95" customHeight="1" x14ac:dyDescent="0.2">
      <c r="B15" s="12" t="s">
        <v>958</v>
      </c>
      <c r="C15" s="56">
        <v>300</v>
      </c>
      <c r="D15" s="56">
        <v>900</v>
      </c>
      <c r="E15" s="56">
        <v>2500</v>
      </c>
      <c r="F15" s="67">
        <f>CHOOSE(Assumptions!$C$4,C15,D15,E15)</f>
        <v>900</v>
      </c>
      <c r="G15" s="31" t="s">
        <v>944</v>
      </c>
      <c r="H15" s="32" t="s">
        <v>959</v>
      </c>
    </row>
    <row r="16" spans="2:8" ht="21.95" customHeight="1" x14ac:dyDescent="0.2">
      <c r="B16" s="12" t="s">
        <v>960</v>
      </c>
      <c r="C16" s="56">
        <v>3000</v>
      </c>
      <c r="D16" s="56">
        <v>8000</v>
      </c>
      <c r="E16" s="56">
        <v>18000</v>
      </c>
      <c r="F16" s="67">
        <f>CHOOSE(Assumptions!$C$4,C16,D16,E16)</f>
        <v>8000</v>
      </c>
      <c r="G16" s="31" t="s">
        <v>944</v>
      </c>
      <c r="H16" s="32" t="s">
        <v>961</v>
      </c>
    </row>
    <row r="17" spans="2:8" ht="20.100000000000001" customHeight="1" x14ac:dyDescent="0.2">
      <c r="B17" s="5" t="s">
        <v>962</v>
      </c>
      <c r="C17" s="5"/>
      <c r="D17" s="5"/>
      <c r="E17" s="5"/>
      <c r="F17" s="5"/>
      <c r="G17" s="5"/>
      <c r="H17" s="5"/>
    </row>
    <row r="18" spans="2:8" ht="21.95" customHeight="1" x14ac:dyDescent="0.2">
      <c r="B18" s="12" t="s">
        <v>963</v>
      </c>
      <c r="C18" s="56">
        <v>8000</v>
      </c>
      <c r="D18" s="56">
        <v>25000</v>
      </c>
      <c r="E18" s="56">
        <v>60000</v>
      </c>
      <c r="F18" s="67">
        <f>CHOOSE(Assumptions!$C$4,C18,D18,E18)</f>
        <v>25000</v>
      </c>
      <c r="G18" s="31" t="s">
        <v>944</v>
      </c>
      <c r="H18" s="32" t="s">
        <v>964</v>
      </c>
    </row>
    <row r="19" spans="2:8" ht="21.95" customHeight="1" x14ac:dyDescent="0.2">
      <c r="B19" s="12" t="s">
        <v>965</v>
      </c>
      <c r="C19" s="56">
        <v>2000</v>
      </c>
      <c r="D19" s="56">
        <v>6000</v>
      </c>
      <c r="E19" s="56">
        <v>15000</v>
      </c>
      <c r="F19" s="67">
        <f>CHOOSE(Assumptions!$C$4,C19,D19,E19)</f>
        <v>6000</v>
      </c>
      <c r="G19" s="31" t="s">
        <v>944</v>
      </c>
      <c r="H19" s="32" t="s">
        <v>966</v>
      </c>
    </row>
    <row r="20" spans="2:8" ht="21.95" customHeight="1" x14ac:dyDescent="0.2">
      <c r="B20" s="12" t="s">
        <v>967</v>
      </c>
      <c r="C20" s="56">
        <v>1000</v>
      </c>
      <c r="D20" s="56">
        <v>3000</v>
      </c>
      <c r="E20" s="56">
        <v>8000</v>
      </c>
      <c r="F20" s="67">
        <f>CHOOSE(Assumptions!$C$4,C20,D20,E20)</f>
        <v>3000</v>
      </c>
      <c r="G20" s="31" t="s">
        <v>944</v>
      </c>
      <c r="H20" s="32" t="s">
        <v>968</v>
      </c>
    </row>
    <row r="21" spans="2:8" ht="21.95" customHeight="1" x14ac:dyDescent="0.2">
      <c r="B21" s="12" t="s">
        <v>969</v>
      </c>
      <c r="C21" s="56">
        <v>52</v>
      </c>
      <c r="D21" s="56">
        <v>60</v>
      </c>
      <c r="E21" s="56">
        <v>60</v>
      </c>
      <c r="F21" s="67">
        <f>CHOOSE(Assumptions!$C$4,C21,D21,E21)</f>
        <v>60</v>
      </c>
      <c r="G21" s="31" t="s">
        <v>944</v>
      </c>
      <c r="H21" s="32" t="s">
        <v>970</v>
      </c>
    </row>
    <row r="22" spans="2:8" ht="20.100000000000001" customHeight="1" x14ac:dyDescent="0.2">
      <c r="B22" s="5" t="s">
        <v>971</v>
      </c>
      <c r="C22" s="5"/>
      <c r="D22" s="5"/>
      <c r="E22" s="5"/>
      <c r="F22" s="5"/>
      <c r="G22" s="5"/>
      <c r="H22" s="5"/>
    </row>
    <row r="23" spans="2:8" ht="21.95" customHeight="1" x14ac:dyDescent="0.2">
      <c r="B23" s="12" t="s">
        <v>972</v>
      </c>
      <c r="C23" s="56">
        <v>12000</v>
      </c>
      <c r="D23" s="56">
        <v>30000</v>
      </c>
      <c r="E23" s="56">
        <v>60000</v>
      </c>
      <c r="F23" s="67">
        <f>CHOOSE(Assumptions!$C$4,C23,D23,E23)</f>
        <v>30000</v>
      </c>
      <c r="G23" s="31" t="s">
        <v>944</v>
      </c>
      <c r="H23" s="32" t="s">
        <v>973</v>
      </c>
    </row>
    <row r="24" spans="2:8" ht="21.95" customHeight="1" x14ac:dyDescent="0.2">
      <c r="B24" s="12" t="s">
        <v>974</v>
      </c>
      <c r="C24" s="56">
        <v>3000</v>
      </c>
      <c r="D24" s="56">
        <v>7000</v>
      </c>
      <c r="E24" s="56">
        <v>15000</v>
      </c>
      <c r="F24" s="67">
        <f>CHOOSE(Assumptions!$C$4,C24,D24,E24)</f>
        <v>7000</v>
      </c>
      <c r="G24" s="31" t="s">
        <v>944</v>
      </c>
      <c r="H24" s="32" t="s">
        <v>975</v>
      </c>
    </row>
    <row r="25" spans="2:8" ht="20.100000000000001" customHeight="1" x14ac:dyDescent="0.2">
      <c r="B25" s="5" t="s">
        <v>976</v>
      </c>
      <c r="C25" s="5"/>
      <c r="D25" s="5"/>
      <c r="E25" s="5"/>
      <c r="F25" s="5"/>
      <c r="G25" s="5"/>
      <c r="H25" s="5"/>
    </row>
    <row r="26" spans="2:8" ht="21.95" customHeight="1" x14ac:dyDescent="0.2">
      <c r="B26" s="12" t="s">
        <v>977</v>
      </c>
      <c r="C26" s="56">
        <v>15000</v>
      </c>
      <c r="D26" s="56">
        <v>40000</v>
      </c>
      <c r="E26" s="56">
        <v>90000</v>
      </c>
      <c r="F26" s="67">
        <f>CHOOSE(Assumptions!$C$4,C26,D26,E26)</f>
        <v>40000</v>
      </c>
      <c r="G26" s="31" t="s">
        <v>944</v>
      </c>
      <c r="H26" s="32" t="s">
        <v>978</v>
      </c>
    </row>
    <row r="27" spans="2:8" ht="21.95" customHeight="1" x14ac:dyDescent="0.2">
      <c r="B27" s="12" t="s">
        <v>979</v>
      </c>
      <c r="C27" s="56">
        <v>20000</v>
      </c>
      <c r="D27" s="56">
        <v>50000</v>
      </c>
      <c r="E27" s="56">
        <v>110000</v>
      </c>
      <c r="F27" s="67">
        <f>CHOOSE(Assumptions!$C$4,C27,D27,E27)</f>
        <v>50000</v>
      </c>
      <c r="G27" s="31" t="s">
        <v>944</v>
      </c>
      <c r="H27" s="32" t="s">
        <v>980</v>
      </c>
    </row>
    <row r="28" spans="2:8" ht="21.95" customHeight="1" x14ac:dyDescent="0.2">
      <c r="B28" s="12" t="s">
        <v>981</v>
      </c>
      <c r="C28" s="56">
        <v>3000</v>
      </c>
      <c r="D28" s="56">
        <v>9000</v>
      </c>
      <c r="E28" s="56">
        <v>20000</v>
      </c>
      <c r="F28" s="67">
        <f>CHOOSE(Assumptions!$C$4,C28,D28,E28)</f>
        <v>9000</v>
      </c>
      <c r="G28" s="31" t="s">
        <v>944</v>
      </c>
      <c r="H28" s="32" t="s">
        <v>982</v>
      </c>
    </row>
    <row r="29" spans="2:8" ht="20.100000000000001" customHeight="1" x14ac:dyDescent="0.2">
      <c r="B29" s="5" t="s">
        <v>983</v>
      </c>
      <c r="C29" s="5"/>
      <c r="D29" s="5"/>
      <c r="E29" s="5"/>
      <c r="F29" s="5"/>
      <c r="G29" s="5"/>
      <c r="H29" s="5"/>
    </row>
    <row r="30" spans="2:8" ht="21.95" customHeight="1" x14ac:dyDescent="0.2">
      <c r="B30" s="12" t="s">
        <v>984</v>
      </c>
      <c r="C30" s="56">
        <v>1500</v>
      </c>
      <c r="D30" s="56">
        <v>5000</v>
      </c>
      <c r="E30" s="56">
        <v>10000</v>
      </c>
      <c r="F30" s="67">
        <f>CHOOSE(Assumptions!$C$4,C30,D30,E30)</f>
        <v>5000</v>
      </c>
      <c r="G30" s="31" t="s">
        <v>944</v>
      </c>
      <c r="H30" s="32" t="s">
        <v>985</v>
      </c>
    </row>
    <row r="31" spans="2:8" ht="21.95" customHeight="1" x14ac:dyDescent="0.2">
      <c r="B31" s="12" t="s">
        <v>986</v>
      </c>
      <c r="C31" s="56">
        <v>1000</v>
      </c>
      <c r="D31" s="56">
        <v>3000</v>
      </c>
      <c r="E31" s="56">
        <v>7000</v>
      </c>
      <c r="F31" s="67">
        <f>CHOOSE(Assumptions!$C$4,C31,D31,E31)</f>
        <v>3000</v>
      </c>
      <c r="G31" s="31" t="s">
        <v>944</v>
      </c>
      <c r="H31" s="32" t="s">
        <v>985</v>
      </c>
    </row>
    <row r="32" spans="2:8" ht="21.95" customHeight="1" x14ac:dyDescent="0.2">
      <c r="B32" s="12" t="s">
        <v>987</v>
      </c>
      <c r="C32" s="56">
        <v>100</v>
      </c>
      <c r="D32" s="56">
        <v>300</v>
      </c>
      <c r="E32" s="56">
        <v>800</v>
      </c>
      <c r="F32" s="67">
        <f>CHOOSE(Assumptions!$C$4,C32,D32,E32)</f>
        <v>300</v>
      </c>
      <c r="G32" s="31" t="s">
        <v>944</v>
      </c>
      <c r="H32" s="32" t="s">
        <v>988</v>
      </c>
    </row>
    <row r="33" spans="2:8" ht="20.100000000000001" customHeight="1" x14ac:dyDescent="0.2">
      <c r="B33" s="5" t="s">
        <v>989</v>
      </c>
      <c r="C33" s="5"/>
      <c r="D33" s="5"/>
      <c r="E33" s="5"/>
      <c r="F33" s="5"/>
      <c r="G33" s="5"/>
      <c r="H33" s="5"/>
    </row>
    <row r="34" spans="2:8" ht="21.95" customHeight="1" x14ac:dyDescent="0.2">
      <c r="B34" s="12" t="s">
        <v>990</v>
      </c>
      <c r="C34" s="56">
        <v>3000</v>
      </c>
      <c r="D34" s="56">
        <v>8000</v>
      </c>
      <c r="E34" s="56">
        <v>15000</v>
      </c>
      <c r="F34" s="67">
        <f>CHOOSE(Assumptions!$C$4,C34,D34,E34)</f>
        <v>8000</v>
      </c>
      <c r="G34" s="31" t="s">
        <v>944</v>
      </c>
      <c r="H34" s="32" t="s">
        <v>991</v>
      </c>
    </row>
    <row r="35" spans="2:8" ht="21.95" customHeight="1" x14ac:dyDescent="0.2">
      <c r="B35" s="12" t="s">
        <v>992</v>
      </c>
      <c r="C35" s="56">
        <v>1000</v>
      </c>
      <c r="D35" s="56">
        <v>4000</v>
      </c>
      <c r="E35" s="56">
        <v>12000</v>
      </c>
      <c r="F35" s="67">
        <f>CHOOSE(Assumptions!$C$4,C35,D35,E35)</f>
        <v>4000</v>
      </c>
      <c r="G35" s="31" t="s">
        <v>944</v>
      </c>
      <c r="H35" s="32" t="s">
        <v>993</v>
      </c>
    </row>
    <row r="36" spans="2:8" ht="20.100000000000001" customHeight="1" x14ac:dyDescent="0.2">
      <c r="B36" s="5" t="s">
        <v>994</v>
      </c>
      <c r="C36" s="5"/>
      <c r="D36" s="5"/>
      <c r="E36" s="5"/>
      <c r="F36" s="5"/>
      <c r="G36" s="5"/>
      <c r="H36" s="5"/>
    </row>
    <row r="37" spans="2:8" ht="21.95" customHeight="1" x14ac:dyDescent="0.2">
      <c r="B37" s="12" t="s">
        <v>995</v>
      </c>
      <c r="C37" s="56">
        <v>1200</v>
      </c>
      <c r="D37" s="56">
        <v>3500</v>
      </c>
      <c r="E37" s="56">
        <v>9000</v>
      </c>
      <c r="F37" s="67">
        <f>CHOOSE(Assumptions!$C$4,C37,D37,E37)</f>
        <v>3500</v>
      </c>
      <c r="G37" s="31" t="s">
        <v>944</v>
      </c>
      <c r="H37" s="32" t="s">
        <v>996</v>
      </c>
    </row>
    <row r="38" spans="2:8" ht="21.95" customHeight="1" x14ac:dyDescent="0.2">
      <c r="B38" s="12" t="s">
        <v>997</v>
      </c>
      <c r="C38" s="56">
        <v>1000</v>
      </c>
      <c r="D38" s="56">
        <v>3000</v>
      </c>
      <c r="E38" s="56">
        <v>8000</v>
      </c>
      <c r="F38" s="67">
        <f>CHOOSE(Assumptions!$C$4,C38,D38,E38)</f>
        <v>3000</v>
      </c>
      <c r="G38" s="31" t="s">
        <v>944</v>
      </c>
      <c r="H38" s="32" t="s">
        <v>996</v>
      </c>
    </row>
    <row r="39" spans="2:8" ht="21.95" customHeight="1" x14ac:dyDescent="0.2">
      <c r="B39" s="12" t="s">
        <v>998</v>
      </c>
      <c r="C39" s="56">
        <v>800</v>
      </c>
      <c r="D39" s="56">
        <v>2500</v>
      </c>
      <c r="E39" s="56">
        <v>7000</v>
      </c>
      <c r="F39" s="67">
        <f>CHOOSE(Assumptions!$C$4,C39,D39,E39)</f>
        <v>2500</v>
      </c>
      <c r="G39" s="31" t="s">
        <v>944</v>
      </c>
      <c r="H39" s="32" t="s">
        <v>996</v>
      </c>
    </row>
    <row r="40" spans="2:8" ht="20.100000000000001" customHeight="1" x14ac:dyDescent="0.2">
      <c r="B40" s="5" t="s">
        <v>999</v>
      </c>
      <c r="C40" s="5"/>
      <c r="D40" s="5"/>
      <c r="E40" s="5"/>
      <c r="F40" s="5"/>
      <c r="G40" s="5"/>
      <c r="H40" s="5"/>
    </row>
    <row r="41" spans="2:8" ht="21.95" customHeight="1" x14ac:dyDescent="0.2">
      <c r="B41" s="12" t="s">
        <v>1000</v>
      </c>
      <c r="C41" s="82">
        <v>0.1</v>
      </c>
      <c r="D41" s="82">
        <v>0.15</v>
      </c>
      <c r="E41" s="82">
        <v>0.2</v>
      </c>
      <c r="F41" s="90">
        <f>CHOOSE(Assumptions!$C$4,C41,D41,E41)</f>
        <v>0.15</v>
      </c>
      <c r="G41" s="31" t="s">
        <v>893</v>
      </c>
      <c r="H41" s="32" t="s">
        <v>1001</v>
      </c>
    </row>
    <row r="42" spans="2:8" ht="17.100000000000001" customHeight="1" x14ac:dyDescent="0.2">
      <c r="B42" s="24" t="s">
        <v>1002</v>
      </c>
      <c r="C42" s="23"/>
      <c r="D42" s="23"/>
      <c r="E42" s="23"/>
      <c r="F42" s="92">
        <f>SUMIF($G$6:$G$40,"£",$F$6:$F$40)</f>
        <v>211663</v>
      </c>
    </row>
    <row r="43" spans="2:8" ht="17.100000000000001" customHeight="1" x14ac:dyDescent="0.2">
      <c r="B43" s="24" t="s">
        <v>1003</v>
      </c>
      <c r="C43" s="23"/>
      <c r="D43" s="23"/>
      <c r="E43" s="23"/>
      <c r="F43" s="92">
        <f>F42*F41</f>
        <v>31749.449999999997</v>
      </c>
    </row>
    <row r="44" spans="2:8" ht="20.100000000000001" customHeight="1" x14ac:dyDescent="0.2">
      <c r="B44" s="26" t="s">
        <v>1004</v>
      </c>
      <c r="C44" s="25"/>
      <c r="D44" s="25"/>
      <c r="E44" s="25"/>
      <c r="F44" s="95">
        <f>F42+F43</f>
        <v>243412.45</v>
      </c>
    </row>
    <row r="45" spans="2:8" ht="9.9499999999999993" customHeight="1" x14ac:dyDescent="0.2"/>
    <row r="46" spans="2:8" ht="20.100000000000001" customHeight="1" x14ac:dyDescent="0.2">
      <c r="B46" s="176" t="s">
        <v>319</v>
      </c>
      <c r="C46" s="176"/>
      <c r="D46" s="176"/>
      <c r="E46" s="176"/>
      <c r="F46" s="176"/>
      <c r="G46" s="176" t="s">
        <v>237</v>
      </c>
      <c r="H46" s="159"/>
    </row>
    <row r="47" spans="2:8" ht="26.1" customHeight="1" x14ac:dyDescent="0.2">
      <c r="B47" s="168" t="s">
        <v>1005</v>
      </c>
      <c r="C47" s="168"/>
      <c r="D47" s="168"/>
      <c r="E47" s="168"/>
      <c r="F47" s="168"/>
      <c r="G47" s="168" t="s">
        <v>1006</v>
      </c>
      <c r="H47" s="159"/>
    </row>
    <row r="48" spans="2:8" ht="26.1" customHeight="1" x14ac:dyDescent="0.2">
      <c r="B48" s="168" t="s">
        <v>1007</v>
      </c>
      <c r="C48" s="168"/>
      <c r="D48" s="168"/>
      <c r="E48" s="168"/>
      <c r="F48" s="168"/>
      <c r="G48" s="168" t="s">
        <v>1008</v>
      </c>
      <c r="H48" s="159"/>
    </row>
    <row r="49" spans="2:8" ht="26.1" customHeight="1" x14ac:dyDescent="0.2">
      <c r="B49" s="168" t="s">
        <v>1009</v>
      </c>
      <c r="C49" s="168"/>
      <c r="D49" s="168"/>
      <c r="E49" s="168"/>
      <c r="F49" s="168"/>
      <c r="G49" s="168" t="s">
        <v>1010</v>
      </c>
      <c r="H49" s="159"/>
    </row>
  </sheetData>
  <mergeCells count="8">
    <mergeCell ref="B49:F49"/>
    <mergeCell ref="G49:H49"/>
    <mergeCell ref="B46:F46"/>
    <mergeCell ref="G46:H46"/>
    <mergeCell ref="B47:F47"/>
    <mergeCell ref="G47:H47"/>
    <mergeCell ref="B48:F48"/>
    <mergeCell ref="G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7A8494"/>
  </sheetPr>
  <dimension ref="A1:L48"/>
  <sheetViews>
    <sheetView showGridLines="0" workbookViewId="0"/>
  </sheetViews>
  <sheetFormatPr defaultColWidth="8.5703125" defaultRowHeight="12.75" x14ac:dyDescent="0.2"/>
  <cols>
    <col min="1" max="1" width="2.140625" customWidth="1"/>
    <col min="2" max="2" width="7" customWidth="1"/>
    <col min="3" max="3" width="26" customWidth="1"/>
    <col min="4" max="4" width="42" customWidth="1"/>
    <col min="5" max="5" width="22" customWidth="1"/>
    <col min="6" max="6" width="26" customWidth="1"/>
    <col min="7" max="7" width="34" customWidth="1"/>
    <col min="8" max="8" width="26" customWidth="1"/>
    <col min="9" max="9" width="34" customWidth="1"/>
    <col min="10" max="10" width="13" customWidth="1"/>
  </cols>
  <sheetData>
    <row r="1" spans="1:12" x14ac:dyDescent="0.2">
      <c r="A1" s="42"/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spans="1:12" ht="30" customHeight="1" x14ac:dyDescent="0.2">
      <c r="A2" s="42"/>
      <c r="B2" s="3" t="s">
        <v>1011</v>
      </c>
      <c r="C2" s="42"/>
      <c r="D2" s="42"/>
      <c r="E2" s="42"/>
      <c r="F2" s="42"/>
      <c r="G2" s="42"/>
      <c r="H2" s="42"/>
      <c r="I2" s="42"/>
      <c r="J2" s="42"/>
      <c r="K2" s="42"/>
      <c r="L2" s="42"/>
    </row>
    <row r="3" spans="1:12" ht="15.95" customHeight="1" x14ac:dyDescent="0.2">
      <c r="A3" s="42"/>
      <c r="B3" s="4" t="s">
        <v>1012</v>
      </c>
      <c r="C3" s="42"/>
      <c r="D3" s="42"/>
      <c r="E3" s="42"/>
      <c r="F3" s="42"/>
      <c r="G3" s="42"/>
      <c r="H3" s="42"/>
      <c r="I3" s="42"/>
      <c r="J3" s="42"/>
      <c r="K3" s="42"/>
      <c r="L3" s="42"/>
    </row>
    <row r="4" spans="1:12" ht="15.95" customHeight="1" x14ac:dyDescent="0.2">
      <c r="A4" s="42"/>
      <c r="B4" s="4" t="s">
        <v>1013</v>
      </c>
      <c r="C4" s="42"/>
      <c r="D4" s="42"/>
      <c r="E4" s="42"/>
      <c r="F4" s="42"/>
      <c r="G4" s="42"/>
      <c r="H4" s="42"/>
      <c r="I4" s="42"/>
      <c r="J4" s="42"/>
      <c r="K4" s="42"/>
      <c r="L4" s="42"/>
    </row>
    <row r="5" spans="1:12" ht="9.9499999999999993" customHeight="1" x14ac:dyDescent="0.2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</row>
    <row r="6" spans="1:12" ht="24" customHeight="1" x14ac:dyDescent="0.2">
      <c r="A6" s="42"/>
      <c r="B6" s="9" t="s">
        <v>1014</v>
      </c>
      <c r="C6" s="10" t="s">
        <v>1015</v>
      </c>
      <c r="D6" s="10" t="s">
        <v>1016</v>
      </c>
      <c r="E6" s="10" t="s">
        <v>1017</v>
      </c>
      <c r="F6" s="10" t="s">
        <v>1018</v>
      </c>
      <c r="G6" s="10" t="s">
        <v>1019</v>
      </c>
      <c r="H6" s="10" t="s">
        <v>1020</v>
      </c>
      <c r="I6" s="10" t="s">
        <v>1021</v>
      </c>
      <c r="J6" s="42"/>
      <c r="K6" s="42"/>
      <c r="L6" s="42"/>
    </row>
    <row r="7" spans="1:12" ht="44.1" customHeight="1" x14ac:dyDescent="0.2">
      <c r="A7" s="42"/>
      <c r="B7" s="138">
        <v>1</v>
      </c>
      <c r="C7" s="19" t="s">
        <v>1022</v>
      </c>
      <c r="D7" s="19" t="s">
        <v>1023</v>
      </c>
      <c r="E7" s="139" t="s">
        <v>1024</v>
      </c>
      <c r="F7" s="33" t="s">
        <v>1025</v>
      </c>
      <c r="G7" s="19" t="str">
        <f>"Y1-Y5 base deals: "&amp;Assumptions!D10&amp;" / "&amp;Assumptions!D11&amp;" / "&amp;Assumptions!D12&amp;" / "&amp;Assumptions!D147&amp;" / "&amp;Assumptions!D148</f>
        <v>Y1-Y5 base deals: 30 / 500 / 2000 / 15000 / 30000</v>
      </c>
      <c r="H7" s="33" t="s">
        <v>1026</v>
      </c>
      <c r="I7" s="33" t="s">
        <v>1027</v>
      </c>
      <c r="J7" s="42"/>
      <c r="K7" s="42"/>
      <c r="L7" s="42"/>
    </row>
    <row r="8" spans="1:12" ht="44.1" customHeight="1" x14ac:dyDescent="0.2">
      <c r="A8" s="42"/>
      <c r="B8" s="138">
        <v>2</v>
      </c>
      <c r="C8" s="19" t="s">
        <v>1028</v>
      </c>
      <c r="D8" s="19" t="s">
        <v>1029</v>
      </c>
      <c r="E8" s="139" t="s">
        <v>1030</v>
      </c>
      <c r="F8" s="33" t="s">
        <v>1031</v>
      </c>
      <c r="G8" s="19" t="str">
        <f>"Y1 base A/B/C: "&amp;ROUND(Assumptions!D61*100,0)&amp;"%/"&amp;ROUND(Assumptions!D62*100,0)&amp;"%/"&amp;ROUND(Assumptions!D63*100,0)&amp;"%; Y5: "&amp;ROUND(Assumptions!D152*100,0)&amp;"%/"&amp;ROUND(Assumptions!D153*100,0)&amp;"%/"&amp;ROUND(Assumptions!D154*100,0)&amp;"%"</f>
        <v>Y1 base A/B/C: 15%/45%/40%; Y5: 70%/25%/5%</v>
      </c>
      <c r="H8" s="33" t="s">
        <v>1032</v>
      </c>
      <c r="I8" s="33" t="s">
        <v>1033</v>
      </c>
      <c r="J8" s="42"/>
      <c r="K8" s="42"/>
      <c r="L8" s="42"/>
    </row>
    <row r="9" spans="1:12" ht="44.1" customHeight="1" x14ac:dyDescent="0.2">
      <c r="A9" s="42"/>
      <c r="B9" s="138">
        <v>3</v>
      </c>
      <c r="C9" s="19" t="s">
        <v>1034</v>
      </c>
      <c r="D9" s="19" t="s">
        <v>1035</v>
      </c>
      <c r="E9" s="139" t="s">
        <v>1036</v>
      </c>
      <c r="F9" s="33" t="s">
        <v>1037</v>
      </c>
      <c r="G9" s="19" t="str">
        <f>"Take rates A/B/C: "&amp;ROUND(Assumptions!F70*100,2)&amp;"%/"&amp;ROUND(Assumptions!F71*100,2)&amp;"%/"&amp;ROUND(Assumptions!F72*100,2)&amp;"%; min fee A: GBP "&amp;ROUND(Assumptions!F73,0)</f>
        <v>Take rates A/B/C: 0.8%/1.5%/3%; min fee A: GBP 150</v>
      </c>
      <c r="H9" s="33" t="s">
        <v>1038</v>
      </c>
      <c r="I9" s="33" t="s">
        <v>1039</v>
      </c>
      <c r="J9" s="42"/>
      <c r="K9" s="42"/>
      <c r="L9" s="42"/>
    </row>
    <row r="10" spans="1:12" ht="44.1" customHeight="1" x14ac:dyDescent="0.2">
      <c r="A10" s="42"/>
      <c r="B10" s="138">
        <v>4</v>
      </c>
      <c r="C10" s="19" t="s">
        <v>1040</v>
      </c>
      <c r="D10" s="19" t="s">
        <v>1041</v>
      </c>
      <c r="E10" s="139" t="str">
        <f>Assumptions!B162</f>
        <v>Tier A — Year 1 base deal value</v>
      </c>
      <c r="F10" s="33" t="s">
        <v>1042</v>
      </c>
      <c r="G10" s="19" t="str">
        <f>"A GBP "&amp;TEXT(Assumptions!F162,"#,##0")&amp;" @ "&amp;TEXT(Assumptions!F163,"0%")&amp;"; B GBP "&amp;TEXT(Assumptions!F164,"#,##0")&amp;" @ "&amp;TEXT(Assumptions!F165,"0%")&amp;"; C GBP "&amp;TEXT(Assumptions!F166,"#,##0")&amp;" @ "&amp;TEXT(Assumptions!F167,"0%")</f>
        <v>A GBP 35,000 @ 10%; B GBP 30,000 @ 8%; C GBP 30,000 @ 5%</v>
      </c>
      <c r="H10" s="33" t="s">
        <v>1043</v>
      </c>
      <c r="I10" s="33" t="s">
        <v>1044</v>
      </c>
      <c r="J10" s="42"/>
      <c r="K10" s="42"/>
      <c r="L10" s="42"/>
    </row>
    <row r="11" spans="1:12" ht="44.1" customHeight="1" x14ac:dyDescent="0.2">
      <c r="A11" s="42"/>
      <c r="B11" s="138">
        <v>5</v>
      </c>
      <c r="C11" s="19" t="s">
        <v>1045</v>
      </c>
      <c r="D11" s="19" t="s">
        <v>1046</v>
      </c>
      <c r="E11" s="139" t="s">
        <v>1047</v>
      </c>
      <c r="F11" s="33" t="s">
        <v>1048</v>
      </c>
      <c r="G11" s="19" t="str">
        <f>"Base partners Y2-Y5: "&amp;Assumptions!D14&amp;" / "&amp;Assumptions!D110&amp;" / "&amp;Assumptions!D155&amp;" / "&amp;Assumptions!D156&amp;"; setup GBP "&amp;ROUND(Assumptions!F122,0)</f>
        <v>Base partners Y2-Y5: 3 / 6 / 10 / 18; setup GBP 7500</v>
      </c>
      <c r="H11" s="33" t="s">
        <v>1049</v>
      </c>
      <c r="I11" s="33" t="s">
        <v>1050</v>
      </c>
      <c r="J11" s="42"/>
      <c r="K11" s="42"/>
      <c r="L11" s="42"/>
    </row>
    <row r="12" spans="1:12" ht="44.1" customHeight="1" x14ac:dyDescent="0.2">
      <c r="A12" s="42"/>
      <c r="B12" s="138">
        <v>6</v>
      </c>
      <c r="C12" s="19" t="s">
        <v>1051</v>
      </c>
      <c r="D12" s="19" t="s">
        <v>1052</v>
      </c>
      <c r="E12" s="139" t="s">
        <v>1053</v>
      </c>
      <c r="F12" s="33" t="s">
        <v>1054</v>
      </c>
      <c r="G12" s="19" t="str">
        <f>"Deals/customer base Y1-Y5: "&amp;Assumptions!D107&amp;" / "&amp;Assumptions!D108&amp;" / "&amp;Assumptions!D109&amp;" / "&amp;Assumptions!D157&amp;" / "&amp;Assumptions!D158</f>
        <v>Deals/customer base Y1-Y5: 3 / 4 / 6 / 8 / 10</v>
      </c>
      <c r="H12" s="33" t="s">
        <v>1055</v>
      </c>
      <c r="I12" s="33" t="s">
        <v>1056</v>
      </c>
      <c r="J12" s="42"/>
      <c r="K12" s="42"/>
      <c r="L12" s="42"/>
    </row>
    <row r="13" spans="1:12" ht="44.1" customHeight="1" x14ac:dyDescent="0.2">
      <c r="A13" s="42"/>
      <c r="B13" s="138">
        <v>7</v>
      </c>
      <c r="C13" s="19" t="s">
        <v>1057</v>
      </c>
      <c r="D13" s="19" t="s">
        <v>1058</v>
      </c>
      <c r="E13" s="139" t="s">
        <v>1059</v>
      </c>
      <c r="F13" s="33" t="s">
        <v>1060</v>
      </c>
      <c r="G13" s="19" t="str">
        <f>"New party share "&amp;ROUND(Assumptions!F59*100,0)&amp;"%; onboarding fee GBP "&amp;ROUND(Assumptions!F117,0)</f>
        <v>New party share 50%; onboarding fee GBP 15</v>
      </c>
      <c r="H13" s="33" t="s">
        <v>1061</v>
      </c>
      <c r="I13" s="33" t="s">
        <v>1062</v>
      </c>
      <c r="J13" s="42"/>
      <c r="K13" s="42"/>
      <c r="L13" s="42"/>
    </row>
    <row r="14" spans="1:12" ht="44.1" customHeight="1" x14ac:dyDescent="0.2">
      <c r="A14" s="42"/>
      <c r="B14" s="138">
        <v>8</v>
      </c>
      <c r="C14" s="19" t="s">
        <v>1063</v>
      </c>
      <c r="D14" s="19" t="s">
        <v>1064</v>
      </c>
      <c r="E14" s="139" t="s">
        <v>1065</v>
      </c>
      <c r="F14" s="33" t="s">
        <v>1066</v>
      </c>
      <c r="G14" s="19" t="str">
        <f>"Handling cost GBP "&amp;ROUND(Assumptions!F84,0)&amp;"; markup "&amp;ROUND(Assumptions!F118*100,0)&amp;"%; courier fee GBP "&amp;ROUND(Assumptions!F119,0)</f>
        <v>Handling cost GBP 150; markup 20%; courier fee GBP 75</v>
      </c>
      <c r="H14" s="33" t="s">
        <v>1067</v>
      </c>
      <c r="I14" s="33" t="s">
        <v>1068</v>
      </c>
      <c r="J14" s="42"/>
      <c r="K14" s="42"/>
      <c r="L14" s="42"/>
    </row>
    <row r="15" spans="1:12" ht="44.1" customHeight="1" x14ac:dyDescent="0.2">
      <c r="A15" s="42"/>
      <c r="B15" s="138">
        <v>9</v>
      </c>
      <c r="C15" s="19" t="s">
        <v>1069</v>
      </c>
      <c r="D15" s="19" t="s">
        <v>1070</v>
      </c>
      <c r="E15" s="139" t="s">
        <v>1071</v>
      </c>
      <c r="F15" s="33" t="s">
        <v>1072</v>
      </c>
      <c r="G15" s="19" t="str">
        <f>"Dispute rates A/B/C: "&amp;ROUND(Assumptions!F91*100,0)&amp;"%/"&amp;ROUND(Assumptions!F92*100,0)&amp;"%/"&amp;ROUND(Assumptions!F93*100,0)&amp;"%"</f>
        <v>Dispute rates A/B/C: 4%/10%/20%</v>
      </c>
      <c r="H15" s="33" t="s">
        <v>1073</v>
      </c>
      <c r="I15" s="33" t="s">
        <v>1074</v>
      </c>
      <c r="J15" s="42"/>
      <c r="K15" s="42"/>
      <c r="L15" s="42"/>
    </row>
    <row r="16" spans="1:12" ht="44.1" customHeight="1" x14ac:dyDescent="0.2">
      <c r="A16" s="42"/>
      <c r="B16" s="138">
        <v>10</v>
      </c>
      <c r="C16" s="19" t="s">
        <v>1075</v>
      </c>
      <c r="D16" s="19" t="s">
        <v>1076</v>
      </c>
      <c r="E16" s="139" t="s">
        <v>1077</v>
      </c>
      <c r="F16" s="33" t="s">
        <v>1078</v>
      </c>
      <c r="G16" s="19" t="str">
        <f>"Yr1 FTE founders/eng/ops/BD: "&amp;Assumptions!F43&amp;" / "&amp;Assumptions!F44&amp;" / "&amp;Assumptions!F45&amp;" / "&amp;Assumptions!F46&amp;"; engineer salary GBP "&amp;ROUND(Assumptions!F49,0)</f>
        <v>Yr1 FTE founders/eng/ops/BD: 4 / 2 / 2 / 1; engineer salary GBP 70000</v>
      </c>
      <c r="H16" s="33" t="s">
        <v>1079</v>
      </c>
      <c r="I16" s="33" t="s">
        <v>1080</v>
      </c>
      <c r="J16" s="42"/>
      <c r="K16" s="42"/>
      <c r="L16" s="42"/>
    </row>
    <row r="17" spans="1:12" ht="44.1" customHeight="1" x14ac:dyDescent="0.2">
      <c r="A17" s="42"/>
      <c r="B17" s="138">
        <v>11</v>
      </c>
      <c r="C17" s="19" t="s">
        <v>1081</v>
      </c>
      <c r="D17" s="19" t="s">
        <v>1082</v>
      </c>
      <c r="E17" s="139" t="s">
        <v>1083</v>
      </c>
      <c r="F17" s="33" t="s">
        <v>1084</v>
      </c>
      <c r="G17" s="19" t="str">
        <f>"Compliance retainer/mo GBP "&amp;ROUND(Assumptions!F38,0)&amp;"; legal retainer/mo GBP "&amp;ROUND(Assumptions!F37,0)</f>
        <v>Compliance retainer/mo GBP 1200; legal retainer/mo GBP 600</v>
      </c>
      <c r="H17" s="33" t="s">
        <v>1085</v>
      </c>
      <c r="I17" s="33" t="s">
        <v>1086</v>
      </c>
      <c r="J17" s="42"/>
      <c r="K17" s="42"/>
      <c r="L17" s="42"/>
    </row>
    <row r="18" spans="1:12" ht="44.1" customHeight="1" x14ac:dyDescent="0.2">
      <c r="A18" s="42"/>
      <c r="B18" s="138">
        <v>12</v>
      </c>
      <c r="C18" s="19" t="s">
        <v>1087</v>
      </c>
      <c r="D18" s="19" t="s">
        <v>1088</v>
      </c>
      <c r="E18" s="139" t="s">
        <v>1555</v>
      </c>
      <c r="F18" s="33" t="s">
        <v>1089</v>
      </c>
      <c r="G18" s="19" t="str">
        <f>"Timing case "&amp;'Launch Readiness'!$B$5&amp;"; first paid Month "&amp;'Launch Readiness'!$E$6&amp;"; VARA target Month "&amp;'Launch Readiness'!$E$14&amp;"; reserve "&amp;'Launch Readiness'!$B$6&amp;" months"</f>
        <v>Timing case 2; first paid Month 12; VARA target Month 30; reserve 3 months</v>
      </c>
      <c r="H18" s="33" t="s">
        <v>1090</v>
      </c>
      <c r="I18" s="33" t="s">
        <v>1091</v>
      </c>
      <c r="J18" s="42"/>
      <c r="K18" s="42"/>
      <c r="L18" s="42"/>
    </row>
    <row r="19" spans="1:12" ht="44.1" customHeight="1" x14ac:dyDescent="0.2">
      <c r="A19" s="42"/>
      <c r="B19" s="138">
        <v>13</v>
      </c>
      <c r="C19" s="19" t="s">
        <v>1092</v>
      </c>
      <c r="D19" s="19" t="s">
        <v>1093</v>
      </c>
      <c r="E19" s="139" t="str">
        <f>Assumptions!B170</f>
        <v>Annual customer churn rate</v>
      </c>
      <c r="F19" s="33" t="s">
        <v>1094</v>
      </c>
      <c r="G19" s="19" t="str">
        <f>"Annual customer churn "&amp;TEXT(Assumptions!F170,"0%")&amp;" from Year 2"</f>
        <v>Annual customer churn 10% from Year 2</v>
      </c>
      <c r="H19" s="33" t="s">
        <v>1095</v>
      </c>
      <c r="I19" s="33" t="s">
        <v>1096</v>
      </c>
      <c r="J19" s="42"/>
      <c r="K19" s="42"/>
      <c r="L19" s="42"/>
    </row>
    <row r="20" spans="1:12" ht="9.9499999999999993" customHeight="1" x14ac:dyDescent="0.2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</row>
    <row r="21" spans="1:12" ht="20.100000000000001" customHeight="1" x14ac:dyDescent="0.2">
      <c r="A21" s="42"/>
      <c r="B21" s="5" t="s">
        <v>1097</v>
      </c>
      <c r="C21" s="5"/>
      <c r="D21" s="5"/>
      <c r="E21" s="5"/>
      <c r="F21" s="5"/>
      <c r="G21" s="5"/>
      <c r="H21" s="5"/>
      <c r="I21" s="5"/>
      <c r="J21" s="42"/>
      <c r="K21" s="42"/>
      <c r="L21" s="42"/>
    </row>
    <row r="22" spans="1:12" ht="15.95" customHeight="1" x14ac:dyDescent="0.2">
      <c r="A22" s="42"/>
      <c r="B22" s="177" t="s">
        <v>1098</v>
      </c>
      <c r="C22" s="177"/>
      <c r="D22" s="177"/>
      <c r="E22" s="177"/>
      <c r="F22" s="177"/>
      <c r="G22" s="177"/>
      <c r="H22" s="177"/>
      <c r="I22" s="177"/>
      <c r="J22" s="42"/>
      <c r="K22" s="42"/>
      <c r="L22" s="42"/>
    </row>
    <row r="23" spans="1:12" ht="15.95" customHeight="1" x14ac:dyDescent="0.2">
      <c r="A23" s="42"/>
      <c r="B23" s="177" t="s">
        <v>1099</v>
      </c>
      <c r="C23" s="177"/>
      <c r="D23" s="177"/>
      <c r="E23" s="177"/>
      <c r="F23" s="177"/>
      <c r="G23" s="177"/>
      <c r="H23" s="177"/>
      <c r="I23" s="177"/>
      <c r="J23" s="42"/>
      <c r="K23" s="42"/>
      <c r="L23" s="42"/>
    </row>
    <row r="24" spans="1:12" ht="9.9499999999999993" customHeight="1" x14ac:dyDescent="0.2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</row>
    <row r="25" spans="1:12" ht="20.100000000000001" customHeight="1" x14ac:dyDescent="0.2">
      <c r="A25" s="42"/>
      <c r="B25" s="151" t="s">
        <v>1100</v>
      </c>
      <c r="C25" s="151"/>
      <c r="D25" s="151"/>
      <c r="E25" s="151"/>
      <c r="F25" s="151"/>
      <c r="G25" s="151"/>
      <c r="H25" s="151"/>
      <c r="I25" s="151"/>
      <c r="J25" s="42"/>
      <c r="K25" s="42"/>
      <c r="L25" s="42"/>
    </row>
    <row r="26" spans="1:12" ht="21.95" customHeight="1" x14ac:dyDescent="0.2">
      <c r="A26" s="42"/>
      <c r="B26" s="9" t="s">
        <v>1101</v>
      </c>
      <c r="C26" s="10" t="s">
        <v>101</v>
      </c>
      <c r="D26" s="9" t="s">
        <v>1102</v>
      </c>
      <c r="E26" s="9" t="s">
        <v>1103</v>
      </c>
      <c r="F26" s="9" t="s">
        <v>1104</v>
      </c>
      <c r="G26" s="10" t="s">
        <v>1105</v>
      </c>
      <c r="H26" s="10" t="s">
        <v>1106</v>
      </c>
      <c r="I26" s="10" t="s">
        <v>1107</v>
      </c>
      <c r="J26" s="42"/>
      <c r="K26" s="42"/>
      <c r="L26" s="42"/>
    </row>
    <row r="27" spans="1:12" ht="26.1" customHeight="1" x14ac:dyDescent="0.2">
      <c r="A27" s="42"/>
      <c r="B27" s="18" t="s">
        <v>1108</v>
      </c>
      <c r="C27" s="12" t="s">
        <v>108</v>
      </c>
      <c r="D27" s="117">
        <v>25000</v>
      </c>
      <c r="E27" s="140">
        <v>0.04</v>
      </c>
      <c r="F27" s="56">
        <f t="shared" ref="F27:F35" si="0">D27*(1+E27)^4</f>
        <v>29246.464000000004</v>
      </c>
      <c r="G27" s="32" t="s">
        <v>1109</v>
      </c>
      <c r="H27" s="32" t="s">
        <v>1110</v>
      </c>
      <c r="I27" s="32" t="s">
        <v>1111</v>
      </c>
      <c r="J27" s="42"/>
      <c r="K27" s="42"/>
      <c r="L27" s="42"/>
    </row>
    <row r="28" spans="1:12" ht="26.1" customHeight="1" x14ac:dyDescent="0.2">
      <c r="A28" s="42"/>
      <c r="B28" s="18" t="s">
        <v>1108</v>
      </c>
      <c r="C28" s="12" t="s">
        <v>111</v>
      </c>
      <c r="D28" s="117">
        <v>35000</v>
      </c>
      <c r="E28" s="140">
        <v>0.1</v>
      </c>
      <c r="F28" s="56">
        <f t="shared" si="0"/>
        <v>51243.500000000015</v>
      </c>
      <c r="G28" s="32" t="s">
        <v>1112</v>
      </c>
      <c r="H28" s="32" t="s">
        <v>1110</v>
      </c>
      <c r="I28" s="32" t="s">
        <v>1111</v>
      </c>
      <c r="J28" s="42"/>
      <c r="K28" s="42"/>
      <c r="L28" s="42"/>
    </row>
    <row r="29" spans="1:12" ht="26.1" customHeight="1" x14ac:dyDescent="0.2">
      <c r="A29" s="42"/>
      <c r="B29" s="18" t="s">
        <v>1108</v>
      </c>
      <c r="C29" s="12" t="s">
        <v>113</v>
      </c>
      <c r="D29" s="117">
        <v>50000</v>
      </c>
      <c r="E29" s="140">
        <v>0.15</v>
      </c>
      <c r="F29" s="56">
        <f t="shared" si="0"/>
        <v>87450.312499999971</v>
      </c>
      <c r="G29" s="32" t="s">
        <v>1113</v>
      </c>
      <c r="H29" s="32" t="s">
        <v>1110</v>
      </c>
      <c r="I29" s="32" t="s">
        <v>1111</v>
      </c>
      <c r="J29" s="42"/>
      <c r="K29" s="42"/>
      <c r="L29" s="42"/>
    </row>
    <row r="30" spans="1:12" ht="26.1" customHeight="1" x14ac:dyDescent="0.2">
      <c r="A30" s="42"/>
      <c r="B30" s="18" t="s">
        <v>1114</v>
      </c>
      <c r="C30" s="12" t="s">
        <v>108</v>
      </c>
      <c r="D30" s="117">
        <v>20000</v>
      </c>
      <c r="E30" s="140">
        <v>0.03</v>
      </c>
      <c r="F30" s="56">
        <f t="shared" si="0"/>
        <v>22510.176199999998</v>
      </c>
      <c r="G30" s="32" t="s">
        <v>1115</v>
      </c>
      <c r="H30" s="32" t="s">
        <v>1110</v>
      </c>
      <c r="I30" s="32" t="s">
        <v>1111</v>
      </c>
      <c r="J30" s="42"/>
      <c r="K30" s="42"/>
      <c r="L30" s="42"/>
    </row>
    <row r="31" spans="1:12" ht="26.1" customHeight="1" x14ac:dyDescent="0.2">
      <c r="A31" s="42"/>
      <c r="B31" s="18" t="s">
        <v>1114</v>
      </c>
      <c r="C31" s="12" t="s">
        <v>111</v>
      </c>
      <c r="D31" s="117">
        <v>30000</v>
      </c>
      <c r="E31" s="140">
        <v>0.08</v>
      </c>
      <c r="F31" s="56">
        <f t="shared" si="0"/>
        <v>40814.668800000007</v>
      </c>
      <c r="G31" s="32" t="s">
        <v>1112</v>
      </c>
      <c r="H31" s="32" t="s">
        <v>1110</v>
      </c>
      <c r="I31" s="32" t="s">
        <v>1111</v>
      </c>
      <c r="J31" s="42"/>
      <c r="K31" s="42"/>
      <c r="L31" s="42"/>
    </row>
    <row r="32" spans="1:12" ht="26.1" customHeight="1" x14ac:dyDescent="0.2">
      <c r="A32" s="42"/>
      <c r="B32" s="18" t="s">
        <v>1114</v>
      </c>
      <c r="C32" s="12" t="s">
        <v>113</v>
      </c>
      <c r="D32" s="117">
        <v>45000</v>
      </c>
      <c r="E32" s="140">
        <v>0.13</v>
      </c>
      <c r="F32" s="56">
        <f t="shared" si="0"/>
        <v>73371.312449999969</v>
      </c>
      <c r="G32" s="32" t="s">
        <v>1116</v>
      </c>
      <c r="H32" s="32" t="s">
        <v>1110</v>
      </c>
      <c r="I32" s="32" t="s">
        <v>1111</v>
      </c>
      <c r="J32" s="42"/>
      <c r="K32" s="42"/>
      <c r="L32" s="42"/>
    </row>
    <row r="33" spans="1:12" ht="26.1" customHeight="1" x14ac:dyDescent="0.2">
      <c r="A33" s="42"/>
      <c r="B33" s="18" t="s">
        <v>1117</v>
      </c>
      <c r="C33" s="12" t="s">
        <v>108</v>
      </c>
      <c r="D33" s="117">
        <v>20000</v>
      </c>
      <c r="E33" s="140">
        <v>0.02</v>
      </c>
      <c r="F33" s="56">
        <f t="shared" si="0"/>
        <v>21648.643199999999</v>
      </c>
      <c r="G33" s="32" t="s">
        <v>1118</v>
      </c>
      <c r="H33" s="32" t="s">
        <v>1110</v>
      </c>
      <c r="I33" s="32" t="s">
        <v>1111</v>
      </c>
      <c r="J33" s="42"/>
      <c r="K33" s="42"/>
      <c r="L33" s="42"/>
    </row>
    <row r="34" spans="1:12" ht="26.1" customHeight="1" x14ac:dyDescent="0.2">
      <c r="A34" s="42"/>
      <c r="B34" s="18" t="s">
        <v>1117</v>
      </c>
      <c r="C34" s="12" t="s">
        <v>111</v>
      </c>
      <c r="D34" s="117">
        <v>30000</v>
      </c>
      <c r="E34" s="140">
        <v>0.05</v>
      </c>
      <c r="F34" s="56">
        <f t="shared" si="0"/>
        <v>36465.1875</v>
      </c>
      <c r="G34" s="32" t="s">
        <v>1112</v>
      </c>
      <c r="H34" s="32" t="s">
        <v>1110</v>
      </c>
      <c r="I34" s="32" t="s">
        <v>1111</v>
      </c>
      <c r="J34" s="42"/>
      <c r="K34" s="42"/>
      <c r="L34" s="42"/>
    </row>
    <row r="35" spans="1:12" ht="26.1" customHeight="1" x14ac:dyDescent="0.2">
      <c r="A35" s="42"/>
      <c r="B35" s="18" t="s">
        <v>1117</v>
      </c>
      <c r="C35" s="12" t="s">
        <v>113</v>
      </c>
      <c r="D35" s="117">
        <v>45000</v>
      </c>
      <c r="E35" s="140">
        <v>0.1</v>
      </c>
      <c r="F35" s="56">
        <f t="shared" si="0"/>
        <v>65884.500000000015</v>
      </c>
      <c r="G35" s="32" t="s">
        <v>1119</v>
      </c>
      <c r="H35" s="32" t="s">
        <v>1110</v>
      </c>
      <c r="I35" s="32" t="s">
        <v>1111</v>
      </c>
      <c r="J35" s="42"/>
      <c r="K35" s="42"/>
      <c r="L35" s="42"/>
    </row>
    <row r="36" spans="1:12" ht="20.100000000000001" customHeight="1" x14ac:dyDescent="0.2">
      <c r="A36" s="42"/>
      <c r="B36" s="177" t="s">
        <v>1120</v>
      </c>
      <c r="C36" s="177"/>
      <c r="D36" s="177"/>
      <c r="E36" s="177"/>
      <c r="F36" s="177"/>
      <c r="G36" s="177"/>
      <c r="H36" s="177"/>
      <c r="I36" s="177"/>
      <c r="J36" s="42"/>
      <c r="K36" s="42"/>
      <c r="L36" s="42"/>
    </row>
    <row r="37" spans="1:12" x14ac:dyDescent="0.2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</row>
    <row r="38" spans="1:12" x14ac:dyDescent="0.2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</row>
    <row r="39" spans="1:12" x14ac:dyDescent="0.2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</row>
    <row r="40" spans="1:12" x14ac:dyDescent="0.2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</row>
    <row r="41" spans="1:12" x14ac:dyDescent="0.2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</row>
    <row r="42" spans="1:12" x14ac:dyDescent="0.2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</row>
    <row r="43" spans="1:12" x14ac:dyDescent="0.2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</row>
    <row r="44" spans="1:12" x14ac:dyDescent="0.2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</row>
    <row r="45" spans="1:12" x14ac:dyDescent="0.2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</row>
    <row r="46" spans="1:12" x14ac:dyDescent="0.2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</row>
    <row r="47" spans="1:12" x14ac:dyDescent="0.2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</row>
    <row r="48" spans="1:12" x14ac:dyDescent="0.2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</row>
  </sheetData>
  <mergeCells count="4">
    <mergeCell ref="B22:I22"/>
    <mergeCell ref="B23:I23"/>
    <mergeCell ref="B25:I25"/>
    <mergeCell ref="B36:I36"/>
  </mergeCells>
  <hyperlinks>
    <hyperlink ref="E7" location="'Assumptions'!B11" display="Assumptions!B11" xr:uid="{00000000-0004-0000-0A00-000000000000}"/>
    <hyperlink ref="E8" location="'Assumptions'!B64" display="Assumptions!B64" xr:uid="{00000000-0004-0000-0A00-000001000000}"/>
    <hyperlink ref="E9" location="'Assumptions'!B73" display="Assumptions!B73" xr:uid="{00000000-0004-0000-0A00-000002000000}"/>
    <hyperlink ref="E10" location="'Assumptions'!B15" display="'Assumptions'!B15" xr:uid="{00000000-0004-0000-0A00-000003000000}"/>
    <hyperlink ref="E11" location="'Assumptions'!B17" display="Assumptions!B17" xr:uid="{00000000-0004-0000-0A00-000004000000}"/>
    <hyperlink ref="E12" location="'Assumptions'!B110" display="Assumptions!B110" xr:uid="{00000000-0004-0000-0A00-000005000000}"/>
    <hyperlink ref="E13" location="'Assumptions'!B62" display="Assumptions!B62" xr:uid="{00000000-0004-0000-0A00-000006000000}"/>
    <hyperlink ref="E14" location="'Assumptions'!B87" display="Assumptions!B87" xr:uid="{00000000-0004-0000-0A00-000007000000}"/>
    <hyperlink ref="E15" location="'Assumptions'!B94" display="Assumptions!B94" xr:uid="{00000000-0004-0000-0A00-000008000000}"/>
    <hyperlink ref="E16" location="'Assumptions'!B39" display="Assumptions!B39" xr:uid="{00000000-0004-0000-0A00-000009000000}"/>
    <hyperlink ref="E17" location="'Assumptions'!B26" display="Assumptions!B26" xr:uid="{00000000-0004-0000-0A00-00000A000000}"/>
    <hyperlink ref="E18" location="'Assumptions'!B58" display="Launch Readiness!A5" xr:uid="{00000000-0004-0000-0A00-00000B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A8494"/>
  </sheetPr>
  <dimension ref="B2:E24"/>
  <sheetViews>
    <sheetView showGridLines="0" workbookViewId="0"/>
  </sheetViews>
  <sheetFormatPr defaultColWidth="8.5703125" defaultRowHeight="12.75" x14ac:dyDescent="0.2"/>
  <cols>
    <col min="1" max="1" width="2.140625" customWidth="1"/>
    <col min="2" max="2" width="40" customWidth="1"/>
    <col min="3" max="3" width="13" customWidth="1"/>
    <col min="4" max="4" width="82" customWidth="1"/>
    <col min="5" max="5" width="30" customWidth="1"/>
  </cols>
  <sheetData>
    <row r="2" spans="2:5" ht="30" customHeight="1" x14ac:dyDescent="0.2">
      <c r="B2" s="3" t="s">
        <v>1121</v>
      </c>
    </row>
    <row r="3" spans="2:5" ht="15.95" customHeight="1" x14ac:dyDescent="0.2">
      <c r="B3" s="4" t="s">
        <v>1122</v>
      </c>
    </row>
    <row r="4" spans="2:5" ht="9.9499999999999993" customHeight="1" x14ac:dyDescent="0.2"/>
    <row r="5" spans="2:5" ht="21.95" customHeight="1" x14ac:dyDescent="0.2">
      <c r="B5" s="10" t="s">
        <v>1123</v>
      </c>
      <c r="C5" s="9" t="s">
        <v>1124</v>
      </c>
      <c r="D5" s="10" t="s">
        <v>1125</v>
      </c>
      <c r="E5" s="10" t="s">
        <v>1126</v>
      </c>
    </row>
    <row r="6" spans="2:5" ht="32.1" customHeight="1" x14ac:dyDescent="0.2">
      <c r="B6" s="13" t="s">
        <v>1127</v>
      </c>
      <c r="C6" s="37" t="s">
        <v>1128</v>
      </c>
      <c r="D6" s="32" t="s">
        <v>1129</v>
      </c>
      <c r="E6" s="32" t="s">
        <v>1130</v>
      </c>
    </row>
    <row r="7" spans="2:5" ht="32.1" customHeight="1" x14ac:dyDescent="0.2">
      <c r="B7" s="13" t="s">
        <v>1131</v>
      </c>
      <c r="C7" s="37" t="s">
        <v>1128</v>
      </c>
      <c r="D7" s="32" t="s">
        <v>1132</v>
      </c>
      <c r="E7" s="32" t="s">
        <v>1133</v>
      </c>
    </row>
    <row r="8" spans="2:5" ht="32.1" customHeight="1" x14ac:dyDescent="0.2">
      <c r="B8" s="13" t="s">
        <v>1134</v>
      </c>
      <c r="C8" s="38" t="s">
        <v>1135</v>
      </c>
      <c r="D8" s="32" t="s">
        <v>1136</v>
      </c>
      <c r="E8" s="32" t="s">
        <v>1137</v>
      </c>
    </row>
    <row r="9" spans="2:5" ht="32.1" customHeight="1" x14ac:dyDescent="0.2">
      <c r="B9" s="13" t="s">
        <v>1138</v>
      </c>
      <c r="C9" s="38" t="s">
        <v>1135</v>
      </c>
      <c r="D9" s="32" t="s">
        <v>1139</v>
      </c>
      <c r="E9" s="32" t="s">
        <v>1140</v>
      </c>
    </row>
    <row r="10" spans="2:5" ht="32.1" customHeight="1" x14ac:dyDescent="0.2">
      <c r="B10" s="13" t="s">
        <v>1141</v>
      </c>
      <c r="C10" s="39" t="s">
        <v>1142</v>
      </c>
      <c r="D10" s="32" t="s">
        <v>1143</v>
      </c>
      <c r="E10" s="32" t="s">
        <v>1144</v>
      </c>
    </row>
    <row r="11" spans="2:5" ht="32.1" customHeight="1" x14ac:dyDescent="0.2">
      <c r="B11" s="13" t="s">
        <v>1145</v>
      </c>
      <c r="C11" s="38" t="s">
        <v>1135</v>
      </c>
      <c r="D11" s="32" t="s">
        <v>1146</v>
      </c>
      <c r="E11" s="32" t="s">
        <v>1147</v>
      </c>
    </row>
    <row r="12" spans="2:5" ht="32.1" customHeight="1" x14ac:dyDescent="0.2">
      <c r="B12" s="13" t="s">
        <v>1148</v>
      </c>
      <c r="C12" s="39" t="s">
        <v>1142</v>
      </c>
      <c r="D12" s="32" t="s">
        <v>1149</v>
      </c>
      <c r="E12" s="32" t="s">
        <v>1150</v>
      </c>
    </row>
    <row r="13" spans="2:5" ht="32.1" customHeight="1" x14ac:dyDescent="0.2">
      <c r="B13" s="13" t="s">
        <v>1151</v>
      </c>
      <c r="C13" s="39" t="s">
        <v>1142</v>
      </c>
      <c r="D13" s="32" t="s">
        <v>1152</v>
      </c>
      <c r="E13" s="32" t="s">
        <v>1153</v>
      </c>
    </row>
    <row r="14" spans="2:5" ht="32.1" customHeight="1" x14ac:dyDescent="0.2">
      <c r="B14" s="13" t="s">
        <v>1154</v>
      </c>
      <c r="C14" s="40" t="s">
        <v>1155</v>
      </c>
      <c r="D14" s="32" t="s">
        <v>1156</v>
      </c>
      <c r="E14" s="32" t="s">
        <v>1157</v>
      </c>
    </row>
    <row r="15" spans="2:5" ht="32.1" customHeight="1" x14ac:dyDescent="0.2">
      <c r="B15" s="13" t="s">
        <v>1158</v>
      </c>
      <c r="C15" s="39" t="s">
        <v>1142</v>
      </c>
      <c r="D15" s="32" t="s">
        <v>1159</v>
      </c>
      <c r="E15" s="32" t="s">
        <v>1160</v>
      </c>
    </row>
    <row r="16" spans="2:5" ht="9.9499999999999993" customHeight="1" x14ac:dyDescent="0.2"/>
    <row r="17" spans="2:5" ht="32.1" customHeight="1" x14ac:dyDescent="0.2">
      <c r="B17" s="13" t="s">
        <v>1161</v>
      </c>
      <c r="C17" s="41" t="s">
        <v>1162</v>
      </c>
      <c r="D17" s="32" t="s">
        <v>1163</v>
      </c>
      <c r="E17" s="32" t="s">
        <v>1164</v>
      </c>
    </row>
    <row r="18" spans="2:5" ht="32.1" customHeight="1" x14ac:dyDescent="0.2">
      <c r="B18" s="13" t="s">
        <v>1165</v>
      </c>
      <c r="C18" s="38" t="s">
        <v>1135</v>
      </c>
      <c r="D18" s="32" t="s">
        <v>1166</v>
      </c>
      <c r="E18" s="32" t="s">
        <v>1167</v>
      </c>
    </row>
    <row r="19" spans="2:5" ht="32.1" customHeight="1" x14ac:dyDescent="0.2">
      <c r="B19" s="13" t="s">
        <v>1168</v>
      </c>
      <c r="C19" s="39" t="s">
        <v>1142</v>
      </c>
      <c r="D19" s="32" t="s">
        <v>1169</v>
      </c>
      <c r="E19" s="32" t="s">
        <v>1170</v>
      </c>
    </row>
    <row r="20" spans="2:5" ht="32.1" customHeight="1" x14ac:dyDescent="0.2">
      <c r="B20" s="13" t="s">
        <v>1171</v>
      </c>
      <c r="C20" s="38" t="s">
        <v>1135</v>
      </c>
      <c r="D20" s="32" t="s">
        <v>1172</v>
      </c>
      <c r="E20" s="32" t="s">
        <v>1173</v>
      </c>
    </row>
    <row r="21" spans="2:5" ht="32.1" customHeight="1" x14ac:dyDescent="0.2">
      <c r="B21" s="13" t="s">
        <v>1174</v>
      </c>
      <c r="C21" s="38" t="s">
        <v>1135</v>
      </c>
      <c r="D21" s="32" t="s">
        <v>1175</v>
      </c>
      <c r="E21" s="32" t="s">
        <v>1176</v>
      </c>
    </row>
    <row r="22" spans="2:5" ht="32.1" customHeight="1" x14ac:dyDescent="0.2">
      <c r="B22" s="13" t="s">
        <v>1177</v>
      </c>
      <c r="C22" s="39" t="s">
        <v>1142</v>
      </c>
      <c r="D22" s="32" t="s">
        <v>1178</v>
      </c>
      <c r="E22" s="32" t="s">
        <v>1179</v>
      </c>
    </row>
    <row r="23" spans="2:5" ht="32.1" customHeight="1" x14ac:dyDescent="0.2">
      <c r="B23" s="13" t="s">
        <v>1180</v>
      </c>
      <c r="C23" s="38" t="s">
        <v>1135</v>
      </c>
      <c r="D23" s="32" t="s">
        <v>1181</v>
      </c>
      <c r="E23" s="32" t="s">
        <v>1182</v>
      </c>
    </row>
    <row r="24" spans="2:5" ht="32.1" customHeight="1" x14ac:dyDescent="0.2">
      <c r="B24" s="13" t="s">
        <v>1183</v>
      </c>
      <c r="C24" s="38" t="s">
        <v>1135</v>
      </c>
      <c r="D24" s="32" t="s">
        <v>1184</v>
      </c>
      <c r="E24" s="32" t="s">
        <v>1185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A8494"/>
  </sheetPr>
  <dimension ref="A2:K86"/>
  <sheetViews>
    <sheetView showGridLines="0" workbookViewId="0"/>
  </sheetViews>
  <sheetFormatPr defaultColWidth="8.5703125" defaultRowHeight="12.75" x14ac:dyDescent="0.2"/>
  <cols>
    <col min="1" max="1" width="44" customWidth="1"/>
    <col min="2" max="2" width="20" customWidth="1"/>
    <col min="3" max="4" width="18" customWidth="1"/>
    <col min="5" max="5" width="20" customWidth="1"/>
    <col min="6" max="6" width="9" customWidth="1"/>
    <col min="7" max="7" width="19" customWidth="1"/>
    <col min="8" max="8" width="78" customWidth="1"/>
    <col min="9" max="9" width="38" customWidth="1"/>
    <col min="10" max="10" width="34" customWidth="1"/>
    <col min="11" max="11" width="12" customWidth="1"/>
  </cols>
  <sheetData>
    <row r="2" spans="1:11" ht="30" customHeight="1" x14ac:dyDescent="0.2">
      <c r="B2" s="3" t="s">
        <v>1186</v>
      </c>
    </row>
    <row r="3" spans="1:11" ht="15.95" customHeight="1" x14ac:dyDescent="0.2">
      <c r="B3" s="4" t="s">
        <v>1187</v>
      </c>
    </row>
    <row r="4" spans="1:11" ht="9.9499999999999993" customHeight="1" x14ac:dyDescent="0.2"/>
    <row r="5" spans="1:11" ht="26.1" customHeight="1" x14ac:dyDescent="0.2">
      <c r="A5" s="10" t="s">
        <v>1188</v>
      </c>
      <c r="B5" s="10" t="s">
        <v>135</v>
      </c>
      <c r="C5" s="11" t="s">
        <v>1189</v>
      </c>
      <c r="D5" s="11" t="s">
        <v>1190</v>
      </c>
      <c r="E5" s="11" t="s">
        <v>1191</v>
      </c>
      <c r="F5" s="9" t="s">
        <v>1192</v>
      </c>
      <c r="G5" s="9" t="s">
        <v>1193</v>
      </c>
      <c r="H5" s="10" t="s">
        <v>1194</v>
      </c>
      <c r="I5" s="10" t="s">
        <v>1195</v>
      </c>
      <c r="J5" s="10" t="s">
        <v>1196</v>
      </c>
      <c r="K5" s="10"/>
    </row>
    <row r="6" spans="1:11" ht="27.95" customHeight="1" x14ac:dyDescent="0.2">
      <c r="A6" s="13" t="s">
        <v>1197</v>
      </c>
      <c r="B6" s="34" t="s">
        <v>133</v>
      </c>
      <c r="C6" s="20" t="str">
        <f>TEXT(Assumptions!$F$70,"0.00%")&amp;" / "&amp;TEXT(Assumptions!$F$71,"0.00%")&amp;" / "&amp;TEXT(Assumptions!$F$72,"0.00%")</f>
        <v>0.80% / 1.50% / 3.00%</v>
      </c>
      <c r="D6" s="134" t="str">
        <f>TEXT(Assumptions!$F$70,"0.00%")&amp;" / "&amp;TEXT(Assumptions!$F$71,"0.00%")&amp;" / "&amp;TEXT(Assumptions!$F$72,"0.00%")</f>
        <v>0.80% / 1.50% / 3.00%</v>
      </c>
      <c r="E6" s="135" t="str">
        <f>TEXT(Assumptions!$F$70,"0.00%")&amp;" / "&amp;TEXT(Assumptions!$F$71,"0.00%")&amp;" / "&amp;TEXT(Assumptions!$F$72,"0.00%")</f>
        <v>0.80% / 1.50% / 3.00%</v>
      </c>
      <c r="F6" s="18" t="s">
        <v>893</v>
      </c>
      <c r="G6" s="34" t="s">
        <v>603</v>
      </c>
      <c r="H6" s="129" t="s">
        <v>1198</v>
      </c>
      <c r="I6" s="32" t="s">
        <v>1199</v>
      </c>
      <c r="J6" s="130" t="s">
        <v>1200</v>
      </c>
      <c r="K6" s="130"/>
    </row>
    <row r="7" spans="1:11" ht="27.95" customHeight="1" x14ac:dyDescent="0.2">
      <c r="A7" s="13" t="s">
        <v>1201</v>
      </c>
      <c r="B7" s="34" t="s">
        <v>133</v>
      </c>
      <c r="C7" s="13" t="s">
        <v>1202</v>
      </c>
      <c r="D7" s="136" t="s">
        <v>1203</v>
      </c>
      <c r="E7" s="137" t="s">
        <v>1204</v>
      </c>
      <c r="F7" s="18" t="s">
        <v>944</v>
      </c>
      <c r="G7" s="34" t="s">
        <v>603</v>
      </c>
      <c r="H7" s="129" t="s">
        <v>1205</v>
      </c>
      <c r="I7" s="32" t="s">
        <v>1199</v>
      </c>
      <c r="J7" s="130" t="s">
        <v>1200</v>
      </c>
      <c r="K7" s="130"/>
    </row>
    <row r="8" spans="1:11" ht="27.95" customHeight="1" x14ac:dyDescent="0.2">
      <c r="A8" s="13" t="s">
        <v>1206</v>
      </c>
      <c r="B8" s="34" t="s">
        <v>133</v>
      </c>
      <c r="C8" s="13" t="s">
        <v>1207</v>
      </c>
      <c r="D8" s="136" t="s">
        <v>1203</v>
      </c>
      <c r="E8" s="137" t="s">
        <v>1208</v>
      </c>
      <c r="F8" s="18" t="s">
        <v>944</v>
      </c>
      <c r="G8" s="34" t="s">
        <v>603</v>
      </c>
      <c r="H8" s="129" t="s">
        <v>1209</v>
      </c>
      <c r="I8" s="32" t="s">
        <v>1199</v>
      </c>
      <c r="J8" s="130" t="s">
        <v>1200</v>
      </c>
      <c r="K8" s="130"/>
    </row>
    <row r="9" spans="1:11" ht="27.95" customHeight="1" x14ac:dyDescent="0.2">
      <c r="A9" s="13" t="s">
        <v>301</v>
      </c>
      <c r="B9" s="34" t="s">
        <v>133</v>
      </c>
      <c r="C9" s="13" t="s">
        <v>1210</v>
      </c>
      <c r="D9" s="136" t="s">
        <v>1203</v>
      </c>
      <c r="E9" s="137" t="s">
        <v>1211</v>
      </c>
      <c r="F9" s="18" t="s">
        <v>944</v>
      </c>
      <c r="G9" s="34" t="s">
        <v>603</v>
      </c>
      <c r="H9" s="129" t="s">
        <v>1212</v>
      </c>
      <c r="I9" s="32" t="s">
        <v>1199</v>
      </c>
      <c r="J9" s="130" t="s">
        <v>1200</v>
      </c>
      <c r="K9" s="130"/>
    </row>
    <row r="10" spans="1:11" ht="24" customHeight="1" x14ac:dyDescent="0.2">
      <c r="A10" s="13" t="s">
        <v>1213</v>
      </c>
      <c r="B10" s="34" t="s">
        <v>133</v>
      </c>
      <c r="C10" s="17">
        <v>0</v>
      </c>
      <c r="D10" s="131">
        <v>500</v>
      </c>
      <c r="E10" s="119">
        <v>1500</v>
      </c>
      <c r="F10" s="18" t="s">
        <v>944</v>
      </c>
      <c r="G10" s="34" t="s">
        <v>603</v>
      </c>
      <c r="H10" s="129" t="s">
        <v>1214</v>
      </c>
      <c r="I10" s="32" t="s">
        <v>1215</v>
      </c>
      <c r="J10" s="130" t="s">
        <v>1200</v>
      </c>
      <c r="K10" s="130"/>
    </row>
    <row r="11" spans="1:11" ht="24" customHeight="1" x14ac:dyDescent="0.2">
      <c r="A11" s="13" t="s">
        <v>1216</v>
      </c>
      <c r="B11" s="34" t="s">
        <v>133</v>
      </c>
      <c r="C11" s="17">
        <v>0.2</v>
      </c>
      <c r="D11" s="127">
        <v>0.35</v>
      </c>
      <c r="E11" s="128">
        <v>0.55000000000000004</v>
      </c>
      <c r="F11" s="18" t="s">
        <v>893</v>
      </c>
      <c r="G11" s="34" t="s">
        <v>1217</v>
      </c>
      <c r="H11" s="129" t="s">
        <v>1218</v>
      </c>
      <c r="I11" s="32" t="s">
        <v>1219</v>
      </c>
      <c r="J11" s="130" t="s">
        <v>1220</v>
      </c>
      <c r="K11" s="130"/>
    </row>
    <row r="12" spans="1:11" ht="24" customHeight="1" x14ac:dyDescent="0.2">
      <c r="A12" s="13" t="s">
        <v>943</v>
      </c>
      <c r="B12" s="34" t="s">
        <v>1221</v>
      </c>
      <c r="C12" s="17">
        <v>100</v>
      </c>
      <c r="D12" s="131">
        <v>100</v>
      </c>
      <c r="E12" s="119">
        <v>100</v>
      </c>
      <c r="F12" s="18" t="s">
        <v>944</v>
      </c>
      <c r="G12" s="34" t="s">
        <v>603</v>
      </c>
      <c r="H12" s="129" t="s">
        <v>1556</v>
      </c>
      <c r="I12" s="32" t="s">
        <v>1222</v>
      </c>
      <c r="J12" s="130" t="s">
        <v>1200</v>
      </c>
      <c r="K12" s="130"/>
    </row>
    <row r="13" spans="1:11" ht="24" customHeight="1" x14ac:dyDescent="0.2">
      <c r="A13" s="13" t="s">
        <v>1223</v>
      </c>
      <c r="B13" s="34" t="s">
        <v>1224</v>
      </c>
      <c r="C13" s="17">
        <v>50</v>
      </c>
      <c r="D13" s="131">
        <v>50</v>
      </c>
      <c r="E13" s="119">
        <v>50</v>
      </c>
      <c r="F13" s="18" t="s">
        <v>944</v>
      </c>
      <c r="G13" s="34" t="s">
        <v>603</v>
      </c>
      <c r="H13" s="129" t="s">
        <v>1225</v>
      </c>
      <c r="I13" s="32" t="s">
        <v>1226</v>
      </c>
      <c r="J13" s="130" t="s">
        <v>1200</v>
      </c>
      <c r="K13" s="130"/>
    </row>
    <row r="14" spans="1:11" ht="24" customHeight="1" x14ac:dyDescent="0.2">
      <c r="A14" s="13" t="s">
        <v>947</v>
      </c>
      <c r="B14" s="34" t="s">
        <v>1224</v>
      </c>
      <c r="C14" s="17">
        <v>0</v>
      </c>
      <c r="D14" s="131">
        <v>63</v>
      </c>
      <c r="E14" s="119">
        <v>63</v>
      </c>
      <c r="F14" s="18" t="s">
        <v>944</v>
      </c>
      <c r="G14" s="34" t="s">
        <v>603</v>
      </c>
      <c r="H14" s="129" t="s">
        <v>1227</v>
      </c>
      <c r="I14" s="32" t="s">
        <v>1222</v>
      </c>
      <c r="J14" s="130" t="s">
        <v>1200</v>
      </c>
      <c r="K14" s="130"/>
    </row>
    <row r="15" spans="1:11" ht="24" customHeight="1" x14ac:dyDescent="0.2">
      <c r="A15" s="13" t="s">
        <v>1228</v>
      </c>
      <c r="B15" s="34" t="s">
        <v>1221</v>
      </c>
      <c r="C15" s="17">
        <v>375</v>
      </c>
      <c r="D15" s="131">
        <v>1500</v>
      </c>
      <c r="E15" s="119">
        <v>3000</v>
      </c>
      <c r="F15" s="18" t="s">
        <v>944</v>
      </c>
      <c r="G15" s="34" t="s">
        <v>1217</v>
      </c>
      <c r="H15" s="129" t="s">
        <v>1229</v>
      </c>
      <c r="I15" s="32" t="s">
        <v>1230</v>
      </c>
      <c r="J15" s="130" t="s">
        <v>1200</v>
      </c>
      <c r="K15" s="130"/>
    </row>
    <row r="16" spans="1:11" ht="24" customHeight="1" x14ac:dyDescent="0.2">
      <c r="A16" s="13" t="s">
        <v>1231</v>
      </c>
      <c r="B16" s="34" t="s">
        <v>1221</v>
      </c>
      <c r="C16" s="17">
        <v>200</v>
      </c>
      <c r="D16" s="131">
        <v>600</v>
      </c>
      <c r="E16" s="119">
        <v>1500</v>
      </c>
      <c r="F16" s="18" t="s">
        <v>944</v>
      </c>
      <c r="G16" s="34" t="s">
        <v>603</v>
      </c>
      <c r="H16" s="129" t="s">
        <v>1232</v>
      </c>
      <c r="I16" s="32"/>
      <c r="J16" s="130" t="s">
        <v>1200</v>
      </c>
      <c r="K16" s="130"/>
    </row>
    <row r="17" spans="1:11" ht="24" customHeight="1" x14ac:dyDescent="0.2">
      <c r="A17" s="13" t="s">
        <v>1233</v>
      </c>
      <c r="B17" s="34" t="s">
        <v>1221</v>
      </c>
      <c r="C17" s="17">
        <v>300</v>
      </c>
      <c r="D17" s="131">
        <v>900</v>
      </c>
      <c r="E17" s="119">
        <v>2500</v>
      </c>
      <c r="F17" s="18" t="s">
        <v>944</v>
      </c>
      <c r="G17" s="34" t="s">
        <v>603</v>
      </c>
      <c r="H17" s="129" t="s">
        <v>1234</v>
      </c>
      <c r="I17" s="32"/>
      <c r="J17" s="130" t="s">
        <v>1200</v>
      </c>
      <c r="K17" s="130"/>
    </row>
    <row r="18" spans="1:11" ht="24" customHeight="1" x14ac:dyDescent="0.2">
      <c r="A18" s="13" t="s">
        <v>1235</v>
      </c>
      <c r="B18" s="34" t="s">
        <v>1224</v>
      </c>
      <c r="C18" s="17">
        <v>3000</v>
      </c>
      <c r="D18" s="131">
        <v>8000</v>
      </c>
      <c r="E18" s="119">
        <v>18000</v>
      </c>
      <c r="F18" s="18" t="s">
        <v>944</v>
      </c>
      <c r="G18" s="34" t="s">
        <v>603</v>
      </c>
      <c r="H18" s="129" t="s">
        <v>1236</v>
      </c>
      <c r="I18" s="32" t="s">
        <v>1237</v>
      </c>
      <c r="J18" s="130" t="s">
        <v>1200</v>
      </c>
      <c r="K18" s="130"/>
    </row>
    <row r="19" spans="1:11" ht="24" customHeight="1" x14ac:dyDescent="0.2">
      <c r="A19" s="13" t="s">
        <v>1238</v>
      </c>
      <c r="B19" s="34" t="s">
        <v>1224</v>
      </c>
      <c r="C19" s="17">
        <v>8000</v>
      </c>
      <c r="D19" s="131">
        <v>25000</v>
      </c>
      <c r="E19" s="119">
        <v>60000</v>
      </c>
      <c r="F19" s="18" t="s">
        <v>944</v>
      </c>
      <c r="G19" s="34" t="s">
        <v>603</v>
      </c>
      <c r="H19" s="129" t="s">
        <v>1239</v>
      </c>
      <c r="I19" s="32" t="s">
        <v>1240</v>
      </c>
      <c r="J19" s="130" t="s">
        <v>1200</v>
      </c>
      <c r="K19" s="130"/>
    </row>
    <row r="20" spans="1:11" ht="24" customHeight="1" x14ac:dyDescent="0.2">
      <c r="A20" s="13" t="s">
        <v>965</v>
      </c>
      <c r="B20" s="34" t="s">
        <v>1224</v>
      </c>
      <c r="C20" s="17">
        <v>2000</v>
      </c>
      <c r="D20" s="131">
        <v>6000</v>
      </c>
      <c r="E20" s="119">
        <v>15000</v>
      </c>
      <c r="F20" s="18" t="s">
        <v>944</v>
      </c>
      <c r="G20" s="34" t="s">
        <v>603</v>
      </c>
      <c r="H20" s="129" t="s">
        <v>1241</v>
      </c>
      <c r="I20" s="32" t="s">
        <v>1242</v>
      </c>
      <c r="J20" s="130" t="s">
        <v>1200</v>
      </c>
      <c r="K20" s="130"/>
    </row>
    <row r="21" spans="1:11" ht="24" customHeight="1" x14ac:dyDescent="0.2">
      <c r="A21" s="13" t="s">
        <v>1243</v>
      </c>
      <c r="B21" s="34" t="s">
        <v>1224</v>
      </c>
      <c r="C21" s="17">
        <v>1000</v>
      </c>
      <c r="D21" s="131">
        <v>3000</v>
      </c>
      <c r="E21" s="119">
        <v>8000</v>
      </c>
      <c r="F21" s="18" t="s">
        <v>944</v>
      </c>
      <c r="G21" s="34" t="s">
        <v>603</v>
      </c>
      <c r="H21" s="129" t="s">
        <v>1244</v>
      </c>
      <c r="I21" s="32" t="s">
        <v>1245</v>
      </c>
      <c r="J21" s="130" t="s">
        <v>1200</v>
      </c>
      <c r="K21" s="130"/>
    </row>
    <row r="22" spans="1:11" ht="24" customHeight="1" x14ac:dyDescent="0.2">
      <c r="A22" s="13" t="s">
        <v>969</v>
      </c>
      <c r="B22" s="34" t="s">
        <v>1224</v>
      </c>
      <c r="C22" s="17">
        <v>52</v>
      </c>
      <c r="D22" s="131">
        <v>60</v>
      </c>
      <c r="E22" s="119">
        <v>60</v>
      </c>
      <c r="F22" s="18" t="s">
        <v>944</v>
      </c>
      <c r="G22" s="34" t="s">
        <v>603</v>
      </c>
      <c r="H22" s="129" t="s">
        <v>1246</v>
      </c>
      <c r="I22" s="32" t="s">
        <v>1247</v>
      </c>
      <c r="J22" s="130" t="s">
        <v>1200</v>
      </c>
      <c r="K22" s="130"/>
    </row>
    <row r="23" spans="1:11" ht="24" customHeight="1" x14ac:dyDescent="0.2">
      <c r="A23" s="13" t="s">
        <v>1248</v>
      </c>
      <c r="B23" s="34" t="s">
        <v>1221</v>
      </c>
      <c r="C23" s="17">
        <v>12000</v>
      </c>
      <c r="D23" s="131">
        <v>30000</v>
      </c>
      <c r="E23" s="119">
        <v>60000</v>
      </c>
      <c r="F23" s="18" t="s">
        <v>944</v>
      </c>
      <c r="G23" s="34" t="s">
        <v>1217</v>
      </c>
      <c r="H23" s="129" t="s">
        <v>1010</v>
      </c>
      <c r="I23" s="32" t="s">
        <v>1249</v>
      </c>
      <c r="J23" s="130" t="s">
        <v>1200</v>
      </c>
      <c r="K23" s="130"/>
    </row>
    <row r="24" spans="1:11" ht="24" customHeight="1" x14ac:dyDescent="0.2">
      <c r="A24" s="13" t="s">
        <v>1250</v>
      </c>
      <c r="B24" s="34" t="s">
        <v>1221</v>
      </c>
      <c r="C24" s="17">
        <v>3000</v>
      </c>
      <c r="D24" s="131">
        <v>7000</v>
      </c>
      <c r="E24" s="119">
        <v>15000</v>
      </c>
      <c r="F24" s="18" t="s">
        <v>944</v>
      </c>
      <c r="G24" s="34" t="s">
        <v>603</v>
      </c>
      <c r="H24" s="129" t="s">
        <v>1251</v>
      </c>
      <c r="I24" s="32"/>
      <c r="J24" s="130" t="s">
        <v>1200</v>
      </c>
      <c r="K24" s="130"/>
    </row>
    <row r="25" spans="1:11" ht="24" customHeight="1" x14ac:dyDescent="0.2">
      <c r="A25" s="13" t="s">
        <v>1252</v>
      </c>
      <c r="B25" s="34" t="s">
        <v>1221</v>
      </c>
      <c r="C25" s="17">
        <v>15000</v>
      </c>
      <c r="D25" s="131">
        <v>40000</v>
      </c>
      <c r="E25" s="119">
        <v>90000</v>
      </c>
      <c r="F25" s="18" t="s">
        <v>944</v>
      </c>
      <c r="G25" s="34" t="s">
        <v>603</v>
      </c>
      <c r="H25" s="129" t="s">
        <v>1253</v>
      </c>
      <c r="I25" s="32"/>
      <c r="J25" s="130" t="s">
        <v>1200</v>
      </c>
      <c r="K25" s="130"/>
    </row>
    <row r="26" spans="1:11" ht="24" customHeight="1" x14ac:dyDescent="0.2">
      <c r="A26" s="13" t="s">
        <v>1254</v>
      </c>
      <c r="B26" s="34" t="s">
        <v>1221</v>
      </c>
      <c r="C26" s="17">
        <v>20000</v>
      </c>
      <c r="D26" s="131">
        <v>50000</v>
      </c>
      <c r="E26" s="119">
        <v>110000</v>
      </c>
      <c r="F26" s="18" t="s">
        <v>944</v>
      </c>
      <c r="G26" s="34" t="s">
        <v>603</v>
      </c>
      <c r="H26" s="129" t="s">
        <v>1255</v>
      </c>
      <c r="I26" s="32"/>
      <c r="J26" s="130" t="s">
        <v>1200</v>
      </c>
      <c r="K26" s="130"/>
    </row>
    <row r="27" spans="1:11" ht="24" customHeight="1" x14ac:dyDescent="0.2">
      <c r="A27" s="13" t="s">
        <v>1256</v>
      </c>
      <c r="B27" s="34" t="s">
        <v>1221</v>
      </c>
      <c r="C27" s="17">
        <v>3000</v>
      </c>
      <c r="D27" s="131">
        <v>9000</v>
      </c>
      <c r="E27" s="119">
        <v>20000</v>
      </c>
      <c r="F27" s="18" t="s">
        <v>944</v>
      </c>
      <c r="G27" s="34" t="s">
        <v>603</v>
      </c>
      <c r="H27" s="129"/>
      <c r="I27" s="32"/>
      <c r="J27" s="130" t="s">
        <v>1200</v>
      </c>
      <c r="K27" s="130"/>
    </row>
    <row r="28" spans="1:11" ht="24" customHeight="1" x14ac:dyDescent="0.2">
      <c r="A28" s="13" t="s">
        <v>1257</v>
      </c>
      <c r="B28" s="34" t="s">
        <v>1221</v>
      </c>
      <c r="C28" s="17">
        <v>1500</v>
      </c>
      <c r="D28" s="131">
        <v>5000</v>
      </c>
      <c r="E28" s="119">
        <v>12000</v>
      </c>
      <c r="F28" s="18" t="s">
        <v>944</v>
      </c>
      <c r="G28" s="34" t="s">
        <v>603</v>
      </c>
      <c r="H28" s="129"/>
      <c r="I28" s="32"/>
      <c r="J28" s="130" t="s">
        <v>1200</v>
      </c>
      <c r="K28" s="130"/>
    </row>
    <row r="29" spans="1:11" ht="24" customHeight="1" x14ac:dyDescent="0.2">
      <c r="A29" s="13" t="s">
        <v>1258</v>
      </c>
      <c r="B29" s="34" t="s">
        <v>1221</v>
      </c>
      <c r="C29" s="17">
        <v>1100</v>
      </c>
      <c r="D29" s="131">
        <v>4300</v>
      </c>
      <c r="E29" s="119">
        <v>10800</v>
      </c>
      <c r="F29" s="18" t="s">
        <v>944</v>
      </c>
      <c r="G29" s="34" t="s">
        <v>1259</v>
      </c>
      <c r="H29" s="129" t="s">
        <v>1260</v>
      </c>
      <c r="I29" s="32"/>
      <c r="J29" s="130" t="s">
        <v>1200</v>
      </c>
      <c r="K29" s="130"/>
    </row>
    <row r="30" spans="1:11" ht="24" customHeight="1" x14ac:dyDescent="0.2">
      <c r="A30" s="13" t="s">
        <v>1261</v>
      </c>
      <c r="B30" s="34" t="s">
        <v>1262</v>
      </c>
      <c r="C30" s="17">
        <v>1000</v>
      </c>
      <c r="D30" s="131">
        <v>5000</v>
      </c>
      <c r="E30" s="119">
        <v>15000</v>
      </c>
      <c r="F30" s="18" t="s">
        <v>944</v>
      </c>
      <c r="G30" s="34" t="s">
        <v>603</v>
      </c>
      <c r="H30" s="129" t="s">
        <v>1263</v>
      </c>
      <c r="I30" s="32"/>
      <c r="J30" s="130" t="s">
        <v>1200</v>
      </c>
      <c r="K30" s="130"/>
    </row>
    <row r="31" spans="1:11" ht="24" customHeight="1" x14ac:dyDescent="0.2">
      <c r="A31" s="13" t="s">
        <v>1264</v>
      </c>
      <c r="B31" s="34" t="s">
        <v>1265</v>
      </c>
      <c r="C31" s="17">
        <v>0.01</v>
      </c>
      <c r="D31" s="132">
        <v>0.03</v>
      </c>
      <c r="E31" s="133">
        <v>0.08</v>
      </c>
      <c r="F31" s="18" t="s">
        <v>1266</v>
      </c>
      <c r="G31" s="34" t="s">
        <v>1267</v>
      </c>
      <c r="H31" s="129" t="s">
        <v>1268</v>
      </c>
      <c r="I31" s="32" t="s">
        <v>1269</v>
      </c>
      <c r="J31" s="130" t="s">
        <v>1200</v>
      </c>
      <c r="K31" s="130"/>
    </row>
    <row r="32" spans="1:11" ht="24" customHeight="1" x14ac:dyDescent="0.2">
      <c r="A32" s="13" t="s">
        <v>1270</v>
      </c>
      <c r="B32" s="34" t="s">
        <v>1265</v>
      </c>
      <c r="C32" s="17">
        <v>1.5E-3</v>
      </c>
      <c r="D32" s="132">
        <v>0.01</v>
      </c>
      <c r="E32" s="133">
        <v>0.05</v>
      </c>
      <c r="F32" s="18" t="s">
        <v>1266</v>
      </c>
      <c r="G32" s="34" t="s">
        <v>1267</v>
      </c>
      <c r="H32" s="129" t="s">
        <v>1271</v>
      </c>
      <c r="I32" s="32" t="s">
        <v>1272</v>
      </c>
      <c r="J32" s="130" t="s">
        <v>1200</v>
      </c>
      <c r="K32" s="130"/>
    </row>
    <row r="33" spans="1:11" ht="24" customHeight="1" x14ac:dyDescent="0.2">
      <c r="A33" s="13" t="s">
        <v>1273</v>
      </c>
      <c r="B33" s="34" t="s">
        <v>1265</v>
      </c>
      <c r="C33" s="17">
        <v>2</v>
      </c>
      <c r="D33" s="131">
        <v>3.5</v>
      </c>
      <c r="E33" s="119">
        <v>6</v>
      </c>
      <c r="F33" s="18" t="s">
        <v>1266</v>
      </c>
      <c r="G33" s="34" t="s">
        <v>1267</v>
      </c>
      <c r="H33" s="129" t="s">
        <v>1274</v>
      </c>
      <c r="I33" s="32" t="s">
        <v>1275</v>
      </c>
      <c r="J33" s="130" t="s">
        <v>1200</v>
      </c>
      <c r="K33" s="130"/>
    </row>
    <row r="34" spans="1:11" ht="24" customHeight="1" x14ac:dyDescent="0.2">
      <c r="A34" s="13" t="s">
        <v>1276</v>
      </c>
      <c r="B34" s="34" t="s">
        <v>1265</v>
      </c>
      <c r="C34" s="17">
        <v>0.3</v>
      </c>
      <c r="D34" s="132">
        <v>1.35</v>
      </c>
      <c r="E34" s="119">
        <v>5</v>
      </c>
      <c r="F34" s="18" t="s">
        <v>1266</v>
      </c>
      <c r="G34" s="34" t="s">
        <v>1267</v>
      </c>
      <c r="H34" s="129" t="s">
        <v>1277</v>
      </c>
      <c r="I34" s="32" t="s">
        <v>1278</v>
      </c>
      <c r="J34" s="130" t="s">
        <v>1200</v>
      </c>
      <c r="K34" s="130"/>
    </row>
    <row r="35" spans="1:11" ht="24" customHeight="1" x14ac:dyDescent="0.2">
      <c r="A35" s="13" t="s">
        <v>1279</v>
      </c>
      <c r="B35" s="34" t="s">
        <v>1265</v>
      </c>
      <c r="C35" s="17">
        <v>0.5</v>
      </c>
      <c r="D35" s="132">
        <v>4</v>
      </c>
      <c r="E35" s="119">
        <v>12</v>
      </c>
      <c r="F35" s="18" t="s">
        <v>944</v>
      </c>
      <c r="G35" s="34" t="s">
        <v>603</v>
      </c>
      <c r="H35" s="129" t="s">
        <v>1280</v>
      </c>
      <c r="I35" s="32" t="s">
        <v>1281</v>
      </c>
      <c r="J35" s="130" t="s">
        <v>1200</v>
      </c>
      <c r="K35" s="130"/>
    </row>
    <row r="36" spans="1:11" ht="24" customHeight="1" x14ac:dyDescent="0.2">
      <c r="A36" s="13" t="s">
        <v>1282</v>
      </c>
      <c r="B36" s="34" t="s">
        <v>1265</v>
      </c>
      <c r="C36" s="17">
        <v>0.05</v>
      </c>
      <c r="D36" s="132">
        <v>0.2</v>
      </c>
      <c r="E36" s="133">
        <v>0.8</v>
      </c>
      <c r="F36" s="18" t="s">
        <v>1266</v>
      </c>
      <c r="G36" s="34" t="s">
        <v>1283</v>
      </c>
      <c r="H36" s="129" t="s">
        <v>1284</v>
      </c>
      <c r="I36" s="32" t="s">
        <v>1285</v>
      </c>
      <c r="J36" s="130" t="s">
        <v>1200</v>
      </c>
      <c r="K36" s="130"/>
    </row>
    <row r="37" spans="1:11" ht="24" customHeight="1" x14ac:dyDescent="0.2">
      <c r="A37" s="13" t="s">
        <v>1286</v>
      </c>
      <c r="B37" s="34" t="s">
        <v>1265</v>
      </c>
      <c r="C37" s="17">
        <v>2E-3</v>
      </c>
      <c r="D37" s="132">
        <v>0.01</v>
      </c>
      <c r="E37" s="133">
        <v>0.03</v>
      </c>
      <c r="F37" s="18" t="s">
        <v>1266</v>
      </c>
      <c r="G37" s="34" t="s">
        <v>1267</v>
      </c>
      <c r="H37" s="129" t="s">
        <v>1287</v>
      </c>
      <c r="I37" s="32"/>
      <c r="J37" s="130" t="s">
        <v>1200</v>
      </c>
      <c r="K37" s="130"/>
    </row>
    <row r="38" spans="1:11" ht="24" customHeight="1" x14ac:dyDescent="0.2">
      <c r="A38" s="13" t="s">
        <v>1288</v>
      </c>
      <c r="B38" s="34" t="s">
        <v>1265</v>
      </c>
      <c r="C38" s="17">
        <v>0.01</v>
      </c>
      <c r="D38" s="132">
        <v>0.03</v>
      </c>
      <c r="E38" s="133">
        <v>0.08</v>
      </c>
      <c r="F38" s="18" t="s">
        <v>1266</v>
      </c>
      <c r="G38" s="34" t="s">
        <v>1267</v>
      </c>
      <c r="H38" s="129" t="s">
        <v>1289</v>
      </c>
      <c r="I38" s="32"/>
      <c r="J38" s="130" t="s">
        <v>1200</v>
      </c>
      <c r="K38" s="130"/>
    </row>
    <row r="39" spans="1:11" ht="24" customHeight="1" x14ac:dyDescent="0.2">
      <c r="A39" s="13" t="s">
        <v>402</v>
      </c>
      <c r="B39" s="34" t="s">
        <v>1265</v>
      </c>
      <c r="C39" s="17">
        <v>1</v>
      </c>
      <c r="D39" s="131">
        <v>3</v>
      </c>
      <c r="E39" s="119">
        <v>8</v>
      </c>
      <c r="F39" s="18" t="s">
        <v>944</v>
      </c>
      <c r="G39" s="34" t="s">
        <v>603</v>
      </c>
      <c r="H39" s="129" t="s">
        <v>1290</v>
      </c>
      <c r="I39" s="32"/>
      <c r="J39" s="130" t="s">
        <v>1200</v>
      </c>
      <c r="K39" s="130"/>
    </row>
    <row r="40" spans="1:11" ht="24" customHeight="1" x14ac:dyDescent="0.2">
      <c r="A40" s="13" t="s">
        <v>576</v>
      </c>
      <c r="B40" s="34" t="s">
        <v>1265</v>
      </c>
      <c r="C40" s="17">
        <v>20</v>
      </c>
      <c r="D40" s="131">
        <v>60</v>
      </c>
      <c r="E40" s="119">
        <v>150</v>
      </c>
      <c r="F40" s="18" t="s">
        <v>944</v>
      </c>
      <c r="G40" s="34" t="s">
        <v>603</v>
      </c>
      <c r="H40" s="129" t="s">
        <v>1291</v>
      </c>
      <c r="I40" s="32" t="s">
        <v>1292</v>
      </c>
      <c r="J40" s="130" t="s">
        <v>1200</v>
      </c>
      <c r="K40" s="130"/>
    </row>
    <row r="41" spans="1:11" ht="24" customHeight="1" x14ac:dyDescent="0.2">
      <c r="A41" s="13" t="s">
        <v>434</v>
      </c>
      <c r="B41" s="34" t="s">
        <v>1293</v>
      </c>
      <c r="C41" s="17">
        <v>50</v>
      </c>
      <c r="D41" s="131">
        <v>250</v>
      </c>
      <c r="E41" s="119">
        <v>900</v>
      </c>
      <c r="F41" s="18" t="s">
        <v>944</v>
      </c>
      <c r="G41" s="34" t="s">
        <v>1267</v>
      </c>
      <c r="H41" s="129" t="s">
        <v>1294</v>
      </c>
      <c r="I41" s="32" t="s">
        <v>1295</v>
      </c>
      <c r="J41" s="130" t="s">
        <v>1200</v>
      </c>
      <c r="K41" s="130"/>
    </row>
    <row r="42" spans="1:11" ht="24" customHeight="1" x14ac:dyDescent="0.2">
      <c r="A42" s="13" t="s">
        <v>436</v>
      </c>
      <c r="B42" s="34" t="s">
        <v>1293</v>
      </c>
      <c r="C42" s="17">
        <v>20</v>
      </c>
      <c r="D42" s="131">
        <v>120</v>
      </c>
      <c r="E42" s="119">
        <v>500</v>
      </c>
      <c r="F42" s="18" t="s">
        <v>944</v>
      </c>
      <c r="G42" s="34" t="s">
        <v>1259</v>
      </c>
      <c r="H42" s="129" t="s">
        <v>1296</v>
      </c>
      <c r="I42" s="32"/>
      <c r="J42" s="130" t="s">
        <v>1200</v>
      </c>
      <c r="K42" s="130"/>
    </row>
    <row r="43" spans="1:11" ht="24" customHeight="1" x14ac:dyDescent="0.2">
      <c r="A43" s="13" t="s">
        <v>1297</v>
      </c>
      <c r="B43" s="34" t="s">
        <v>1293</v>
      </c>
      <c r="C43" s="17">
        <v>30</v>
      </c>
      <c r="D43" s="131">
        <v>150</v>
      </c>
      <c r="E43" s="119">
        <v>500</v>
      </c>
      <c r="F43" s="18" t="s">
        <v>944</v>
      </c>
      <c r="G43" s="34" t="s">
        <v>1259</v>
      </c>
      <c r="H43" s="129" t="s">
        <v>1298</v>
      </c>
      <c r="I43" s="32"/>
      <c r="J43" s="130" t="s">
        <v>1200</v>
      </c>
      <c r="K43" s="130"/>
    </row>
    <row r="44" spans="1:11" ht="24" customHeight="1" x14ac:dyDescent="0.2">
      <c r="A44" s="13" t="s">
        <v>438</v>
      </c>
      <c r="B44" s="34" t="s">
        <v>1293</v>
      </c>
      <c r="C44" s="17">
        <v>20</v>
      </c>
      <c r="D44" s="131">
        <v>60</v>
      </c>
      <c r="E44" s="119">
        <v>200</v>
      </c>
      <c r="F44" s="18" t="s">
        <v>944</v>
      </c>
      <c r="G44" s="34" t="s">
        <v>1267</v>
      </c>
      <c r="H44" s="129" t="s">
        <v>1299</v>
      </c>
      <c r="I44" s="32"/>
      <c r="J44" s="130" t="s">
        <v>1200</v>
      </c>
      <c r="K44" s="130"/>
    </row>
    <row r="45" spans="1:11" ht="24" customHeight="1" x14ac:dyDescent="0.2">
      <c r="A45" s="13" t="s">
        <v>1300</v>
      </c>
      <c r="B45" s="34" t="s">
        <v>1293</v>
      </c>
      <c r="C45" s="17">
        <v>30</v>
      </c>
      <c r="D45" s="131">
        <v>90</v>
      </c>
      <c r="E45" s="119">
        <v>250</v>
      </c>
      <c r="F45" s="18" t="s">
        <v>944</v>
      </c>
      <c r="G45" s="34" t="s">
        <v>1267</v>
      </c>
      <c r="H45" s="129" t="s">
        <v>1301</v>
      </c>
      <c r="I45" s="32"/>
      <c r="J45" s="130" t="s">
        <v>1200</v>
      </c>
      <c r="K45" s="130"/>
    </row>
    <row r="46" spans="1:11" ht="24" customHeight="1" x14ac:dyDescent="0.2">
      <c r="A46" s="13" t="s">
        <v>441</v>
      </c>
      <c r="B46" s="34" t="s">
        <v>1293</v>
      </c>
      <c r="C46" s="17">
        <v>0</v>
      </c>
      <c r="D46" s="131">
        <v>80</v>
      </c>
      <c r="E46" s="119">
        <v>300</v>
      </c>
      <c r="F46" s="18" t="s">
        <v>944</v>
      </c>
      <c r="G46" s="34" t="s">
        <v>1259</v>
      </c>
      <c r="H46" s="129" t="s">
        <v>1302</v>
      </c>
      <c r="I46" s="32"/>
      <c r="J46" s="130" t="s">
        <v>1200</v>
      </c>
      <c r="K46" s="130"/>
    </row>
    <row r="47" spans="1:11" ht="24" customHeight="1" x14ac:dyDescent="0.2">
      <c r="A47" s="13" t="s">
        <v>443</v>
      </c>
      <c r="B47" s="34" t="s">
        <v>1293</v>
      </c>
      <c r="C47" s="17">
        <v>150</v>
      </c>
      <c r="D47" s="131">
        <v>350</v>
      </c>
      <c r="E47" s="119">
        <v>800</v>
      </c>
      <c r="F47" s="18" t="s">
        <v>944</v>
      </c>
      <c r="G47" s="34" t="s">
        <v>603</v>
      </c>
      <c r="H47" s="129" t="s">
        <v>1303</v>
      </c>
      <c r="I47" s="32"/>
      <c r="J47" s="130" t="s">
        <v>1200</v>
      </c>
      <c r="K47" s="130"/>
    </row>
    <row r="48" spans="1:11" ht="24" customHeight="1" x14ac:dyDescent="0.2">
      <c r="A48" s="13" t="s">
        <v>1304</v>
      </c>
      <c r="B48" s="34" t="s">
        <v>1293</v>
      </c>
      <c r="C48" s="17">
        <v>0</v>
      </c>
      <c r="D48" s="131">
        <v>600</v>
      </c>
      <c r="E48" s="119">
        <v>2000</v>
      </c>
      <c r="F48" s="18" t="s">
        <v>944</v>
      </c>
      <c r="G48" s="34" t="s">
        <v>603</v>
      </c>
      <c r="H48" s="129" t="s">
        <v>1305</v>
      </c>
      <c r="I48" s="32"/>
      <c r="J48" s="130" t="s">
        <v>1200</v>
      </c>
      <c r="K48" s="130"/>
    </row>
    <row r="49" spans="1:11" ht="24" customHeight="1" x14ac:dyDescent="0.2">
      <c r="A49" s="13" t="s">
        <v>640</v>
      </c>
      <c r="B49" s="34" t="s">
        <v>1224</v>
      </c>
      <c r="C49" s="17">
        <v>0</v>
      </c>
      <c r="D49" s="131">
        <v>1200</v>
      </c>
      <c r="E49" s="119">
        <v>4000</v>
      </c>
      <c r="F49" s="18" t="s">
        <v>944</v>
      </c>
      <c r="G49" s="34" t="s">
        <v>1306</v>
      </c>
      <c r="H49" s="129" t="s">
        <v>1307</v>
      </c>
      <c r="I49" s="32"/>
      <c r="J49" s="130" t="s">
        <v>1200</v>
      </c>
      <c r="K49" s="130"/>
    </row>
    <row r="50" spans="1:11" ht="24" customHeight="1" x14ac:dyDescent="0.2">
      <c r="A50" s="13" t="s">
        <v>1308</v>
      </c>
      <c r="B50" s="34" t="s">
        <v>1262</v>
      </c>
      <c r="C50" s="17">
        <v>200</v>
      </c>
      <c r="D50" s="131">
        <v>1500</v>
      </c>
      <c r="E50" s="119">
        <v>6000</v>
      </c>
      <c r="F50" s="18" t="s">
        <v>944</v>
      </c>
      <c r="G50" s="34" t="s">
        <v>603</v>
      </c>
      <c r="H50" s="129"/>
      <c r="I50" s="32"/>
      <c r="J50" s="130" t="s">
        <v>1200</v>
      </c>
      <c r="K50" s="130"/>
    </row>
    <row r="51" spans="1:11" ht="24" customHeight="1" x14ac:dyDescent="0.2">
      <c r="A51" s="13" t="s">
        <v>449</v>
      </c>
      <c r="B51" s="34" t="s">
        <v>1293</v>
      </c>
      <c r="C51" s="17">
        <v>0</v>
      </c>
      <c r="D51" s="131">
        <v>400</v>
      </c>
      <c r="E51" s="119">
        <v>1500</v>
      </c>
      <c r="F51" s="18" t="s">
        <v>944</v>
      </c>
      <c r="G51" s="34" t="s">
        <v>603</v>
      </c>
      <c r="H51" s="129"/>
      <c r="I51" s="32"/>
      <c r="J51" s="130" t="s">
        <v>1200</v>
      </c>
      <c r="K51" s="130"/>
    </row>
    <row r="52" spans="1:11" ht="24" customHeight="1" x14ac:dyDescent="0.2">
      <c r="A52" s="13" t="s">
        <v>1309</v>
      </c>
      <c r="B52" s="34" t="s">
        <v>1293</v>
      </c>
      <c r="C52" s="17">
        <v>250</v>
      </c>
      <c r="D52" s="131">
        <v>700</v>
      </c>
      <c r="E52" s="119">
        <v>2000</v>
      </c>
      <c r="F52" s="18" t="s">
        <v>944</v>
      </c>
      <c r="G52" s="34" t="s">
        <v>1306</v>
      </c>
      <c r="H52" s="129" t="s">
        <v>1310</v>
      </c>
      <c r="I52" s="32" t="s">
        <v>1311</v>
      </c>
      <c r="J52" s="130" t="s">
        <v>1200</v>
      </c>
      <c r="K52" s="130"/>
    </row>
    <row r="53" spans="1:11" ht="24" customHeight="1" x14ac:dyDescent="0.2">
      <c r="A53" s="13" t="s">
        <v>655</v>
      </c>
      <c r="B53" s="34" t="s">
        <v>1312</v>
      </c>
      <c r="C53" s="17">
        <v>30000</v>
      </c>
      <c r="D53" s="131">
        <v>45000</v>
      </c>
      <c r="E53" s="119">
        <v>65000</v>
      </c>
      <c r="F53" s="18" t="s">
        <v>944</v>
      </c>
      <c r="G53" s="34" t="s">
        <v>1217</v>
      </c>
      <c r="H53" s="129" t="s">
        <v>1313</v>
      </c>
      <c r="I53" s="32"/>
      <c r="J53" s="130" t="s">
        <v>1200</v>
      </c>
      <c r="K53" s="130"/>
    </row>
    <row r="54" spans="1:11" ht="24" customHeight="1" x14ac:dyDescent="0.2">
      <c r="A54" s="13" t="s">
        <v>1314</v>
      </c>
      <c r="B54" s="34" t="s">
        <v>1312</v>
      </c>
      <c r="C54" s="17">
        <v>50000</v>
      </c>
      <c r="D54" s="131">
        <v>70000</v>
      </c>
      <c r="E54" s="119">
        <v>95000</v>
      </c>
      <c r="F54" s="18" t="s">
        <v>944</v>
      </c>
      <c r="G54" s="34" t="s">
        <v>1217</v>
      </c>
      <c r="H54" s="129" t="s">
        <v>1315</v>
      </c>
      <c r="I54" s="32"/>
      <c r="J54" s="130" t="s">
        <v>1200</v>
      </c>
      <c r="K54" s="130"/>
    </row>
    <row r="55" spans="1:11" ht="24" customHeight="1" x14ac:dyDescent="0.2">
      <c r="A55" s="13" t="s">
        <v>660</v>
      </c>
      <c r="B55" s="34" t="s">
        <v>1312</v>
      </c>
      <c r="C55" s="17">
        <v>45000</v>
      </c>
      <c r="D55" s="131">
        <v>60000</v>
      </c>
      <c r="E55" s="119">
        <v>85000</v>
      </c>
      <c r="F55" s="18" t="s">
        <v>944</v>
      </c>
      <c r="G55" s="34" t="s">
        <v>1217</v>
      </c>
      <c r="H55" s="129" t="s">
        <v>1316</v>
      </c>
      <c r="I55" s="32" t="s">
        <v>1317</v>
      </c>
      <c r="J55" s="130" t="s">
        <v>1200</v>
      </c>
      <c r="K55" s="130"/>
    </row>
    <row r="56" spans="1:11" ht="24" customHeight="1" x14ac:dyDescent="0.2">
      <c r="A56" s="13" t="s">
        <v>662</v>
      </c>
      <c r="B56" s="34" t="s">
        <v>1312</v>
      </c>
      <c r="C56" s="17">
        <v>35000</v>
      </c>
      <c r="D56" s="131">
        <v>50000</v>
      </c>
      <c r="E56" s="119">
        <v>70000</v>
      </c>
      <c r="F56" s="18" t="s">
        <v>944</v>
      </c>
      <c r="G56" s="34" t="s">
        <v>1217</v>
      </c>
      <c r="H56" s="129" t="s">
        <v>937</v>
      </c>
      <c r="I56" s="32"/>
      <c r="J56" s="130" t="s">
        <v>1200</v>
      </c>
      <c r="K56" s="130"/>
    </row>
    <row r="57" spans="1:11" ht="24" customHeight="1" x14ac:dyDescent="0.2">
      <c r="A57" s="13" t="s">
        <v>425</v>
      </c>
      <c r="B57" s="34" t="s">
        <v>1312</v>
      </c>
      <c r="C57" s="17">
        <v>0.15</v>
      </c>
      <c r="D57" s="127">
        <v>0.15</v>
      </c>
      <c r="E57" s="128">
        <v>0.15</v>
      </c>
      <c r="F57" s="18" t="s">
        <v>893</v>
      </c>
      <c r="G57" s="34" t="s">
        <v>1283</v>
      </c>
      <c r="H57" s="129" t="s">
        <v>933</v>
      </c>
      <c r="I57" s="32" t="s">
        <v>1318</v>
      </c>
      <c r="J57" s="130" t="s">
        <v>1200</v>
      </c>
      <c r="K57" s="130"/>
    </row>
    <row r="58" spans="1:11" ht="24" customHeight="1" x14ac:dyDescent="0.2">
      <c r="A58" s="13" t="s">
        <v>427</v>
      </c>
      <c r="B58" s="34" t="s">
        <v>1312</v>
      </c>
      <c r="C58" s="17">
        <v>0.03</v>
      </c>
      <c r="D58" s="127">
        <v>0.04</v>
      </c>
      <c r="E58" s="128">
        <v>0.05</v>
      </c>
      <c r="F58" s="18" t="s">
        <v>893</v>
      </c>
      <c r="G58" s="34" t="s">
        <v>1283</v>
      </c>
      <c r="H58" s="129" t="s">
        <v>935</v>
      </c>
      <c r="I58" s="32" t="s">
        <v>1319</v>
      </c>
      <c r="J58" s="130" t="s">
        <v>1200</v>
      </c>
      <c r="K58" s="130"/>
    </row>
    <row r="59" spans="1:11" ht="24" customHeight="1" x14ac:dyDescent="0.2">
      <c r="A59" s="13" t="s">
        <v>1320</v>
      </c>
      <c r="B59" s="34" t="s">
        <v>1312</v>
      </c>
      <c r="C59" s="17">
        <v>600</v>
      </c>
      <c r="D59" s="131">
        <v>900</v>
      </c>
      <c r="E59" s="119">
        <v>1400</v>
      </c>
      <c r="F59" s="18" t="s">
        <v>944</v>
      </c>
      <c r="G59" s="34" t="s">
        <v>1306</v>
      </c>
      <c r="H59" s="129" t="s">
        <v>1321</v>
      </c>
      <c r="I59" s="32"/>
      <c r="J59" s="130" t="s">
        <v>1557</v>
      </c>
      <c r="K59" s="130"/>
    </row>
    <row r="60" spans="1:11" ht="24" customHeight="1" x14ac:dyDescent="0.2">
      <c r="A60" s="13" t="s">
        <v>1322</v>
      </c>
      <c r="B60" s="34" t="s">
        <v>1312</v>
      </c>
      <c r="C60" s="17">
        <v>400</v>
      </c>
      <c r="D60" s="131">
        <v>600</v>
      </c>
      <c r="E60" s="119">
        <v>850</v>
      </c>
      <c r="F60" s="18" t="s">
        <v>944</v>
      </c>
      <c r="G60" s="34" t="s">
        <v>1217</v>
      </c>
      <c r="H60" s="129" t="s">
        <v>1323</v>
      </c>
      <c r="I60" s="32"/>
      <c r="J60" s="130" t="s">
        <v>1557</v>
      </c>
      <c r="K60" s="130"/>
    </row>
    <row r="61" spans="1:11" ht="24" customHeight="1" x14ac:dyDescent="0.2">
      <c r="A61" s="13" t="s">
        <v>1324</v>
      </c>
      <c r="B61" s="34" t="s">
        <v>1312</v>
      </c>
      <c r="C61" s="17">
        <v>600</v>
      </c>
      <c r="D61" s="131">
        <v>900</v>
      </c>
      <c r="E61" s="119">
        <v>1500</v>
      </c>
      <c r="F61" s="18" t="s">
        <v>944</v>
      </c>
      <c r="G61" s="34" t="s">
        <v>1306</v>
      </c>
      <c r="H61" s="129" t="s">
        <v>1325</v>
      </c>
      <c r="I61" s="32"/>
      <c r="J61" s="130" t="s">
        <v>1557</v>
      </c>
      <c r="K61" s="130"/>
    </row>
    <row r="62" spans="1:11" ht="24" customHeight="1" x14ac:dyDescent="0.2">
      <c r="A62" s="13" t="s">
        <v>1326</v>
      </c>
      <c r="B62" s="34" t="s">
        <v>1312</v>
      </c>
      <c r="C62" s="17">
        <v>350</v>
      </c>
      <c r="D62" s="131">
        <v>500</v>
      </c>
      <c r="E62" s="119">
        <v>750</v>
      </c>
      <c r="F62" s="18" t="s">
        <v>944</v>
      </c>
      <c r="G62" s="34" t="s">
        <v>1217</v>
      </c>
      <c r="H62" s="129"/>
      <c r="I62" s="32"/>
      <c r="J62" s="130" t="s">
        <v>1557</v>
      </c>
      <c r="K62" s="130"/>
    </row>
    <row r="63" spans="1:11" ht="24" customHeight="1" x14ac:dyDescent="0.2">
      <c r="A63" s="13" t="s">
        <v>1327</v>
      </c>
      <c r="B63" s="34" t="s">
        <v>1328</v>
      </c>
      <c r="C63" s="17">
        <v>400000</v>
      </c>
      <c r="D63" s="131">
        <v>1000000</v>
      </c>
      <c r="E63" s="119">
        <v>2000000</v>
      </c>
      <c r="F63" s="18" t="s">
        <v>944</v>
      </c>
      <c r="G63" s="34" t="s">
        <v>1217</v>
      </c>
      <c r="H63" s="129" t="s">
        <v>1329</v>
      </c>
      <c r="I63" s="32" t="s">
        <v>1330</v>
      </c>
      <c r="J63" s="130" t="s">
        <v>1200</v>
      </c>
      <c r="K63" s="130"/>
    </row>
    <row r="64" spans="1:11" ht="24" customHeight="1" x14ac:dyDescent="0.2">
      <c r="A64" s="13" t="s">
        <v>1331</v>
      </c>
      <c r="B64" s="34" t="s">
        <v>1328</v>
      </c>
      <c r="C64" s="17">
        <v>2000000</v>
      </c>
      <c r="D64" s="131">
        <v>2800000</v>
      </c>
      <c r="E64" s="119">
        <v>4000000</v>
      </c>
      <c r="F64" s="18" t="s">
        <v>944</v>
      </c>
      <c r="G64" s="34" t="s">
        <v>1217</v>
      </c>
      <c r="H64" s="129" t="s">
        <v>1332</v>
      </c>
      <c r="I64" s="32" t="s">
        <v>1333</v>
      </c>
      <c r="J64" s="130" t="s">
        <v>1200</v>
      </c>
      <c r="K64" s="130"/>
    </row>
    <row r="65" spans="1:11" ht="24" customHeight="1" x14ac:dyDescent="0.2">
      <c r="A65" s="13" t="s">
        <v>1334</v>
      </c>
      <c r="B65" s="34" t="s">
        <v>1328</v>
      </c>
      <c r="C65" s="17">
        <v>2000000</v>
      </c>
      <c r="D65" s="131">
        <v>3700000</v>
      </c>
      <c r="E65" s="119">
        <v>6000000</v>
      </c>
      <c r="F65" s="18" t="s">
        <v>1266</v>
      </c>
      <c r="G65" s="34" t="s">
        <v>1217</v>
      </c>
      <c r="H65" s="129" t="s">
        <v>1335</v>
      </c>
      <c r="I65" s="32" t="s">
        <v>1336</v>
      </c>
      <c r="J65" s="130" t="s">
        <v>1200</v>
      </c>
      <c r="K65" s="130"/>
    </row>
    <row r="66" spans="1:11" ht="24" customHeight="1" x14ac:dyDescent="0.2">
      <c r="A66" s="13" t="s">
        <v>1337</v>
      </c>
      <c r="B66" s="34" t="s">
        <v>1328</v>
      </c>
      <c r="C66" s="17">
        <v>0.1</v>
      </c>
      <c r="D66" s="127">
        <v>0.15</v>
      </c>
      <c r="E66" s="128">
        <v>0.2</v>
      </c>
      <c r="F66" s="18" t="s">
        <v>893</v>
      </c>
      <c r="G66" s="34" t="s">
        <v>1217</v>
      </c>
      <c r="H66" s="129" t="s">
        <v>1338</v>
      </c>
      <c r="I66" s="32"/>
      <c r="J66" s="130" t="s">
        <v>1200</v>
      </c>
      <c r="K66" s="130"/>
    </row>
    <row r="67" spans="1:11" ht="9.9499999999999993" customHeight="1" x14ac:dyDescent="0.2">
      <c r="A67" s="13" t="s">
        <v>1339</v>
      </c>
      <c r="B67" s="34" t="s">
        <v>1328</v>
      </c>
      <c r="C67" s="17">
        <v>12</v>
      </c>
      <c r="D67" s="131">
        <v>18</v>
      </c>
      <c r="E67" s="119">
        <v>24</v>
      </c>
      <c r="F67" s="18" t="s">
        <v>1340</v>
      </c>
      <c r="G67" s="34" t="s">
        <v>1306</v>
      </c>
      <c r="H67" s="129" t="s">
        <v>1341</v>
      </c>
      <c r="I67" s="32" t="s">
        <v>1342</v>
      </c>
      <c r="J67" s="130" t="s">
        <v>1200</v>
      </c>
      <c r="K67" s="130"/>
    </row>
    <row r="68" spans="1:11" ht="26.1" customHeight="1" x14ac:dyDescent="0.2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1:11" ht="24" customHeight="1" x14ac:dyDescent="0.2">
      <c r="A69" s="13" t="s">
        <v>1343</v>
      </c>
      <c r="B69" s="34" t="s">
        <v>1344</v>
      </c>
      <c r="C69" s="13" t="s">
        <v>1345</v>
      </c>
      <c r="D69" s="28" t="s">
        <v>1346</v>
      </c>
      <c r="E69" s="13" t="s">
        <v>1347</v>
      </c>
      <c r="F69" s="18" t="s">
        <v>1348</v>
      </c>
      <c r="G69" s="34" t="s">
        <v>603</v>
      </c>
      <c r="H69" s="129" t="s">
        <v>1349</v>
      </c>
      <c r="I69" s="32" t="s">
        <v>1558</v>
      </c>
      <c r="J69" s="130" t="s">
        <v>1220</v>
      </c>
    </row>
    <row r="70" spans="1:11" ht="24" customHeight="1" x14ac:dyDescent="0.2">
      <c r="A70" s="13" t="s">
        <v>1350</v>
      </c>
      <c r="B70" s="34" t="s">
        <v>133</v>
      </c>
      <c r="C70" s="20" t="str">
        <f>TEXT(Assumptions!$F$70,"0.00%")&amp;" / GBP"&amp;TEXT(Assumptions!$F$73,"0")</f>
        <v>0.80% / GBP150</v>
      </c>
      <c r="D70" s="28" t="str">
        <f>TEXT(Assumptions!$F$70,"0.00%")&amp;" / GBP"&amp;TEXT(Assumptions!$F$73,"0")</f>
        <v>0.80% / GBP150</v>
      </c>
      <c r="E70" s="20" t="str">
        <f>TEXT(Assumptions!$F$70,"0.00%")&amp;" / GBP"&amp;TEXT(Assumptions!$F$73,"0")</f>
        <v>0.80% / GBP150</v>
      </c>
      <c r="F70" s="18" t="s">
        <v>1351</v>
      </c>
      <c r="G70" s="34" t="s">
        <v>603</v>
      </c>
      <c r="H70" s="129" t="s">
        <v>1352</v>
      </c>
      <c r="I70" s="32" t="s">
        <v>1353</v>
      </c>
      <c r="J70" s="130" t="s">
        <v>1200</v>
      </c>
    </row>
    <row r="71" spans="1:11" ht="24" customHeight="1" x14ac:dyDescent="0.2">
      <c r="A71" s="13" t="s">
        <v>1354</v>
      </c>
      <c r="B71" s="34" t="s">
        <v>133</v>
      </c>
      <c r="C71" s="20" t="str">
        <f>TEXT(Assumptions!$F$71,"0.00%")&amp;" / GBP"&amp;TEXT(Assumptions!$F$74,"0")</f>
        <v>1.50% / GBP250</v>
      </c>
      <c r="D71" s="28" t="str">
        <f>TEXT(Assumptions!$F$71,"0.00%")&amp;" / GBP"&amp;TEXT(Assumptions!$F$74,"0")</f>
        <v>1.50% / GBP250</v>
      </c>
      <c r="E71" s="20" t="str">
        <f>TEXT(Assumptions!$F$71,"0.00%")&amp;" / GBP"&amp;TEXT(Assumptions!$F$74,"0")</f>
        <v>1.50% / GBP250</v>
      </c>
      <c r="F71" s="18" t="s">
        <v>1351</v>
      </c>
      <c r="G71" s="34" t="s">
        <v>603</v>
      </c>
      <c r="H71" s="129" t="s">
        <v>1355</v>
      </c>
      <c r="I71" s="32" t="s">
        <v>1353</v>
      </c>
      <c r="J71" s="130" t="s">
        <v>1200</v>
      </c>
    </row>
    <row r="72" spans="1:11" ht="24" customHeight="1" x14ac:dyDescent="0.2">
      <c r="A72" s="13" t="s">
        <v>1356</v>
      </c>
      <c r="B72" s="34" t="s">
        <v>133</v>
      </c>
      <c r="C72" s="20" t="str">
        <f>TEXT(Assumptions!$F$72,"0.00%")&amp;" / GBP"&amp;TEXT(Assumptions!$F$75,"0")</f>
        <v>3.00% / GBP500</v>
      </c>
      <c r="D72" s="28" t="str">
        <f>TEXT(Assumptions!$F$72,"0.00%")&amp;" / GBP"&amp;TEXT(Assumptions!$F$75,"0")</f>
        <v>3.00% / GBP500</v>
      </c>
      <c r="E72" s="20" t="str">
        <f>TEXT(Assumptions!$F$72,"0.00%")&amp;" / GBP"&amp;TEXT(Assumptions!$F$75,"0")</f>
        <v>3.00% / GBP500</v>
      </c>
      <c r="F72" s="18" t="s">
        <v>1351</v>
      </c>
      <c r="G72" s="34" t="s">
        <v>603</v>
      </c>
      <c r="H72" s="129" t="s">
        <v>1357</v>
      </c>
      <c r="I72" s="32" t="s">
        <v>1353</v>
      </c>
      <c r="J72" s="130" t="s">
        <v>1200</v>
      </c>
    </row>
    <row r="73" spans="1:11" ht="24" customHeight="1" x14ac:dyDescent="0.2">
      <c r="A73" s="13" t="s">
        <v>724</v>
      </c>
      <c r="B73" s="34" t="s">
        <v>1265</v>
      </c>
      <c r="C73" s="17">
        <v>1</v>
      </c>
      <c r="D73" s="27">
        <v>3</v>
      </c>
      <c r="E73" s="17">
        <v>8</v>
      </c>
      <c r="F73" s="18" t="s">
        <v>605</v>
      </c>
      <c r="G73" s="34" t="s">
        <v>1358</v>
      </c>
      <c r="H73" s="129" t="s">
        <v>1359</v>
      </c>
      <c r="I73" s="32" t="s">
        <v>1360</v>
      </c>
      <c r="J73" s="130" t="s">
        <v>1200</v>
      </c>
    </row>
    <row r="74" spans="1:11" ht="24" customHeight="1" x14ac:dyDescent="0.2">
      <c r="A74" s="13" t="s">
        <v>726</v>
      </c>
      <c r="B74" s="34" t="s">
        <v>1265</v>
      </c>
      <c r="C74" s="17">
        <v>3</v>
      </c>
      <c r="D74" s="27">
        <v>10</v>
      </c>
      <c r="E74" s="17">
        <v>25</v>
      </c>
      <c r="F74" s="18" t="s">
        <v>605</v>
      </c>
      <c r="G74" s="34" t="s">
        <v>1358</v>
      </c>
      <c r="H74" s="129" t="s">
        <v>1361</v>
      </c>
      <c r="I74" s="32" t="s">
        <v>1360</v>
      </c>
      <c r="J74" s="130" t="s">
        <v>1200</v>
      </c>
    </row>
    <row r="75" spans="1:11" ht="24" customHeight="1" x14ac:dyDescent="0.2">
      <c r="A75" s="13" t="s">
        <v>728</v>
      </c>
      <c r="B75" s="34" t="s">
        <v>1265</v>
      </c>
      <c r="C75" s="17">
        <v>50</v>
      </c>
      <c r="D75" s="27">
        <v>150</v>
      </c>
      <c r="E75" s="17">
        <v>400</v>
      </c>
      <c r="F75" s="18" t="s">
        <v>605</v>
      </c>
      <c r="G75" s="34" t="s">
        <v>1358</v>
      </c>
      <c r="H75" s="129" t="s">
        <v>1362</v>
      </c>
      <c r="I75" s="32" t="s">
        <v>1360</v>
      </c>
      <c r="J75" s="130" t="s">
        <v>1200</v>
      </c>
    </row>
    <row r="76" spans="1:11" ht="24" customHeight="1" x14ac:dyDescent="0.2">
      <c r="A76" s="13" t="s">
        <v>730</v>
      </c>
      <c r="B76" s="34" t="s">
        <v>1265</v>
      </c>
      <c r="C76" s="17">
        <v>1</v>
      </c>
      <c r="D76" s="27">
        <v>3</v>
      </c>
      <c r="E76" s="17">
        <v>8</v>
      </c>
      <c r="F76" s="18" t="s">
        <v>605</v>
      </c>
      <c r="G76" s="34" t="s">
        <v>603</v>
      </c>
      <c r="H76" s="129" t="s">
        <v>1363</v>
      </c>
      <c r="I76" s="32" t="s">
        <v>1360</v>
      </c>
      <c r="J76" s="130" t="s">
        <v>1200</v>
      </c>
    </row>
    <row r="77" spans="1:11" ht="24" customHeight="1" x14ac:dyDescent="0.2">
      <c r="A77" s="13" t="s">
        <v>732</v>
      </c>
      <c r="B77" s="34" t="s">
        <v>1265</v>
      </c>
      <c r="C77" s="17">
        <v>8</v>
      </c>
      <c r="D77" s="27">
        <v>20</v>
      </c>
      <c r="E77" s="17">
        <v>50</v>
      </c>
      <c r="F77" s="18" t="s">
        <v>605</v>
      </c>
      <c r="G77" s="34" t="s">
        <v>603</v>
      </c>
      <c r="H77" s="129" t="s">
        <v>1364</v>
      </c>
      <c r="I77" s="32" t="s">
        <v>1360</v>
      </c>
      <c r="J77" s="130" t="s">
        <v>1200</v>
      </c>
    </row>
    <row r="78" spans="1:11" ht="24" customHeight="1" x14ac:dyDescent="0.2">
      <c r="A78" s="13" t="s">
        <v>734</v>
      </c>
      <c r="B78" s="34" t="s">
        <v>1265</v>
      </c>
      <c r="C78" s="17">
        <v>40</v>
      </c>
      <c r="D78" s="27">
        <v>120</v>
      </c>
      <c r="E78" s="17">
        <v>250</v>
      </c>
      <c r="F78" s="18" t="s">
        <v>605</v>
      </c>
      <c r="G78" s="34" t="s">
        <v>603</v>
      </c>
      <c r="H78" s="129" t="s">
        <v>1365</v>
      </c>
      <c r="I78" s="32" t="s">
        <v>1360</v>
      </c>
      <c r="J78" s="130" t="s">
        <v>1200</v>
      </c>
    </row>
    <row r="79" spans="1:11" ht="24" customHeight="1" x14ac:dyDescent="0.2">
      <c r="A79" s="13" t="s">
        <v>742</v>
      </c>
      <c r="B79" s="34" t="s">
        <v>1366</v>
      </c>
      <c r="C79" s="13" t="s">
        <v>1367</v>
      </c>
      <c r="D79" s="28" t="s">
        <v>1368</v>
      </c>
      <c r="E79" s="13" t="s">
        <v>1369</v>
      </c>
      <c r="F79" s="18" t="s">
        <v>683</v>
      </c>
      <c r="G79" s="34" t="s">
        <v>603</v>
      </c>
      <c r="H79" s="129" t="s">
        <v>1370</v>
      </c>
      <c r="I79" s="32" t="s">
        <v>1360</v>
      </c>
      <c r="J79" s="130" t="s">
        <v>1200</v>
      </c>
    </row>
    <row r="80" spans="1:11" ht="24" customHeight="1" x14ac:dyDescent="0.2">
      <c r="A80" s="13" t="s">
        <v>744</v>
      </c>
      <c r="B80" s="34" t="s">
        <v>1366</v>
      </c>
      <c r="C80" s="13" t="s">
        <v>1371</v>
      </c>
      <c r="D80" s="28" t="s">
        <v>1372</v>
      </c>
      <c r="E80" s="13" t="s">
        <v>1373</v>
      </c>
      <c r="F80" s="18" t="s">
        <v>683</v>
      </c>
      <c r="G80" s="34" t="s">
        <v>603</v>
      </c>
      <c r="H80" s="129" t="s">
        <v>745</v>
      </c>
      <c r="I80" s="32" t="s">
        <v>1360</v>
      </c>
      <c r="J80" s="130" t="s">
        <v>1200</v>
      </c>
    </row>
    <row r="81" spans="1:10" ht="24" customHeight="1" x14ac:dyDescent="0.2">
      <c r="A81" s="13" t="s">
        <v>746</v>
      </c>
      <c r="B81" s="34" t="s">
        <v>1366</v>
      </c>
      <c r="C81" s="13" t="s">
        <v>1374</v>
      </c>
      <c r="D81" s="28" t="s">
        <v>1375</v>
      </c>
      <c r="E81" s="13" t="s">
        <v>1376</v>
      </c>
      <c r="F81" s="18" t="s">
        <v>683</v>
      </c>
      <c r="G81" s="34" t="s">
        <v>603</v>
      </c>
      <c r="H81" s="129" t="s">
        <v>747</v>
      </c>
      <c r="I81" s="32" t="s">
        <v>1360</v>
      </c>
      <c r="J81" s="130" t="s">
        <v>1200</v>
      </c>
    </row>
    <row r="82" spans="1:10" ht="24" customHeight="1" x14ac:dyDescent="0.2">
      <c r="A82" s="13" t="s">
        <v>1377</v>
      </c>
      <c r="B82" s="34" t="s">
        <v>1378</v>
      </c>
      <c r="C82" s="13" t="s">
        <v>1379</v>
      </c>
      <c r="D82" s="28" t="s">
        <v>1380</v>
      </c>
      <c r="E82" s="13" t="s">
        <v>1381</v>
      </c>
      <c r="F82" s="18" t="s">
        <v>758</v>
      </c>
      <c r="G82" s="34" t="s">
        <v>603</v>
      </c>
      <c r="H82" s="129" t="s">
        <v>759</v>
      </c>
      <c r="I82" s="32" t="s">
        <v>1360</v>
      </c>
      <c r="J82" s="130" t="s">
        <v>1200</v>
      </c>
    </row>
    <row r="83" spans="1:10" ht="24" customHeight="1" x14ac:dyDescent="0.2">
      <c r="A83" s="13" t="s">
        <v>1382</v>
      </c>
      <c r="B83" s="34" t="s">
        <v>1378</v>
      </c>
      <c r="C83" s="13" t="s">
        <v>1383</v>
      </c>
      <c r="D83" s="28" t="s">
        <v>1384</v>
      </c>
      <c r="E83" s="13" t="s">
        <v>1385</v>
      </c>
      <c r="F83" s="18" t="s">
        <v>758</v>
      </c>
      <c r="G83" s="34" t="s">
        <v>603</v>
      </c>
      <c r="H83" s="129" t="s">
        <v>761</v>
      </c>
      <c r="I83" s="32" t="s">
        <v>1360</v>
      </c>
      <c r="J83" s="130" t="s">
        <v>1200</v>
      </c>
    </row>
    <row r="84" spans="1:10" ht="24" customHeight="1" x14ac:dyDescent="0.2">
      <c r="A84" s="13" t="s">
        <v>1386</v>
      </c>
      <c r="B84" s="34" t="s">
        <v>1378</v>
      </c>
      <c r="C84" s="13" t="s">
        <v>1387</v>
      </c>
      <c r="D84" s="28" t="s">
        <v>1388</v>
      </c>
      <c r="E84" s="13" t="s">
        <v>1389</v>
      </c>
      <c r="F84" s="18" t="s">
        <v>758</v>
      </c>
      <c r="G84" s="34" t="s">
        <v>603</v>
      </c>
      <c r="H84" s="129" t="s">
        <v>1390</v>
      </c>
      <c r="I84" s="32" t="s">
        <v>1360</v>
      </c>
      <c r="J84" s="130" t="s">
        <v>1200</v>
      </c>
    </row>
    <row r="85" spans="1:10" ht="24" customHeight="1" x14ac:dyDescent="0.2">
      <c r="A85" s="13" t="s">
        <v>1391</v>
      </c>
      <c r="B85" s="34" t="s">
        <v>1265</v>
      </c>
      <c r="C85" s="13" t="s">
        <v>1392</v>
      </c>
      <c r="D85" s="28" t="s">
        <v>1393</v>
      </c>
      <c r="E85" s="13" t="s">
        <v>1394</v>
      </c>
      <c r="F85" s="18" t="s">
        <v>765</v>
      </c>
      <c r="G85" s="34" t="s">
        <v>603</v>
      </c>
      <c r="H85" s="129" t="s">
        <v>1395</v>
      </c>
      <c r="I85" s="32" t="s">
        <v>1360</v>
      </c>
      <c r="J85" s="130" t="s">
        <v>1200</v>
      </c>
    </row>
    <row r="86" spans="1:10" ht="24" customHeight="1" x14ac:dyDescent="0.2">
      <c r="A86" s="13" t="s">
        <v>1396</v>
      </c>
      <c r="B86" s="34" t="s">
        <v>1366</v>
      </c>
      <c r="C86" s="13" t="s">
        <v>1397</v>
      </c>
      <c r="D86" s="28" t="s">
        <v>1398</v>
      </c>
      <c r="E86" s="13" t="s">
        <v>1399</v>
      </c>
      <c r="F86" s="18" t="s">
        <v>753</v>
      </c>
      <c r="G86" s="34" t="s">
        <v>603</v>
      </c>
      <c r="H86" s="129" t="s">
        <v>1400</v>
      </c>
      <c r="I86" s="32" t="s">
        <v>1360</v>
      </c>
      <c r="J86" s="130" t="s">
        <v>1200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A33A3A"/>
  </sheetPr>
  <dimension ref="A1:G43"/>
  <sheetViews>
    <sheetView showGridLines="0" topLeftCell="A22" workbookViewId="0">
      <selection sqref="A1:G1"/>
    </sheetView>
  </sheetViews>
  <sheetFormatPr defaultColWidth="8.5703125" defaultRowHeight="12.75" x14ac:dyDescent="0.2"/>
  <cols>
    <col min="1" max="1" width="42" customWidth="1"/>
    <col min="2" max="3" width="18" customWidth="1"/>
    <col min="4" max="5" width="14" customWidth="1"/>
    <col min="6" max="6" width="11" customWidth="1"/>
    <col min="7" max="7" width="74" customWidth="1"/>
  </cols>
  <sheetData>
    <row r="1" spans="1:7" ht="27.95" customHeight="1" x14ac:dyDescent="0.2">
      <c r="A1" s="169" t="s">
        <v>1401</v>
      </c>
      <c r="B1" s="174"/>
      <c r="C1" s="174"/>
      <c r="D1" s="174"/>
      <c r="E1" s="174"/>
      <c r="F1" s="174"/>
      <c r="G1" s="174"/>
    </row>
    <row r="2" spans="1:7" ht="20.100000000000001" customHeight="1" x14ac:dyDescent="0.2">
      <c r="A2" s="150" t="s">
        <v>1402</v>
      </c>
      <c r="B2" s="150"/>
      <c r="C2" s="150"/>
      <c r="D2" s="150"/>
      <c r="E2" s="150"/>
      <c r="F2" s="150"/>
      <c r="G2" s="150"/>
    </row>
    <row r="3" spans="1:7" ht="9.9499999999999993" customHeight="1" x14ac:dyDescent="0.2">
      <c r="A3" s="42"/>
      <c r="B3" s="42"/>
      <c r="C3" s="42"/>
      <c r="D3" s="42"/>
      <c r="E3" s="42"/>
      <c r="F3" s="42"/>
      <c r="G3" s="42"/>
    </row>
    <row r="4" spans="1:7" ht="30" customHeight="1" x14ac:dyDescent="0.2">
      <c r="A4" s="14" t="s">
        <v>1403</v>
      </c>
      <c r="B4" s="36" t="str">
        <f>IF(COUNTIF(F7:F43,"FAIL")&gt;0,"FAIL","PASS")</f>
        <v>PASS</v>
      </c>
      <c r="C4" s="42"/>
      <c r="D4" s="42"/>
      <c r="E4" s="42"/>
      <c r="F4" s="42"/>
      <c r="G4" s="42"/>
    </row>
    <row r="5" spans="1:7" ht="12" customHeight="1" x14ac:dyDescent="0.2">
      <c r="A5" s="42"/>
      <c r="B5" s="42"/>
      <c r="C5" s="42"/>
      <c r="D5" s="42"/>
      <c r="E5" s="42"/>
      <c r="F5" s="42"/>
      <c r="G5" s="42"/>
    </row>
    <row r="6" spans="1:7" ht="21.95" customHeight="1" x14ac:dyDescent="0.2">
      <c r="A6" s="10" t="s">
        <v>1404</v>
      </c>
      <c r="B6" s="11" t="s">
        <v>1405</v>
      </c>
      <c r="C6" s="11" t="s">
        <v>1406</v>
      </c>
      <c r="D6" s="11" t="s">
        <v>1407</v>
      </c>
      <c r="E6" s="11" t="s">
        <v>1408</v>
      </c>
      <c r="F6" s="9" t="s">
        <v>1409</v>
      </c>
      <c r="G6" s="10" t="s">
        <v>1410</v>
      </c>
    </row>
    <row r="7" spans="1:7" ht="21.95" customHeight="1" x14ac:dyDescent="0.2">
      <c r="A7" s="13" t="s">
        <v>1411</v>
      </c>
      <c r="B7" s="143">
        <f>Assumptions!$C$4</f>
        <v>2</v>
      </c>
      <c r="C7" s="141">
        <f>2</f>
        <v>2</v>
      </c>
      <c r="D7" s="141">
        <f t="shared" ref="D7:D14" si="0">B7-C7</f>
        <v>0</v>
      </c>
      <c r="E7" s="141">
        <f>0</f>
        <v>0</v>
      </c>
      <c r="F7" s="35" t="str">
        <f t="shared" ref="F7:F20" si="1">IF(ABS(D7)&lt;=E7,"PASS","FAIL")</f>
        <v>PASS</v>
      </c>
      <c r="G7" s="32" t="s">
        <v>1412</v>
      </c>
    </row>
    <row r="8" spans="1:7" ht="21.95" customHeight="1" x14ac:dyDescent="0.2">
      <c r="A8" s="13" t="s">
        <v>1413</v>
      </c>
      <c r="B8" s="143">
        <f>'Launch Readiness'!$B$5</f>
        <v>2</v>
      </c>
      <c r="C8" s="141">
        <f>2</f>
        <v>2</v>
      </c>
      <c r="D8" s="141">
        <f t="shared" si="0"/>
        <v>0</v>
      </c>
      <c r="E8" s="141">
        <f>0</f>
        <v>0</v>
      </c>
      <c r="F8" s="35" t="str">
        <f t="shared" si="1"/>
        <v>PASS</v>
      </c>
      <c r="G8" s="32" t="s">
        <v>1414</v>
      </c>
    </row>
    <row r="9" spans="1:7" ht="21.95" customHeight="1" x14ac:dyDescent="0.2">
      <c r="A9" s="13" t="s">
        <v>1415</v>
      </c>
      <c r="B9" s="144">
        <f>ROUND('P&amp;L 5yr'!$C$60,0)</f>
        <v>1067521</v>
      </c>
      <c r="C9" s="144">
        <f>ROUND('P&amp;L 5yr'!$C$42+'P&amp;L 5yr'!$C$56+'P&amp;L 5yr'!$C$58,0)</f>
        <v>1067521</v>
      </c>
      <c r="D9" s="142">
        <f t="shared" si="0"/>
        <v>0</v>
      </c>
      <c r="E9" s="142">
        <f>1</f>
        <v>1</v>
      </c>
      <c r="F9" s="35" t="str">
        <f t="shared" si="1"/>
        <v>PASS</v>
      </c>
      <c r="G9" s="32" t="s">
        <v>1416</v>
      </c>
    </row>
    <row r="10" spans="1:7" ht="21.95" customHeight="1" x14ac:dyDescent="0.2">
      <c r="A10" s="13" t="s">
        <v>1417</v>
      </c>
      <c r="B10" s="144">
        <f>ROUND('P&amp;L 5yr'!$G$63,0)</f>
        <v>14434017</v>
      </c>
      <c r="C10" s="144">
        <f>ROUND(SUM('P&amp;L 5yr'!$C$62:$G$62),0)</f>
        <v>14434017</v>
      </c>
      <c r="D10" s="142">
        <f t="shared" si="0"/>
        <v>0</v>
      </c>
      <c r="E10" s="142">
        <f>1</f>
        <v>1</v>
      </c>
      <c r="F10" s="35" t="str">
        <f t="shared" si="1"/>
        <v>PASS</v>
      </c>
      <c r="G10" s="32" t="s">
        <v>1418</v>
      </c>
    </row>
    <row r="11" spans="1:7" ht="21.95" customHeight="1" x14ac:dyDescent="0.2">
      <c r="A11" s="13" t="s">
        <v>1419</v>
      </c>
      <c r="B11" s="144">
        <f>ROUND('Cash Flow Statement'!$BI$35,0)</f>
        <v>16107484</v>
      </c>
      <c r="C11" s="144">
        <f>ROUND('Cash Flow Statement'!$BI$33+'Cash Flow Statement'!$BI$34,0)</f>
        <v>16107484</v>
      </c>
      <c r="D11" s="142">
        <f t="shared" si="0"/>
        <v>0</v>
      </c>
      <c r="E11" s="142">
        <f>1</f>
        <v>1</v>
      </c>
      <c r="F11" s="35" t="str">
        <f t="shared" si="1"/>
        <v>PASS</v>
      </c>
      <c r="G11" s="32" t="s">
        <v>1420</v>
      </c>
    </row>
    <row r="12" spans="1:7" ht="21.95" customHeight="1" x14ac:dyDescent="0.2">
      <c r="A12" s="13" t="s">
        <v>1421</v>
      </c>
      <c r="B12" s="144">
        <f>ROUND(MAX('Cash Flow Statement'!$B$34:$BI$34),0)</f>
        <v>319095</v>
      </c>
      <c r="C12" s="144">
        <f>ROUND('Launch Readiness'!$E$10+'Launch Readiness'!$E$17,0)</f>
        <v>319095</v>
      </c>
      <c r="D12" s="142">
        <f t="shared" si="0"/>
        <v>0</v>
      </c>
      <c r="E12" s="142">
        <f>1</f>
        <v>1</v>
      </c>
      <c r="F12" s="35" t="str">
        <f t="shared" si="1"/>
        <v>PASS</v>
      </c>
      <c r="G12" s="32" t="s">
        <v>1422</v>
      </c>
    </row>
    <row r="13" spans="1:7" ht="21.95" customHeight="1" x14ac:dyDescent="0.2">
      <c r="A13" s="13" t="s">
        <v>1423</v>
      </c>
      <c r="B13" s="144">
        <f>ROUND('Launch Readiness'!$E$12,0)</f>
        <v>2840446</v>
      </c>
      <c r="C13" s="144">
        <f>ROUND(MAX('P&amp;L 5yr'!$C$66:$G$66)+'Launch Readiness'!$E$10,0)</f>
        <v>2840446</v>
      </c>
      <c r="D13" s="142">
        <f t="shared" si="0"/>
        <v>0</v>
      </c>
      <c r="E13" s="142">
        <f>1</f>
        <v>1</v>
      </c>
      <c r="F13" s="35" t="str">
        <f t="shared" si="1"/>
        <v>PASS</v>
      </c>
      <c r="G13" s="32" t="s">
        <v>1424</v>
      </c>
    </row>
    <row r="14" spans="1:7" ht="21.95" customHeight="1" x14ac:dyDescent="0.2">
      <c r="A14" s="13" t="s">
        <v>1425</v>
      </c>
      <c r="B14" s="144">
        <f>ROUND(SUM('Cash Flow Statement'!$B$12:INDEX('Cash Flow Statement'!$B$12:$BI$12,1,MAX(1,'Launch Readiness'!$E$11-1))),0)</f>
        <v>0</v>
      </c>
      <c r="C14" s="142">
        <f>0</f>
        <v>0</v>
      </c>
      <c r="D14" s="142">
        <f t="shared" si="0"/>
        <v>0</v>
      </c>
      <c r="E14" s="142">
        <f>1</f>
        <v>1</v>
      </c>
      <c r="F14" s="35" t="str">
        <f t="shared" si="1"/>
        <v>PASS</v>
      </c>
      <c r="G14" s="32" t="s">
        <v>1426</v>
      </c>
    </row>
    <row r="15" spans="1:7" ht="21.95" customHeight="1" x14ac:dyDescent="0.2">
      <c r="A15" s="13" t="s">
        <v>1427</v>
      </c>
      <c r="B15" s="144">
        <f>ROUND(MIN('Cash Flow Statement'!$B$33:$BI$33),0)</f>
        <v>191027</v>
      </c>
      <c r="C15" s="142">
        <f>0</f>
        <v>0</v>
      </c>
      <c r="D15" s="142">
        <f>MIN(0,B15)-C15</f>
        <v>0</v>
      </c>
      <c r="E15" s="142">
        <f>1</f>
        <v>1</v>
      </c>
      <c r="F15" s="35" t="str">
        <f t="shared" si="1"/>
        <v>PASS</v>
      </c>
      <c r="G15" s="32" t="s">
        <v>1428</v>
      </c>
    </row>
    <row r="16" spans="1:7" ht="21.95" customHeight="1" x14ac:dyDescent="0.2">
      <c r="A16" s="13" t="s">
        <v>1429</v>
      </c>
      <c r="B16" s="143">
        <f>IF(SUM(IF(ISERROR(Dashboard!$C$10),1,0),IF(ISERROR(Dashboard!$G$10),1,0),IF(ISERROR(Dashboard!$K$10),1,0),IF(ISERROR(Dashboard!$O$10),1,0),IF(ISERROR(Dashboard!$T$11),1,0),IF(ISERROR(Dashboard!$U$11),1,0),IF(ISERROR(Dashboard!$T$15),1,0),IF(ISERROR(Dashboard!$U$15),1,0),IF(ISERROR(Dashboard!$T$19),1,0),IF(ISERROR(Dashboard!$U$19),1,0))&gt;0,1,0)</f>
        <v>0</v>
      </c>
      <c r="C16" s="141">
        <f>0</f>
        <v>0</v>
      </c>
      <c r="D16" s="141">
        <f t="shared" ref="D16:D29" si="2">B16-C16</f>
        <v>0</v>
      </c>
      <c r="E16" s="141">
        <f>0</f>
        <v>0</v>
      </c>
      <c r="F16" s="35" t="str">
        <f t="shared" si="1"/>
        <v>PASS</v>
      </c>
      <c r="G16" s="32" t="s">
        <v>1430</v>
      </c>
    </row>
    <row r="17" spans="1:7" ht="21.95" customHeight="1" x14ac:dyDescent="0.2">
      <c r="A17" s="13" t="s">
        <v>1431</v>
      </c>
      <c r="B17" s="143">
        <f>ROUND(SUM('Cash Flow Statement'!$B$12:$BI$12),0)</f>
        <v>27084150</v>
      </c>
      <c r="C17" s="143">
        <f>ROUND(SUM('P&amp;L 5yr'!$C$18:$G$18)-INDEX('P&amp;L 5yr'!$C$18:$G$18,1,5)/MAX(1,INDEX('Launch Readiness'!$B$26:$F$26,1,5))*'Launch Readiness'!$B$7,0)</f>
        <v>27084157</v>
      </c>
      <c r="D17" s="141">
        <f t="shared" si="2"/>
        <v>-7</v>
      </c>
      <c r="E17" s="141">
        <f>100</f>
        <v>100</v>
      </c>
      <c r="F17" s="35" t="str">
        <f t="shared" si="1"/>
        <v>PASS</v>
      </c>
      <c r="G17" s="32" t="s">
        <v>1432</v>
      </c>
    </row>
    <row r="18" spans="1:7" ht="21.95" customHeight="1" x14ac:dyDescent="0.2">
      <c r="A18" s="13" t="s">
        <v>1433</v>
      </c>
      <c r="B18" s="143">
        <f>ROUND(SUM('P&amp;L 5yr'!$C$58:$G$58)-'Startup 6mo'!$F$44,0)</f>
        <v>102546</v>
      </c>
      <c r="C18" s="143">
        <f>ROUND('Launch Readiness'!$E$8+'Launch Readiness'!$E$15,0)</f>
        <v>102546</v>
      </c>
      <c r="D18" s="141">
        <f t="shared" si="2"/>
        <v>0</v>
      </c>
      <c r="E18" s="141">
        <f>2</f>
        <v>2</v>
      </c>
      <c r="F18" s="35" t="str">
        <f t="shared" si="1"/>
        <v>PASS</v>
      </c>
      <c r="G18" s="32" t="s">
        <v>1434</v>
      </c>
    </row>
    <row r="19" spans="1:7" ht="21.95" customHeight="1" x14ac:dyDescent="0.2">
      <c r="A19" s="13" t="s">
        <v>1435</v>
      </c>
      <c r="B19" s="143">
        <f>ROUND(CHOOSE(Assumptions!$C$4,SUM('Scenario Engine'!$B$30:$F$30),SUM('Scenario Engine'!$H$30:$L$30),SUM('Scenario Engine'!$N$30:$R$30)),0)</f>
        <v>28570208</v>
      </c>
      <c r="C19" s="143">
        <f>ROUND(SUM('P&amp;L 5yr'!$C$18:$G$18),0)</f>
        <v>28570208</v>
      </c>
      <c r="D19" s="141">
        <f t="shared" si="2"/>
        <v>0</v>
      </c>
      <c r="E19" s="141">
        <f>5</f>
        <v>5</v>
      </c>
      <c r="F19" s="35" t="str">
        <f t="shared" si="1"/>
        <v>PASS</v>
      </c>
      <c r="G19" s="32" t="s">
        <v>1559</v>
      </c>
    </row>
    <row r="20" spans="1:7" ht="21.95" customHeight="1" x14ac:dyDescent="0.2">
      <c r="A20" s="13" t="s">
        <v>1436</v>
      </c>
      <c r="B20" s="143">
        <f>ROUND(CHOOSE(Assumptions!$C$4,SUM('Scenario Engine'!$B$47:$F$47),SUM('Scenario Engine'!$H$47:$L$47),SUM('Scenario Engine'!$N$47:$R$47)),0)</f>
        <v>6207463</v>
      </c>
      <c r="C20" s="143">
        <f>ROUND(SUM('P&amp;L 5yr'!$C$29:$G$29),0)</f>
        <v>6207463</v>
      </c>
      <c r="D20" s="141">
        <f t="shared" si="2"/>
        <v>0</v>
      </c>
      <c r="E20" s="141">
        <f>5</f>
        <v>5</v>
      </c>
      <c r="F20" s="35" t="str">
        <f t="shared" si="1"/>
        <v>PASS</v>
      </c>
      <c r="G20" s="32" t="s">
        <v>1560</v>
      </c>
    </row>
    <row r="21" spans="1:7" ht="21.95" customHeight="1" x14ac:dyDescent="0.2">
      <c r="A21" s="13" t="s">
        <v>1437</v>
      </c>
      <c r="B21" s="143">
        <f>COUNT(Assumptions!$F$162:$F$167)</f>
        <v>6</v>
      </c>
      <c r="C21" s="141">
        <f>6</f>
        <v>6</v>
      </c>
      <c r="D21" s="141">
        <f t="shared" si="2"/>
        <v>0</v>
      </c>
      <c r="E21" s="141">
        <v>0</v>
      </c>
      <c r="F21" s="35" t="str">
        <f t="shared" ref="F21:F29" si="3">IF(ABS(D21)&lt;=E21,"PASS","FAIL")</f>
        <v>PASS</v>
      </c>
      <c r="G21" s="32" t="s">
        <v>1438</v>
      </c>
    </row>
    <row r="22" spans="1:7" ht="21.95" customHeight="1" x14ac:dyDescent="0.2">
      <c r="A22" s="13" t="s">
        <v>1439</v>
      </c>
      <c r="B22" s="143">
        <f>ROUND(SUM(ABS('Tier Economics'!E9-'P&amp;L 5yr'!C9),ABS('Tier Economics'!I9-'P&amp;L 5yr'!D9),ABS('Tier Economics'!M9-'P&amp;L 5yr'!E9),ABS('Tier Economics'!Q9-'P&amp;L 5yr'!F9),ABS('Tier Economics'!U9-'P&amp;L 5yr'!G9)),2)</f>
        <v>0</v>
      </c>
      <c r="C22" s="141">
        <f>0</f>
        <v>0</v>
      </c>
      <c r="D22" s="141">
        <f t="shared" si="2"/>
        <v>0</v>
      </c>
      <c r="E22" s="141">
        <v>0.01</v>
      </c>
      <c r="F22" s="35" t="str">
        <f t="shared" si="3"/>
        <v>PASS</v>
      </c>
      <c r="G22" s="32" t="s">
        <v>1440</v>
      </c>
    </row>
    <row r="23" spans="1:7" ht="21.95" customHeight="1" x14ac:dyDescent="0.2">
      <c r="A23" s="13" t="s">
        <v>1441</v>
      </c>
      <c r="B23" s="143">
        <f>ROUND(SUM(ABS('P&amp;L 5yr'!C8-IF('P&amp;L 5yr'!C7=0,0,'P&amp;L 5yr'!C9/'P&amp;L 5yr'!C7)),ABS('P&amp;L 5yr'!D8-IF('P&amp;L 5yr'!D7=0,0,'P&amp;L 5yr'!D9/'P&amp;L 5yr'!D7)),ABS('P&amp;L 5yr'!E8-IF('P&amp;L 5yr'!E7=0,0,'P&amp;L 5yr'!E9/'P&amp;L 5yr'!E7)),ABS('P&amp;L 5yr'!F8-IF('P&amp;L 5yr'!F7=0,0,'P&amp;L 5yr'!F9/'P&amp;L 5yr'!F7)),ABS('P&amp;L 5yr'!G8-IF('P&amp;L 5yr'!G7=0,0,'P&amp;L 5yr'!G9/'P&amp;L 5yr'!G7))),6)</f>
        <v>0</v>
      </c>
      <c r="C23" s="141">
        <f>0</f>
        <v>0</v>
      </c>
      <c r="D23" s="141">
        <f t="shared" si="2"/>
        <v>0</v>
      </c>
      <c r="E23" s="141">
        <v>9.9999999999999995E-7</v>
      </c>
      <c r="F23" s="35" t="str">
        <f t="shared" si="3"/>
        <v>PASS</v>
      </c>
      <c r="G23" s="32" t="s">
        <v>1442</v>
      </c>
    </row>
    <row r="24" spans="1:7" ht="21.95" customHeight="1" x14ac:dyDescent="0.2">
      <c r="A24" s="13" t="s">
        <v>1443</v>
      </c>
      <c r="B24" s="143">
        <f>ROUND(SUM('P&amp;L 5yr'!C14:G14),2)</f>
        <v>23464812.100000001</v>
      </c>
      <c r="C24" s="143">
        <f>ROUND(SUM('Tier Economics'!E12,'Tier Economics'!I12,'Tier Economics'!M12,'Tier Economics'!Q12,'Tier Economics'!U12),2)</f>
        <v>23464812.100000001</v>
      </c>
      <c r="D24" s="141">
        <f t="shared" si="2"/>
        <v>0</v>
      </c>
      <c r="E24" s="141">
        <v>1</v>
      </c>
      <c r="F24" s="35" t="str">
        <f t="shared" si="3"/>
        <v>PASS</v>
      </c>
      <c r="G24" s="32" t="s">
        <v>1444</v>
      </c>
    </row>
    <row r="25" spans="1:7" ht="21.95" customHeight="1" x14ac:dyDescent="0.2">
      <c r="A25" s="13" t="s">
        <v>1445</v>
      </c>
      <c r="B25" s="143">
        <f>ROUND(CHOOSE(Assumptions!$C$4,SUM('Scenario Engine'!B10:F10),SUM('Scenario Engine'!H10:L10),SUM('Scenario Engine'!N10:R10)),2)</f>
        <v>2172385175.25</v>
      </c>
      <c r="C25" s="143">
        <f>ROUND(SUM('P&amp;L 5yr'!C9:G9),2)</f>
        <v>2172385175.25</v>
      </c>
      <c r="D25" s="141">
        <f t="shared" si="2"/>
        <v>0</v>
      </c>
      <c r="E25" s="141">
        <v>5</v>
      </c>
      <c r="F25" s="35" t="str">
        <f t="shared" si="3"/>
        <v>PASS</v>
      </c>
      <c r="G25" s="32" t="s">
        <v>1446</v>
      </c>
    </row>
    <row r="26" spans="1:7" ht="21.95" customHeight="1" x14ac:dyDescent="0.2">
      <c r="A26" s="13" t="s">
        <v>1447</v>
      </c>
      <c r="B26" s="143">
        <f>IF(AND(Assumptions!$F$170&gt;=0,Assumptions!$F$170&lt;=0.3),0,1)</f>
        <v>0</v>
      </c>
      <c r="C26" s="141">
        <f>0</f>
        <v>0</v>
      </c>
      <c r="D26" s="141">
        <f t="shared" si="2"/>
        <v>0</v>
      </c>
      <c r="E26" s="141">
        <v>0</v>
      </c>
      <c r="F26" s="35" t="str">
        <f t="shared" si="3"/>
        <v>PASS</v>
      </c>
      <c r="G26" s="32" t="s">
        <v>1448</v>
      </c>
    </row>
    <row r="27" spans="1:7" ht="21.95" customHeight="1" x14ac:dyDescent="0.2">
      <c r="A27" s="13" t="s">
        <v>1449</v>
      </c>
      <c r="B27" s="143">
        <f>ROUND(SUM(ABS('P&amp;L 5yr'!C85),ABS('P&amp;L 5yr'!D85),ABS('P&amp;L 5yr'!E85),ABS('P&amp;L 5yr'!F85),ABS('P&amp;L 5yr'!G85)),6)</f>
        <v>0</v>
      </c>
      <c r="C27" s="141">
        <f>0</f>
        <v>0</v>
      </c>
      <c r="D27" s="141">
        <f t="shared" si="2"/>
        <v>0</v>
      </c>
      <c r="E27" s="141">
        <v>9.9999999999999995E-7</v>
      </c>
      <c r="F27" s="35" t="str">
        <f t="shared" si="3"/>
        <v>PASS</v>
      </c>
      <c r="G27" s="32" t="s">
        <v>1450</v>
      </c>
    </row>
    <row r="28" spans="1:7" ht="21.95" customHeight="1" x14ac:dyDescent="0.2">
      <c r="A28" s="13" t="s">
        <v>1451</v>
      </c>
      <c r="B28" s="143">
        <f>ROUND(SUM(ABS('Client Funds Memo'!B10),ABS('Client Funds Memo'!C10),ABS('Client Funds Memo'!D10),ABS('Client Funds Memo'!E10),ABS('Client Funds Memo'!F10)),2)</f>
        <v>0</v>
      </c>
      <c r="C28" s="141">
        <f>0</f>
        <v>0</v>
      </c>
      <c r="D28" s="141">
        <f t="shared" si="2"/>
        <v>0</v>
      </c>
      <c r="E28" s="141">
        <v>0.01</v>
      </c>
      <c r="F28" s="35" t="str">
        <f t="shared" si="3"/>
        <v>PASS</v>
      </c>
      <c r="G28" s="32" t="s">
        <v>1452</v>
      </c>
    </row>
    <row r="29" spans="1:7" ht="21.95" customHeight="1" x14ac:dyDescent="0.2">
      <c r="A29" s="13" t="s">
        <v>1453</v>
      </c>
      <c r="B29" s="143">
        <f>ROUND(SUM(ABS('Client Funds Memo'!B11),ABS('Client Funds Memo'!C11),ABS('Client Funds Memo'!D11),ABS('Client Funds Memo'!E11),ABS('Client Funds Memo'!F11))+ABS(SUM('Cash Flow Statement'!B18:BI18)),2)</f>
        <v>0</v>
      </c>
      <c r="C29" s="141">
        <f>0</f>
        <v>0</v>
      </c>
      <c r="D29" s="141">
        <f t="shared" si="2"/>
        <v>0</v>
      </c>
      <c r="E29" s="141">
        <v>0.01</v>
      </c>
      <c r="F29" s="35" t="str">
        <f t="shared" si="3"/>
        <v>PASS</v>
      </c>
      <c r="G29" s="32" t="s">
        <v>1454</v>
      </c>
    </row>
    <row r="30" spans="1:7" ht="21.95" customHeight="1" x14ac:dyDescent="0.2">
      <c r="A30" s="13" t="s">
        <v>1455</v>
      </c>
      <c r="B30" s="143">
        <f>'Launch Readiness'!$E$6</f>
        <v>12</v>
      </c>
      <c r="C30" s="141">
        <f>12</f>
        <v>12</v>
      </c>
      <c r="D30" s="141">
        <f t="shared" ref="D30:D38" si="4">B30-C30</f>
        <v>0</v>
      </c>
      <c r="E30" s="141">
        <v>0</v>
      </c>
      <c r="F30" s="35" t="str">
        <f t="shared" ref="F30:F38" si="5">IF(ABS(D30)&lt;=E30,"PASS","FAIL")</f>
        <v>PASS</v>
      </c>
      <c r="G30" s="32" t="s">
        <v>1456</v>
      </c>
    </row>
    <row r="31" spans="1:7" ht="21.95" customHeight="1" x14ac:dyDescent="0.2">
      <c r="A31" s="13" t="s">
        <v>1457</v>
      </c>
      <c r="B31" s="143">
        <f>'Launch Readiness'!$E$11</f>
        <v>13</v>
      </c>
      <c r="C31" s="141">
        <f>13</f>
        <v>13</v>
      </c>
      <c r="D31" s="141">
        <f t="shared" si="4"/>
        <v>0</v>
      </c>
      <c r="E31" s="141">
        <v>0</v>
      </c>
      <c r="F31" s="35" t="str">
        <f t="shared" si="5"/>
        <v>PASS</v>
      </c>
      <c r="G31" s="32" t="s">
        <v>1458</v>
      </c>
    </row>
    <row r="32" spans="1:7" ht="21.95" customHeight="1" x14ac:dyDescent="0.2">
      <c r="A32" s="13" t="s">
        <v>1459</v>
      </c>
      <c r="B32" s="143">
        <f>'Launch Readiness'!$E$14</f>
        <v>30</v>
      </c>
      <c r="C32" s="141">
        <f>30</f>
        <v>30</v>
      </c>
      <c r="D32" s="141">
        <f t="shared" si="4"/>
        <v>0</v>
      </c>
      <c r="E32" s="141">
        <v>0</v>
      </c>
      <c r="F32" s="35" t="str">
        <f t="shared" si="5"/>
        <v>PASS</v>
      </c>
      <c r="G32" s="32" t="s">
        <v>1460</v>
      </c>
    </row>
    <row r="33" spans="1:7" ht="21.95" customHeight="1" x14ac:dyDescent="0.2">
      <c r="A33" s="13" t="s">
        <v>1461</v>
      </c>
      <c r="B33" s="143">
        <f>'Launch Readiness'!$E$6</f>
        <v>12</v>
      </c>
      <c r="C33" s="143">
        <f>MAX('Launch Readiness'!$C$50:$C$55)+1</f>
        <v>12</v>
      </c>
      <c r="D33" s="141">
        <f t="shared" si="4"/>
        <v>0</v>
      </c>
      <c r="E33" s="141">
        <v>0</v>
      </c>
      <c r="F33" s="35" t="str">
        <f t="shared" si="5"/>
        <v>PASS</v>
      </c>
      <c r="G33" s="32" t="s">
        <v>1462</v>
      </c>
    </row>
    <row r="34" spans="1:7" ht="21.95" customHeight="1" x14ac:dyDescent="0.2">
      <c r="A34" s="13" t="s">
        <v>1463</v>
      </c>
      <c r="B34" s="143">
        <f>ROUND(SUM(ABS('Launch Readiness'!D38-MAX(0,MIN(12,12-'Launch Readiness'!B38+1))/12),ABS('Launch Readiness'!D39-MAX(0,MIN(12,12-'Launch Readiness'!B39+1))/12),ABS('Launch Readiness'!D40-MAX(0,MIN(12,12-'Launch Readiness'!B40+1))/12),ABS('Launch Readiness'!D41-MAX(0,MIN(12,12-'Launch Readiness'!B41+1))/12)),6)</f>
        <v>0</v>
      </c>
      <c r="C34" s="141">
        <f>0</f>
        <v>0</v>
      </c>
      <c r="D34" s="141">
        <f t="shared" si="4"/>
        <v>0</v>
      </c>
      <c r="E34" s="141">
        <v>9.9999999999999995E-7</v>
      </c>
      <c r="F34" s="35" t="str">
        <f t="shared" si="5"/>
        <v>PASS</v>
      </c>
      <c r="G34" s="32" t="s">
        <v>1464</v>
      </c>
    </row>
    <row r="35" spans="1:7" ht="21.95" customHeight="1" x14ac:dyDescent="0.2">
      <c r="A35" s="13" t="s">
        <v>1465</v>
      </c>
      <c r="B35" s="143">
        <f>ROUND(SUM(ABS(Assumptions!$F$70-0.008),ABS(Assumptions!$F$71-0.015),ABS(Assumptions!$F$72-0.03)),6)</f>
        <v>0</v>
      </c>
      <c r="C35" s="141">
        <f>0</f>
        <v>0</v>
      </c>
      <c r="D35" s="141">
        <f t="shared" si="4"/>
        <v>0</v>
      </c>
      <c r="E35" s="141">
        <v>9.9999999999999995E-7</v>
      </c>
      <c r="F35" s="35" t="str">
        <f t="shared" si="5"/>
        <v>PASS</v>
      </c>
      <c r="G35" s="32" t="s">
        <v>1466</v>
      </c>
    </row>
    <row r="36" spans="1:7" ht="21.95" customHeight="1" x14ac:dyDescent="0.2">
      <c r="A36" s="13" t="s">
        <v>1467</v>
      </c>
      <c r="B36" s="143">
        <f>ROUND(SUM(Dashboard!$L$58:$L$62),0)</f>
        <v>2840446</v>
      </c>
      <c r="C36" s="143">
        <f>ROUND('Launch Readiness'!$E$12,0)</f>
        <v>2840446</v>
      </c>
      <c r="D36" s="141">
        <f t="shared" si="4"/>
        <v>0</v>
      </c>
      <c r="E36" s="141">
        <v>1</v>
      </c>
      <c r="F36" s="35" t="str">
        <f t="shared" si="5"/>
        <v>PASS</v>
      </c>
      <c r="G36" s="32" t="s">
        <v>1468</v>
      </c>
    </row>
    <row r="37" spans="1:7" ht="21.95" customHeight="1" x14ac:dyDescent="0.2">
      <c r="A37" s="13" t="s">
        <v>1469</v>
      </c>
      <c r="B37" s="143">
        <f>ROUND(SUM(Dashboard!$M$58:$M$62),6)</f>
        <v>1</v>
      </c>
      <c r="C37" s="141">
        <f>1</f>
        <v>1</v>
      </c>
      <c r="D37" s="141">
        <f t="shared" si="4"/>
        <v>0</v>
      </c>
      <c r="E37" s="141">
        <v>9.9999999999999995E-7</v>
      </c>
      <c r="F37" s="35" t="str">
        <f t="shared" si="5"/>
        <v>PASS</v>
      </c>
      <c r="G37" s="32" t="s">
        <v>1470</v>
      </c>
    </row>
    <row r="38" spans="1:7" ht="21.95" customHeight="1" x14ac:dyDescent="0.2">
      <c r="A38" s="13" t="s">
        <v>1471</v>
      </c>
      <c r="B38" s="143">
        <f>ROUND('Launch Readiness'!$E$12-MAX('P&amp;L 5yr'!$C$66:$G$66)-'Launch Readiness'!$E$10,0)</f>
        <v>0</v>
      </c>
      <c r="C38" s="141">
        <f>0</f>
        <v>0</v>
      </c>
      <c r="D38" s="141">
        <f t="shared" si="4"/>
        <v>0</v>
      </c>
      <c r="E38" s="141">
        <v>1</v>
      </c>
      <c r="F38" s="35" t="str">
        <f t="shared" si="5"/>
        <v>PASS</v>
      </c>
      <c r="G38" s="32" t="s">
        <v>1472</v>
      </c>
    </row>
    <row r="39" spans="1:7" ht="21.95" customHeight="1" x14ac:dyDescent="0.2">
      <c r="A39" s="13" t="s">
        <v>1473</v>
      </c>
      <c r="B39" s="143">
        <f>ROUND(SUM('Cash Flow Statement'!B19:BI19)-SUM('Cash Flow Statement'!B14:BI14)-SUM('Cash Flow Statement'!B15:BI18),0)</f>
        <v>0</v>
      </c>
      <c r="C39" s="141">
        <v>0</v>
      </c>
      <c r="D39" s="141">
        <f>B39-C39</f>
        <v>0</v>
      </c>
      <c r="E39" s="141">
        <v>100</v>
      </c>
      <c r="F39" s="35" t="str">
        <f>IF(ABS(D39)&lt;=E39,"PASS","FAIL")</f>
        <v>PASS</v>
      </c>
      <c r="G39" s="32" t="s">
        <v>1474</v>
      </c>
    </row>
    <row r="40" spans="1:7" ht="21.95" customHeight="1" x14ac:dyDescent="0.2">
      <c r="A40" s="13" t="s">
        <v>1475</v>
      </c>
      <c r="B40" s="143">
        <f>ROUND(SUM(ABS('Launch Readiness'!B31-0),ABS('Launch Readiness'!C31-0),ABS('Launch Readiness'!D31-7),ABS('Launch Readiness'!E31-12),ABS('Launch Readiness'!F31-12)),0)</f>
        <v>0</v>
      </c>
      <c r="C40" s="141">
        <v>0</v>
      </c>
      <c r="D40" s="141">
        <f>B40-C40</f>
        <v>0</v>
      </c>
      <c r="E40" s="141">
        <v>0</v>
      </c>
      <c r="F40" s="35" t="str">
        <f>IF(ABS(D40)&lt;=E40,"PASS","FAIL")</f>
        <v>PASS</v>
      </c>
      <c r="G40" s="32" t="s">
        <v>1476</v>
      </c>
    </row>
    <row r="41" spans="1:7" ht="21.95" customHeight="1" x14ac:dyDescent="0.2">
      <c r="A41" s="13" t="s">
        <v>1477</v>
      </c>
      <c r="B41" s="143">
        <f>ROUND('Launch Readiness'!$E$12,0)</f>
        <v>2840446</v>
      </c>
      <c r="C41" s="143">
        <f>ROUND(CHOOSE(Assumptions!$C$4,MAX('Scenario Engine'!$B$60:$F$60),MAX('Scenario Engine'!$H$60:$L$60),MAX('Scenario Engine'!$N$60:$R$60))+'Launch Readiness'!$E$10,0)</f>
        <v>2840446</v>
      </c>
      <c r="D41" s="141">
        <f>B41-C41</f>
        <v>0</v>
      </c>
      <c r="E41" s="141">
        <v>1</v>
      </c>
      <c r="F41" s="35" t="str">
        <f>IF(ABS(D41)&lt;=E41,"PASS","FAIL")</f>
        <v>PASS</v>
      </c>
      <c r="G41" s="32" t="s">
        <v>1478</v>
      </c>
    </row>
    <row r="42" spans="1:7" ht="21.95" customHeight="1" x14ac:dyDescent="0.2">
      <c r="A42" s="13" t="s">
        <v>1479</v>
      </c>
      <c r="B42" s="143">
        <f>IF(AND(MIN(Assumptions!$F$176:$F$180)&gt;=0,MAX(Assumptions!$F$176:$F$180)&lt;=1,Assumptions!$F$181&gt;=0),0,1)</f>
        <v>0</v>
      </c>
      <c r="C42" s="141">
        <v>0</v>
      </c>
      <c r="D42" s="141">
        <f>B42-C42</f>
        <v>0</v>
      </c>
      <c r="E42" s="141">
        <v>0</v>
      </c>
      <c r="F42" s="35" t="str">
        <f>IF(ABS(D42)&lt;=E42,"PASS","FAIL")</f>
        <v>PASS</v>
      </c>
      <c r="G42" s="32" t="s">
        <v>1480</v>
      </c>
    </row>
    <row r="43" spans="1:7" ht="21.95" customHeight="1" x14ac:dyDescent="0.2">
      <c r="A43" s="13" t="s">
        <v>1481</v>
      </c>
      <c r="B43" s="143">
        <f>ROUND(MAX('P&amp;L 5yr'!$C$64:$G$64)+3*(INDEX('P&amp;L 5yr'!$C$42:$G$42,1,MIN(5,ROUNDUP('Launch Readiness'!$E$6/12,0)))+INDEX('P&amp;L 5yr'!$C$56:$G$56,1,MIN(5,ROUNDUP('Launch Readiness'!$E$6/12,0))))/12+'Launch Readiness'!$E$10,0)</f>
        <v>2840446</v>
      </c>
      <c r="C43" s="143">
        <f>ROUND('Launch Readiness'!$E$12,0)</f>
        <v>2840446</v>
      </c>
      <c r="D43" s="141">
        <f>B43-C43</f>
        <v>0</v>
      </c>
      <c r="E43" s="141">
        <v>1</v>
      </c>
      <c r="F43" s="35" t="str">
        <f>IF(ABS(D43)&lt;=E43,"PASS","FAIL")</f>
        <v>PASS</v>
      </c>
      <c r="G43" s="32" t="s">
        <v>1482</v>
      </c>
    </row>
  </sheetData>
  <mergeCells count="2">
    <mergeCell ref="A1:G1"/>
    <mergeCell ref="A2:G2"/>
  </mergeCells>
  <conditionalFormatting sqref="B4">
    <cfRule type="expression" dxfId="3" priority="3">
      <formula>B4="FAIL"</formula>
    </cfRule>
    <cfRule type="expression" dxfId="2" priority="4">
      <formula>B4="PASS"</formula>
    </cfRule>
  </conditionalFormatting>
  <conditionalFormatting sqref="F7:F43">
    <cfRule type="expression" dxfId="1" priority="1">
      <formula>F7="FAIL"</formula>
    </cfRule>
    <cfRule type="expression" dxfId="0" priority="2">
      <formula>F7="PASS"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A33A3A"/>
  </sheetPr>
  <dimension ref="A1:H31"/>
  <sheetViews>
    <sheetView showGridLines="0" workbookViewId="0"/>
  </sheetViews>
  <sheetFormatPr defaultRowHeight="12.75" x14ac:dyDescent="0.2"/>
  <cols>
    <col min="1" max="1" width="46" customWidth="1"/>
    <col min="2" max="6" width="16" customWidth="1"/>
    <col min="7" max="7" width="22" customWidth="1"/>
    <col min="8" max="8" width="60" customWidth="1"/>
  </cols>
  <sheetData>
    <row r="1" spans="1:8" ht="27.95" customHeight="1" x14ac:dyDescent="0.2">
      <c r="A1" s="169" t="s">
        <v>1483</v>
      </c>
      <c r="B1" s="174"/>
      <c r="C1" s="174"/>
      <c r="D1" s="174"/>
      <c r="E1" s="174"/>
      <c r="F1" s="174"/>
      <c r="G1" s="174"/>
      <c r="H1" s="174"/>
    </row>
    <row r="2" spans="1:8" ht="18" customHeight="1" x14ac:dyDescent="0.2">
      <c r="A2" s="150" t="s">
        <v>1484</v>
      </c>
      <c r="B2" s="150"/>
      <c r="C2" s="150"/>
      <c r="D2" s="150"/>
      <c r="E2" s="150"/>
      <c r="F2" s="150"/>
      <c r="G2" s="150"/>
      <c r="H2" s="150"/>
    </row>
    <row r="3" spans="1:8" ht="9.9499999999999993" customHeight="1" x14ac:dyDescent="0.2">
      <c r="A3" s="42"/>
      <c r="B3" s="42"/>
      <c r="C3" s="42"/>
      <c r="D3" s="42"/>
      <c r="E3" s="42"/>
      <c r="F3" s="42"/>
      <c r="G3" s="42"/>
      <c r="H3" s="42"/>
    </row>
    <row r="4" spans="1:8" ht="20.100000000000001" customHeight="1" x14ac:dyDescent="0.2">
      <c r="A4" s="151" t="s">
        <v>1485</v>
      </c>
      <c r="B4" s="151"/>
      <c r="C4" s="151"/>
      <c r="D4" s="151"/>
      <c r="E4" s="151"/>
      <c r="F4" s="151"/>
      <c r="G4" s="151"/>
      <c r="H4" s="151"/>
    </row>
    <row r="5" spans="1:8" ht="21.95" customHeight="1" x14ac:dyDescent="0.2">
      <c r="A5" s="10" t="s">
        <v>49</v>
      </c>
      <c r="B5" s="9" t="s">
        <v>185</v>
      </c>
      <c r="C5" s="9" t="s">
        <v>186</v>
      </c>
      <c r="D5" s="9" t="s">
        <v>187</v>
      </c>
      <c r="E5" s="9" t="s">
        <v>188</v>
      </c>
      <c r="F5" s="9" t="s">
        <v>189</v>
      </c>
      <c r="G5" s="9" t="s">
        <v>592</v>
      </c>
      <c r="H5" s="10" t="s">
        <v>1486</v>
      </c>
    </row>
    <row r="6" spans="1:8" ht="17.100000000000001" customHeight="1" x14ac:dyDescent="0.2">
      <c r="A6" s="12" t="s">
        <v>1487</v>
      </c>
      <c r="B6" s="67">
        <f>'P&amp;L 5yr'!C9</f>
        <v>92250</v>
      </c>
      <c r="C6" s="67">
        <f>'P&amp;L 5yr'!D9</f>
        <v>17002500</v>
      </c>
      <c r="D6" s="67">
        <f>'P&amp;L 5yr'!E9</f>
        <v>76031100</v>
      </c>
      <c r="E6" s="67">
        <f>'P&amp;L 5yr'!F9</f>
        <v>642338028.00000012</v>
      </c>
      <c r="F6" s="67">
        <f>'P&amp;L 5yr'!G9</f>
        <v>1436921297.2500002</v>
      </c>
      <c r="G6" s="31" t="s">
        <v>1488</v>
      </c>
      <c r="H6" s="32" t="s">
        <v>1489</v>
      </c>
    </row>
    <row r="7" spans="1:8" ht="17.100000000000001" customHeight="1" x14ac:dyDescent="0.2">
      <c r="A7" s="12" t="s">
        <v>890</v>
      </c>
      <c r="B7" s="91">
        <f>Assumptions!$F$171</f>
        <v>14</v>
      </c>
      <c r="C7" s="91">
        <f>Assumptions!$F$171</f>
        <v>14</v>
      </c>
      <c r="D7" s="91">
        <f>Assumptions!$F$171</f>
        <v>14</v>
      </c>
      <c r="E7" s="91">
        <f>Assumptions!$F$171</f>
        <v>14</v>
      </c>
      <c r="F7" s="91">
        <f>Assumptions!$F$171</f>
        <v>14</v>
      </c>
      <c r="G7" s="31" t="s">
        <v>758</v>
      </c>
      <c r="H7" s="32" t="s">
        <v>1490</v>
      </c>
    </row>
    <row r="8" spans="1:8" ht="17.100000000000001" customHeight="1" x14ac:dyDescent="0.2">
      <c r="A8" s="12" t="s">
        <v>1491</v>
      </c>
      <c r="B8" s="56">
        <f>B6/365*B7</f>
        <v>3538.3561643835619</v>
      </c>
      <c r="C8" s="56">
        <f>C6/365*C7</f>
        <v>652150.68493150687</v>
      </c>
      <c r="D8" s="56">
        <f>D6/365*D7</f>
        <v>2916261.3698630137</v>
      </c>
      <c r="E8" s="56">
        <f>E6/365*E7</f>
        <v>24637622.991780825</v>
      </c>
      <c r="F8" s="56">
        <f>F6/365*F7</f>
        <v>55114789.48356165</v>
      </c>
      <c r="G8" s="31" t="s">
        <v>851</v>
      </c>
      <c r="H8" s="32" t="s">
        <v>1492</v>
      </c>
    </row>
    <row r="9" spans="1:8" ht="17.100000000000001" customHeight="1" x14ac:dyDescent="0.2">
      <c r="A9" s="12" t="s">
        <v>1493</v>
      </c>
      <c r="B9" s="56">
        <f>-B8</f>
        <v>-3538.3561643835619</v>
      </c>
      <c r="C9" s="56">
        <f>-C8</f>
        <v>-652150.68493150687</v>
      </c>
      <c r="D9" s="56">
        <f>-D8</f>
        <v>-2916261.3698630137</v>
      </c>
      <c r="E9" s="56">
        <f>-E8</f>
        <v>-24637622.991780825</v>
      </c>
      <c r="F9" s="56">
        <f>-F8</f>
        <v>-55114789.48356165</v>
      </c>
      <c r="G9" s="31" t="s">
        <v>851</v>
      </c>
      <c r="H9" s="32" t="s">
        <v>1494</v>
      </c>
    </row>
    <row r="10" spans="1:8" ht="17.100000000000001" customHeight="1" x14ac:dyDescent="0.2">
      <c r="A10" s="24" t="s">
        <v>1495</v>
      </c>
      <c r="B10" s="92">
        <f>B8+B9</f>
        <v>0</v>
      </c>
      <c r="C10" s="92">
        <f>C8+C9</f>
        <v>0</v>
      </c>
      <c r="D10" s="92">
        <f>D8+D9</f>
        <v>0</v>
      </c>
      <c r="E10" s="92">
        <f>E8+E9</f>
        <v>0</v>
      </c>
      <c r="F10" s="92">
        <f>F8+F9</f>
        <v>0</v>
      </c>
      <c r="G10" s="145" t="s">
        <v>851</v>
      </c>
      <c r="H10" s="93" t="s">
        <v>1496</v>
      </c>
    </row>
    <row r="11" spans="1:8" ht="17.100000000000001" customHeight="1" x14ac:dyDescent="0.2">
      <c r="A11" s="12" t="s">
        <v>1497</v>
      </c>
      <c r="B11" s="67">
        <f>B8*Assumptions!$F$172</f>
        <v>0</v>
      </c>
      <c r="C11" s="67">
        <f>C8*Assumptions!$F$172</f>
        <v>0</v>
      </c>
      <c r="D11" s="67">
        <f>D8*Assumptions!$F$172</f>
        <v>0</v>
      </c>
      <c r="E11" s="67">
        <f>E8*Assumptions!$F$172</f>
        <v>0</v>
      </c>
      <c r="F11" s="67">
        <f>F8*Assumptions!$F$172</f>
        <v>0</v>
      </c>
      <c r="G11" s="31" t="s">
        <v>851</v>
      </c>
      <c r="H11" s="32" t="s">
        <v>1498</v>
      </c>
    </row>
    <row r="12" spans="1:8" ht="17.100000000000001" customHeight="1" x14ac:dyDescent="0.2">
      <c r="A12" s="12" t="s">
        <v>1499</v>
      </c>
      <c r="B12" s="67">
        <f>B8*Assumptions!$F$173</f>
        <v>0</v>
      </c>
      <c r="C12" s="67">
        <f>C8*Assumptions!$F$173</f>
        <v>0</v>
      </c>
      <c r="D12" s="67">
        <f>D8*Assumptions!$F$173</f>
        <v>0</v>
      </c>
      <c r="E12" s="67">
        <f>E8*Assumptions!$F$173</f>
        <v>0</v>
      </c>
      <c r="F12" s="67">
        <f>F8*Assumptions!$F$173</f>
        <v>0</v>
      </c>
      <c r="G12" s="31" t="s">
        <v>1488</v>
      </c>
      <c r="H12" s="32" t="s">
        <v>1500</v>
      </c>
    </row>
    <row r="13" spans="1:8" ht="9.9499999999999993" customHeight="1" x14ac:dyDescent="0.2">
      <c r="A13" s="42"/>
      <c r="B13" s="42"/>
      <c r="C13" s="42"/>
      <c r="D13" s="42"/>
      <c r="E13" s="42"/>
      <c r="F13" s="42"/>
      <c r="G13" s="42"/>
      <c r="H13" s="42"/>
    </row>
    <row r="14" spans="1:8" ht="20.100000000000001" customHeight="1" x14ac:dyDescent="0.2">
      <c r="A14" s="151" t="s">
        <v>1501</v>
      </c>
      <c r="B14" s="151"/>
      <c r="C14" s="151"/>
      <c r="D14" s="151"/>
      <c r="E14" s="151"/>
      <c r="F14" s="151"/>
      <c r="G14" s="151"/>
      <c r="H14" s="151"/>
    </row>
    <row r="15" spans="1:8" ht="15.95" customHeight="1" x14ac:dyDescent="0.2">
      <c r="A15" s="159" t="s">
        <v>1502</v>
      </c>
      <c r="B15" s="159"/>
      <c r="C15" s="159"/>
      <c r="D15" s="159"/>
      <c r="E15" s="159"/>
      <c r="F15" s="159"/>
      <c r="G15" s="159"/>
      <c r="H15" s="159"/>
    </row>
    <row r="16" spans="1:8" ht="15.95" customHeight="1" x14ac:dyDescent="0.2">
      <c r="A16" s="159" t="s">
        <v>1503</v>
      </c>
      <c r="B16" s="159"/>
      <c r="C16" s="159"/>
      <c r="D16" s="159"/>
      <c r="E16" s="159"/>
      <c r="F16" s="159"/>
      <c r="G16" s="159"/>
      <c r="H16" s="159"/>
    </row>
    <row r="17" spans="1:8" ht="15.95" customHeight="1" x14ac:dyDescent="0.2">
      <c r="A17" s="159" t="s">
        <v>1504</v>
      </c>
      <c r="B17" s="159"/>
      <c r="C17" s="159"/>
      <c r="D17" s="159"/>
      <c r="E17" s="159"/>
      <c r="F17" s="159"/>
      <c r="G17" s="159"/>
      <c r="H17" s="159"/>
    </row>
    <row r="18" spans="1:8" ht="15.95" customHeight="1" x14ac:dyDescent="0.2">
      <c r="A18" s="159" t="s">
        <v>1505</v>
      </c>
      <c r="B18" s="159"/>
      <c r="C18" s="159"/>
      <c r="D18" s="159"/>
      <c r="E18" s="159"/>
      <c r="F18" s="159"/>
      <c r="G18" s="159"/>
      <c r="H18" s="159"/>
    </row>
    <row r="19" spans="1:8" ht="9.9499999999999993" customHeight="1" x14ac:dyDescent="0.2">
      <c r="A19" s="42"/>
      <c r="B19" s="42"/>
      <c r="C19" s="42"/>
      <c r="D19" s="42"/>
      <c r="E19" s="42"/>
      <c r="F19" s="42"/>
      <c r="G19" s="42"/>
      <c r="H19" s="42"/>
    </row>
    <row r="20" spans="1:8" ht="20.100000000000001" customHeight="1" x14ac:dyDescent="0.2">
      <c r="A20" s="151" t="s">
        <v>1506</v>
      </c>
      <c r="B20" s="151"/>
      <c r="C20" s="151"/>
      <c r="D20" s="151"/>
      <c r="E20" s="151"/>
      <c r="F20" s="151"/>
      <c r="G20" s="151"/>
      <c r="H20" s="151"/>
    </row>
    <row r="21" spans="1:8" ht="17.100000000000001" customHeight="1" x14ac:dyDescent="0.2">
      <c r="A21" s="12" t="s">
        <v>1507</v>
      </c>
      <c r="B21" s="56">
        <f t="shared" ref="B21:F22" si="0">B10</f>
        <v>0</v>
      </c>
      <c r="C21" s="56">
        <f t="shared" si="0"/>
        <v>0</v>
      </c>
      <c r="D21" s="56">
        <f t="shared" si="0"/>
        <v>0</v>
      </c>
      <c r="E21" s="56">
        <f t="shared" si="0"/>
        <v>0</v>
      </c>
      <c r="F21" s="56">
        <f t="shared" si="0"/>
        <v>0</v>
      </c>
      <c r="G21" s="31" t="s">
        <v>1508</v>
      </c>
      <c r="H21" s="32" t="s">
        <v>1509</v>
      </c>
    </row>
    <row r="22" spans="1:8" ht="17.100000000000001" customHeight="1" x14ac:dyDescent="0.2">
      <c r="A22" s="12" t="s">
        <v>1510</v>
      </c>
      <c r="B22" s="56">
        <f t="shared" si="0"/>
        <v>0</v>
      </c>
      <c r="C22" s="56">
        <f t="shared" si="0"/>
        <v>0</v>
      </c>
      <c r="D22" s="56">
        <f t="shared" si="0"/>
        <v>0</v>
      </c>
      <c r="E22" s="56">
        <f t="shared" si="0"/>
        <v>0</v>
      </c>
      <c r="F22" s="56">
        <f t="shared" si="0"/>
        <v>0</v>
      </c>
      <c r="G22" s="31" t="s">
        <v>1508</v>
      </c>
      <c r="H22" s="32" t="s">
        <v>1511</v>
      </c>
    </row>
    <row r="23" spans="1:8" ht="9.9499999999999993" customHeight="1" x14ac:dyDescent="0.2"/>
    <row r="24" spans="1:8" ht="20.100000000000001" customHeight="1" x14ac:dyDescent="0.2">
      <c r="A24" s="5" t="s">
        <v>1512</v>
      </c>
      <c r="B24" s="5"/>
      <c r="C24" s="5"/>
      <c r="D24" s="5"/>
      <c r="E24" s="5"/>
      <c r="F24" s="5"/>
      <c r="G24" s="5"/>
      <c r="H24" s="5"/>
    </row>
    <row r="25" spans="1:8" ht="21.95" customHeight="1" x14ac:dyDescent="0.2">
      <c r="A25" s="10" t="s">
        <v>1513</v>
      </c>
      <c r="B25" s="9" t="s">
        <v>1514</v>
      </c>
      <c r="C25" s="9" t="s">
        <v>1515</v>
      </c>
      <c r="D25" s="9" t="s">
        <v>1410</v>
      </c>
    </row>
    <row r="26" spans="1:8" ht="21.95" customHeight="1" x14ac:dyDescent="0.2">
      <c r="A26" s="119">
        <v>14</v>
      </c>
      <c r="B26" s="97" t="str">
        <f>"£"&amp;ROUND(('P&amp;L 5yr'!$G$9/365*A26)/1000000,1)&amp;"m"</f>
        <v>£55.1m</v>
      </c>
      <c r="C26" s="97" t="str">
        <f>IF(ABS('P&amp;L 5yr'!$G$9/365*A26-$F$8)&lt;1,"—","+£"&amp;ROUND(('P&amp;L 5yr'!$G$9/365*A26-$F$8)/1000000,1)&amp;"m")</f>
        <v>—</v>
      </c>
      <c r="D26" s="20" t="str">
        <f>IF(A26=Assumptions!$F$171,"Current planning case","Sensitivity only")</f>
        <v>Current planning case</v>
      </c>
    </row>
    <row r="27" spans="1:8" ht="21.95" customHeight="1" x14ac:dyDescent="0.2">
      <c r="A27" s="119">
        <v>30</v>
      </c>
      <c r="B27" s="97" t="str">
        <f>"£"&amp;ROUND(('P&amp;L 5yr'!$G$9/365*A27)/1000000,1)&amp;"m"</f>
        <v>£118.1m</v>
      </c>
      <c r="C27" s="97" t="str">
        <f>IF(ABS('P&amp;L 5yr'!$G$9/365*A27-$F$8)&lt;1,"—","+£"&amp;ROUND(('P&amp;L 5yr'!$G$9/365*A27-$F$8)/1000000,1)&amp;"m")</f>
        <v>+£63m</v>
      </c>
      <c r="D27" s="20" t="str">
        <f>IF(A27=Assumptions!$F$171,"Current planning case","Sensitivity only")</f>
        <v>Sensitivity only</v>
      </c>
    </row>
    <row r="28" spans="1:8" ht="21.95" customHeight="1" x14ac:dyDescent="0.2">
      <c r="A28" s="119">
        <v>60</v>
      </c>
      <c r="B28" s="97" t="str">
        <f>"£"&amp;ROUND(('P&amp;L 5yr'!$G$9/365*A28)/1000000,1)&amp;"m"</f>
        <v>£236.2m</v>
      </c>
      <c r="C28" s="97" t="str">
        <f>IF(ABS('P&amp;L 5yr'!$G$9/365*A28-$F$8)&lt;1,"—","+£"&amp;ROUND(('P&amp;L 5yr'!$G$9/365*A28-$F$8)/1000000,1)&amp;"m")</f>
        <v>+£181.1m</v>
      </c>
      <c r="D28" s="20" t="str">
        <f>IF(A28=Assumptions!$F$171,"Current planning case","Sensitivity only")</f>
        <v>Sensitivity only</v>
      </c>
    </row>
    <row r="29" spans="1:8" ht="21.95" customHeight="1" x14ac:dyDescent="0.2">
      <c r="A29" s="119">
        <v>90</v>
      </c>
      <c r="B29" s="97" t="str">
        <f>"£"&amp;ROUND(('P&amp;L 5yr'!$G$9/365*A29)/1000000,1)&amp;"m"</f>
        <v>£354.3m</v>
      </c>
      <c r="C29" s="97" t="str">
        <f>IF(ABS('P&amp;L 5yr'!$G$9/365*A29-$F$8)&lt;1,"—","+£"&amp;ROUND(('P&amp;L 5yr'!$G$9/365*A29-$F$8)/1000000,1)&amp;"m")</f>
        <v>+£299.2m</v>
      </c>
      <c r="D29" s="20" t="str">
        <f>IF(A29=Assumptions!$F$171,"Current planning case","Sensitivity only")</f>
        <v>Sensitivity only</v>
      </c>
    </row>
    <row r="30" spans="1:8" ht="9.9499999999999993" customHeight="1" x14ac:dyDescent="0.2"/>
    <row r="31" spans="1:8" ht="21.95" customHeight="1" x14ac:dyDescent="0.2">
      <c r="A31" s="177" t="s">
        <v>1516</v>
      </c>
      <c r="B31" s="159"/>
      <c r="C31" s="159"/>
      <c r="D31" s="159"/>
      <c r="E31" s="159"/>
      <c r="F31" s="159"/>
      <c r="G31" s="159"/>
      <c r="H31" s="159"/>
    </row>
  </sheetData>
  <mergeCells count="10">
    <mergeCell ref="A1:H1"/>
    <mergeCell ref="A2:H2"/>
    <mergeCell ref="A4:H4"/>
    <mergeCell ref="A14:H14"/>
    <mergeCell ref="A15:H15"/>
    <mergeCell ref="A31:H31"/>
    <mergeCell ref="A16:H16"/>
    <mergeCell ref="A17:H17"/>
    <mergeCell ref="A18:H18"/>
    <mergeCell ref="A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README</vt:lpstr>
      <vt:lpstr>Dashboard</vt:lpstr>
      <vt:lpstr>Launch Readiness</vt:lpstr>
      <vt:lpstr>Tier Economics</vt:lpstr>
      <vt:lpstr>Revenue Risk Add-Ons</vt:lpstr>
      <vt:lpstr>P&amp;L 5yr</vt:lpstr>
      <vt:lpstr>Cash Flow Statement</vt:lpstr>
      <vt:lpstr>Scenario Engine</vt:lpstr>
      <vt:lpstr>Assumptions</vt:lpstr>
      <vt:lpstr>Startup 6mo</vt:lpstr>
      <vt:lpstr>Sensitivity</vt:lpstr>
      <vt:lpstr>Risk Register</vt:lpstr>
      <vt:lpstr>Driver Tables</vt:lpstr>
      <vt:lpstr>Model Checks</vt:lpstr>
      <vt:lpstr>Client Funds Memo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Beckman, Conrad</cp:lastModifiedBy>
  <dcterms:modified xsi:type="dcterms:W3CDTF">2026-08-12T13:46:21Z</dcterms:modified>
</cp:coreProperties>
</file>