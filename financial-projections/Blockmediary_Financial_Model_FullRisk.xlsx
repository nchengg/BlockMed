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wbec\BlockMed\Financial Projections\"/>
    </mc:Choice>
  </mc:AlternateContent>
  <xr:revisionPtr revIDLastSave="0" documentId="13_ncr:1_{E6A9FC3E-BD87-4831-BD19-CCEF1B8E6C08}" xr6:coauthVersionLast="47" xr6:coauthVersionMax="47" xr10:uidLastSave="{00000000-0000-0000-0000-000000000000}"/>
  <bookViews>
    <workbookView xWindow="-110" yWindow="-110" windowWidth="25820" windowHeight="15500" tabRatio="813" activeTab="3" xr2:uid="{00000000-000D-0000-FFFF-FFFF00000000}"/>
  </bookViews>
  <sheets>
    <sheet name="README" sheetId="1" r:id="rId1"/>
    <sheet name="Dashboard" sheetId="2" r:id="rId2"/>
    <sheet name="Assumptions" sheetId="3" r:id="rId3"/>
    <sheet name="Startup_6mo" sheetId="4" r:id="rId4"/>
    <sheet name="Cash_Flow_Statement" sheetId="5" r:id="rId5"/>
    <sheet name="P&amp;L_5yr" sheetId="6" r:id="rId6"/>
    <sheet name="Tier_Economics" sheetId="7" r:id="rId7"/>
    <sheet name="Driver_Tables" sheetId="8" r:id="rId8"/>
    <sheet name="Sensitivity" sheetId="9" r:id="rId9"/>
    <sheet name="Risk_Register" sheetId="10" r:id="rId10"/>
    <sheet name="Revenue_Risk_AddOns" sheetId="11" r:id="rId11"/>
    <sheet name="Scenario_Low_Tiers" sheetId="12" state="hidden" r:id="rId12"/>
    <sheet name="Scenario_Low_AddOns" sheetId="13" state="hidden" r:id="rId13"/>
    <sheet name="Scenario_Low_PL" sheetId="14" state="hidden" r:id="rId14"/>
    <sheet name="Scenario_Base_Tiers" sheetId="15" state="hidden" r:id="rId15"/>
    <sheet name="Scenario_Base_AddOns" sheetId="16" state="hidden" r:id="rId16"/>
    <sheet name="Scenario_Base_PL" sheetId="17" state="hidden" r:id="rId17"/>
    <sheet name="Scenario_High_Tiers" sheetId="18" state="hidden" r:id="rId18"/>
    <sheet name="Scenario_High_AddOns" sheetId="19" state="hidden" r:id="rId19"/>
    <sheet name="Scenario_High_PL" sheetId="20" state="hidden" r:id="rId2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20" l="1"/>
  <c r="F69" i="20"/>
  <c r="E69" i="20"/>
  <c r="D69" i="20"/>
  <c r="C69" i="20"/>
  <c r="G58" i="20"/>
  <c r="F58" i="20"/>
  <c r="E58" i="20"/>
  <c r="D58" i="20"/>
  <c r="G55" i="20"/>
  <c r="F55" i="20"/>
  <c r="E55" i="20"/>
  <c r="D55" i="20"/>
  <c r="C55" i="20"/>
  <c r="G53" i="20"/>
  <c r="F53" i="20"/>
  <c r="E53" i="20"/>
  <c r="D53" i="20"/>
  <c r="C53" i="20"/>
  <c r="G51" i="20"/>
  <c r="F51" i="20"/>
  <c r="E51" i="20"/>
  <c r="D51" i="20"/>
  <c r="C51" i="20"/>
  <c r="G50" i="20"/>
  <c r="F50" i="20"/>
  <c r="E50" i="20"/>
  <c r="D50" i="20"/>
  <c r="C50" i="20"/>
  <c r="G46" i="20"/>
  <c r="F46" i="20"/>
  <c r="E46" i="20"/>
  <c r="D46" i="20"/>
  <c r="C46" i="20"/>
  <c r="G45" i="20"/>
  <c r="F45" i="20"/>
  <c r="E45" i="20"/>
  <c r="D45" i="20"/>
  <c r="C45" i="20"/>
  <c r="G44" i="20"/>
  <c r="F44" i="20"/>
  <c r="E44" i="20"/>
  <c r="D44" i="20"/>
  <c r="C44" i="20"/>
  <c r="G36" i="20"/>
  <c r="G49" i="20" s="1"/>
  <c r="F36" i="20"/>
  <c r="F49" i="20" s="1"/>
  <c r="E36" i="20"/>
  <c r="E49" i="20" s="1"/>
  <c r="D36" i="20"/>
  <c r="D49" i="20" s="1"/>
  <c r="C36" i="20"/>
  <c r="C49" i="20" s="1"/>
  <c r="G35" i="20"/>
  <c r="F35" i="20"/>
  <c r="E35" i="20"/>
  <c r="D35" i="20"/>
  <c r="C35" i="20"/>
  <c r="G34" i="20"/>
  <c r="F34" i="20"/>
  <c r="E34" i="20"/>
  <c r="D34" i="20"/>
  <c r="C34" i="20"/>
  <c r="H33" i="20"/>
  <c r="G33" i="20"/>
  <c r="F33" i="20"/>
  <c r="E33" i="20"/>
  <c r="D33" i="20"/>
  <c r="C33" i="20"/>
  <c r="C8" i="20"/>
  <c r="B8" i="18" s="1"/>
  <c r="G7" i="20"/>
  <c r="F7" i="20"/>
  <c r="E7" i="20"/>
  <c r="E25" i="20" s="1"/>
  <c r="D7" i="20"/>
  <c r="D25" i="20" s="1"/>
  <c r="C7" i="20"/>
  <c r="C11" i="20" s="1"/>
  <c r="G40" i="19"/>
  <c r="F40" i="19"/>
  <c r="E40" i="19"/>
  <c r="D40" i="19"/>
  <c r="C40" i="19"/>
  <c r="B40" i="19"/>
  <c r="G39" i="19"/>
  <c r="F39" i="19"/>
  <c r="E39" i="19"/>
  <c r="D39" i="19"/>
  <c r="C39" i="19"/>
  <c r="B39" i="19"/>
  <c r="G35" i="19"/>
  <c r="F35" i="19"/>
  <c r="E35" i="19"/>
  <c r="D35" i="19"/>
  <c r="C35" i="19"/>
  <c r="B35" i="19"/>
  <c r="G34" i="19"/>
  <c r="F34" i="19"/>
  <c r="E34" i="19"/>
  <c r="D34" i="19"/>
  <c r="C34" i="19"/>
  <c r="B34" i="19"/>
  <c r="G33" i="19"/>
  <c r="F33" i="19"/>
  <c r="E33" i="19"/>
  <c r="D33" i="19"/>
  <c r="C33" i="19"/>
  <c r="B33" i="19"/>
  <c r="G32" i="19"/>
  <c r="F32" i="19"/>
  <c r="E32" i="19"/>
  <c r="D32" i="19"/>
  <c r="C32" i="19"/>
  <c r="B32" i="19"/>
  <c r="G31" i="19"/>
  <c r="F31" i="19"/>
  <c r="E31" i="19"/>
  <c r="D31" i="19"/>
  <c r="C31" i="19"/>
  <c r="B31" i="19"/>
  <c r="G30" i="19"/>
  <c r="F30" i="19"/>
  <c r="E30" i="19"/>
  <c r="D30" i="19"/>
  <c r="C30" i="19"/>
  <c r="B30" i="19"/>
  <c r="G29" i="19"/>
  <c r="F29" i="19"/>
  <c r="E29" i="19"/>
  <c r="D29" i="19"/>
  <c r="C29" i="19"/>
  <c r="B29" i="19"/>
  <c r="G28" i="19"/>
  <c r="F28" i="19"/>
  <c r="E28" i="19"/>
  <c r="D28" i="19"/>
  <c r="C28" i="19"/>
  <c r="B28" i="19"/>
  <c r="G27" i="19"/>
  <c r="F27" i="19"/>
  <c r="E27" i="19"/>
  <c r="D27" i="19"/>
  <c r="C27" i="19"/>
  <c r="B27" i="19"/>
  <c r="F12" i="19"/>
  <c r="E12" i="19"/>
  <c r="D12" i="19"/>
  <c r="C12" i="19"/>
  <c r="B12" i="19"/>
  <c r="F11" i="19"/>
  <c r="E11" i="19"/>
  <c r="D11" i="19"/>
  <c r="C11" i="19"/>
  <c r="B11" i="19"/>
  <c r="G5" i="19"/>
  <c r="F5" i="19"/>
  <c r="E5" i="19"/>
  <c r="D5" i="19"/>
  <c r="C5" i="19"/>
  <c r="T28" i="18"/>
  <c r="S28" i="18"/>
  <c r="R28" i="18"/>
  <c r="P28" i="18"/>
  <c r="O28" i="18"/>
  <c r="N28" i="18"/>
  <c r="L28" i="18"/>
  <c r="K28" i="18"/>
  <c r="J28" i="18"/>
  <c r="H28" i="18"/>
  <c r="G28" i="18"/>
  <c r="F28" i="18"/>
  <c r="D28" i="18"/>
  <c r="C28" i="18"/>
  <c r="B28" i="18"/>
  <c r="T17" i="18"/>
  <c r="S17" i="18"/>
  <c r="R17" i="18"/>
  <c r="P17" i="18"/>
  <c r="O17" i="18"/>
  <c r="N17" i="18"/>
  <c r="L17" i="18"/>
  <c r="K17" i="18"/>
  <c r="J17" i="18"/>
  <c r="H17" i="18"/>
  <c r="G17" i="18"/>
  <c r="F17" i="18"/>
  <c r="D17" i="18"/>
  <c r="C17" i="18"/>
  <c r="B17" i="18"/>
  <c r="T15" i="18"/>
  <c r="S15" i="18"/>
  <c r="R15" i="18"/>
  <c r="P15" i="18"/>
  <c r="O15" i="18"/>
  <c r="N15" i="18"/>
  <c r="L15" i="18"/>
  <c r="K15" i="18"/>
  <c r="J15" i="18"/>
  <c r="H15" i="18"/>
  <c r="G15" i="18"/>
  <c r="F15" i="18"/>
  <c r="D15" i="18"/>
  <c r="C15" i="18"/>
  <c r="B15" i="18"/>
  <c r="T13" i="18"/>
  <c r="S13" i="18"/>
  <c r="R13" i="18"/>
  <c r="P13" i="18"/>
  <c r="O13" i="18"/>
  <c r="N13" i="18"/>
  <c r="L13" i="18"/>
  <c r="K13" i="18"/>
  <c r="J13" i="18"/>
  <c r="H13" i="18"/>
  <c r="G13" i="18"/>
  <c r="F13" i="18"/>
  <c r="D13" i="18"/>
  <c r="C13" i="18"/>
  <c r="B13" i="18"/>
  <c r="T11" i="18"/>
  <c r="S11" i="18"/>
  <c r="R11" i="18"/>
  <c r="P11" i="18"/>
  <c r="O11" i="18"/>
  <c r="N11" i="18"/>
  <c r="L11" i="18"/>
  <c r="K11" i="18"/>
  <c r="J11" i="18"/>
  <c r="H11" i="18"/>
  <c r="G11" i="18"/>
  <c r="F11" i="18"/>
  <c r="D11" i="18"/>
  <c r="C11" i="18"/>
  <c r="B11" i="18"/>
  <c r="T10" i="18"/>
  <c r="S10" i="18"/>
  <c r="R10" i="18"/>
  <c r="P10" i="18"/>
  <c r="O10" i="18"/>
  <c r="N10" i="18"/>
  <c r="L10" i="18"/>
  <c r="K10" i="18"/>
  <c r="J10" i="18"/>
  <c r="H10" i="18"/>
  <c r="G10" i="18"/>
  <c r="F10" i="18"/>
  <c r="D10" i="18"/>
  <c r="C10" i="18"/>
  <c r="B10" i="18"/>
  <c r="T6" i="18"/>
  <c r="S6" i="18"/>
  <c r="R6" i="18"/>
  <c r="P6" i="18"/>
  <c r="O6" i="18"/>
  <c r="N6" i="18"/>
  <c r="L6" i="18"/>
  <c r="K6" i="18"/>
  <c r="J6" i="18"/>
  <c r="H6" i="18"/>
  <c r="G6" i="18"/>
  <c r="F6" i="18"/>
  <c r="D6" i="18"/>
  <c r="C6" i="18"/>
  <c r="B6" i="18"/>
  <c r="T4" i="18"/>
  <c r="T27" i="18" s="1"/>
  <c r="S4" i="18"/>
  <c r="S27" i="18" s="1"/>
  <c r="R4" i="18"/>
  <c r="R27" i="18" s="1"/>
  <c r="P4" i="18"/>
  <c r="P27" i="18" s="1"/>
  <c r="O4" i="18"/>
  <c r="O27" i="18" s="1"/>
  <c r="N4" i="18"/>
  <c r="N27" i="18" s="1"/>
  <c r="L4" i="18"/>
  <c r="L27" i="18" s="1"/>
  <c r="K4" i="18"/>
  <c r="J4" i="18"/>
  <c r="J27" i="18" s="1"/>
  <c r="H4" i="18"/>
  <c r="G4" i="18"/>
  <c r="G27" i="18" s="1"/>
  <c r="F4" i="18"/>
  <c r="D4" i="18"/>
  <c r="C4" i="18"/>
  <c r="B4" i="18"/>
  <c r="G69" i="17"/>
  <c r="F69" i="17"/>
  <c r="E69" i="17"/>
  <c r="D69" i="17"/>
  <c r="C69" i="17"/>
  <c r="G58" i="17"/>
  <c r="F58" i="17"/>
  <c r="E58" i="17"/>
  <c r="D58" i="17"/>
  <c r="G55" i="17"/>
  <c r="F55" i="17"/>
  <c r="E55" i="17"/>
  <c r="D55" i="17"/>
  <c r="C55" i="17"/>
  <c r="G53" i="17"/>
  <c r="F53" i="17"/>
  <c r="E53" i="17"/>
  <c r="D53" i="17"/>
  <c r="C53" i="17"/>
  <c r="G51" i="17"/>
  <c r="F51" i="17"/>
  <c r="E51" i="17"/>
  <c r="D51" i="17"/>
  <c r="C51" i="17"/>
  <c r="G50" i="17"/>
  <c r="F50" i="17"/>
  <c r="E50" i="17"/>
  <c r="D50" i="17"/>
  <c r="C50" i="17"/>
  <c r="G46" i="17"/>
  <c r="F46" i="17"/>
  <c r="E46" i="17"/>
  <c r="D46" i="17"/>
  <c r="C46" i="17"/>
  <c r="G45" i="17"/>
  <c r="F45" i="17"/>
  <c r="E45" i="17"/>
  <c r="D45" i="17"/>
  <c r="C45" i="17"/>
  <c r="G44" i="17"/>
  <c r="F44" i="17"/>
  <c r="E44" i="17"/>
  <c r="D44" i="17"/>
  <c r="C44" i="17"/>
  <c r="G36" i="17"/>
  <c r="G49" i="17" s="1"/>
  <c r="F36" i="17"/>
  <c r="F49" i="17" s="1"/>
  <c r="E36" i="17"/>
  <c r="E49" i="17" s="1"/>
  <c r="D36" i="17"/>
  <c r="D49" i="17" s="1"/>
  <c r="C36" i="17"/>
  <c r="C49" i="17" s="1"/>
  <c r="G35" i="17"/>
  <c r="F35" i="17"/>
  <c r="E35" i="17"/>
  <c r="D35" i="17"/>
  <c r="C35" i="17"/>
  <c r="G34" i="17"/>
  <c r="F34" i="17"/>
  <c r="E34" i="17"/>
  <c r="D34" i="17"/>
  <c r="C34" i="17"/>
  <c r="H33" i="17"/>
  <c r="G33" i="17"/>
  <c r="F33" i="17"/>
  <c r="E33" i="17"/>
  <c r="D33" i="17"/>
  <c r="C33" i="17"/>
  <c r="C8" i="17"/>
  <c r="B8" i="15" s="1"/>
  <c r="G7" i="17"/>
  <c r="G26" i="17" s="1"/>
  <c r="F7" i="17"/>
  <c r="G13" i="16" s="1"/>
  <c r="E7" i="17"/>
  <c r="D13" i="16" s="1"/>
  <c r="D7" i="17"/>
  <c r="C7" i="17"/>
  <c r="G40" i="16"/>
  <c r="F40" i="16"/>
  <c r="E40" i="16"/>
  <c r="D40" i="16"/>
  <c r="C40" i="16"/>
  <c r="B40" i="16"/>
  <c r="G39" i="16"/>
  <c r="F39" i="16"/>
  <c r="E39" i="16"/>
  <c r="D39" i="16"/>
  <c r="C39" i="16"/>
  <c r="B39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F12" i="16"/>
  <c r="E12" i="16"/>
  <c r="D12" i="16"/>
  <c r="C12" i="16"/>
  <c r="B12" i="16"/>
  <c r="F11" i="16"/>
  <c r="E11" i="16"/>
  <c r="D11" i="16"/>
  <c r="C11" i="16"/>
  <c r="B11" i="16"/>
  <c r="G5" i="16"/>
  <c r="F5" i="16"/>
  <c r="E5" i="16"/>
  <c r="D5" i="16"/>
  <c r="C5" i="16"/>
  <c r="T28" i="15"/>
  <c r="S28" i="15"/>
  <c r="R28" i="15"/>
  <c r="P28" i="15"/>
  <c r="O28" i="15"/>
  <c r="N28" i="15"/>
  <c r="L28" i="15"/>
  <c r="K28" i="15"/>
  <c r="J28" i="15"/>
  <c r="H28" i="15"/>
  <c r="G28" i="15"/>
  <c r="F28" i="15"/>
  <c r="D28" i="15"/>
  <c r="C28" i="15"/>
  <c r="B28" i="15"/>
  <c r="T17" i="15"/>
  <c r="S17" i="15"/>
  <c r="R17" i="15"/>
  <c r="P17" i="15"/>
  <c r="O17" i="15"/>
  <c r="N17" i="15"/>
  <c r="L17" i="15"/>
  <c r="K17" i="15"/>
  <c r="J17" i="15"/>
  <c r="H17" i="15"/>
  <c r="G17" i="15"/>
  <c r="F17" i="15"/>
  <c r="D17" i="15"/>
  <c r="C17" i="15"/>
  <c r="B17" i="15"/>
  <c r="T15" i="15"/>
  <c r="S15" i="15"/>
  <c r="R15" i="15"/>
  <c r="P15" i="15"/>
  <c r="O15" i="15"/>
  <c r="N15" i="15"/>
  <c r="L15" i="15"/>
  <c r="K15" i="15"/>
  <c r="J15" i="15"/>
  <c r="H15" i="15"/>
  <c r="G15" i="15"/>
  <c r="F15" i="15"/>
  <c r="D15" i="15"/>
  <c r="C15" i="15"/>
  <c r="B15" i="15"/>
  <c r="T13" i="15"/>
  <c r="S13" i="15"/>
  <c r="R13" i="15"/>
  <c r="P13" i="15"/>
  <c r="O13" i="15"/>
  <c r="N13" i="15"/>
  <c r="L13" i="15"/>
  <c r="K13" i="15"/>
  <c r="J13" i="15"/>
  <c r="H13" i="15"/>
  <c r="G13" i="15"/>
  <c r="F13" i="15"/>
  <c r="D13" i="15"/>
  <c r="C13" i="15"/>
  <c r="B13" i="15"/>
  <c r="T11" i="15"/>
  <c r="S11" i="15"/>
  <c r="R11" i="15"/>
  <c r="P11" i="15"/>
  <c r="O11" i="15"/>
  <c r="N11" i="15"/>
  <c r="L11" i="15"/>
  <c r="K11" i="15"/>
  <c r="J11" i="15"/>
  <c r="H11" i="15"/>
  <c r="G11" i="15"/>
  <c r="F11" i="15"/>
  <c r="D11" i="15"/>
  <c r="C11" i="15"/>
  <c r="B11" i="15"/>
  <c r="T10" i="15"/>
  <c r="S10" i="15"/>
  <c r="R10" i="15"/>
  <c r="P10" i="15"/>
  <c r="O10" i="15"/>
  <c r="N10" i="15"/>
  <c r="L10" i="15"/>
  <c r="K10" i="15"/>
  <c r="J10" i="15"/>
  <c r="H10" i="15"/>
  <c r="G10" i="15"/>
  <c r="F10" i="15"/>
  <c r="D10" i="15"/>
  <c r="C10" i="15"/>
  <c r="B10" i="15"/>
  <c r="T6" i="15"/>
  <c r="S6" i="15"/>
  <c r="R6" i="15"/>
  <c r="P6" i="15"/>
  <c r="O6" i="15"/>
  <c r="N6" i="15"/>
  <c r="L6" i="15"/>
  <c r="K6" i="15"/>
  <c r="J6" i="15"/>
  <c r="H6" i="15"/>
  <c r="G6" i="15"/>
  <c r="F6" i="15"/>
  <c r="D6" i="15"/>
  <c r="C6" i="15"/>
  <c r="B6" i="15"/>
  <c r="T4" i="15"/>
  <c r="T27" i="15" s="1"/>
  <c r="S4" i="15"/>
  <c r="S27" i="15" s="1"/>
  <c r="R4" i="15"/>
  <c r="R27" i="15" s="1"/>
  <c r="P4" i="15"/>
  <c r="P27" i="15" s="1"/>
  <c r="O4" i="15"/>
  <c r="O27" i="15" s="1"/>
  <c r="N4" i="15"/>
  <c r="L4" i="15"/>
  <c r="L27" i="15" s="1"/>
  <c r="K4" i="15"/>
  <c r="K27" i="15" s="1"/>
  <c r="J4" i="15"/>
  <c r="J27" i="15" s="1"/>
  <c r="H4" i="15"/>
  <c r="G4" i="15"/>
  <c r="G27" i="15" s="1"/>
  <c r="F4" i="15"/>
  <c r="F27" i="15" s="1"/>
  <c r="D4" i="15"/>
  <c r="D27" i="15" s="1"/>
  <c r="C4" i="15"/>
  <c r="C27" i="15" s="1"/>
  <c r="B4" i="15"/>
  <c r="B27" i="15" s="1"/>
  <c r="G69" i="14"/>
  <c r="F69" i="14"/>
  <c r="E69" i="14"/>
  <c r="D69" i="14"/>
  <c r="C69" i="14"/>
  <c r="G58" i="14"/>
  <c r="F58" i="14"/>
  <c r="E58" i="14"/>
  <c r="D58" i="14"/>
  <c r="G55" i="14"/>
  <c r="F55" i="14"/>
  <c r="E55" i="14"/>
  <c r="D55" i="14"/>
  <c r="C55" i="14"/>
  <c r="G53" i="14"/>
  <c r="F53" i="14"/>
  <c r="E53" i="14"/>
  <c r="D53" i="14"/>
  <c r="C53" i="14"/>
  <c r="G51" i="14"/>
  <c r="F51" i="14"/>
  <c r="E51" i="14"/>
  <c r="D51" i="14"/>
  <c r="C51" i="14"/>
  <c r="G50" i="14"/>
  <c r="F50" i="14"/>
  <c r="E50" i="14"/>
  <c r="D50" i="14"/>
  <c r="C50" i="14"/>
  <c r="G46" i="14"/>
  <c r="F46" i="14"/>
  <c r="E46" i="14"/>
  <c r="D46" i="14"/>
  <c r="C46" i="14"/>
  <c r="G45" i="14"/>
  <c r="F45" i="14"/>
  <c r="E45" i="14"/>
  <c r="D45" i="14"/>
  <c r="C45" i="14"/>
  <c r="G44" i="14"/>
  <c r="F44" i="14"/>
  <c r="E44" i="14"/>
  <c r="D44" i="14"/>
  <c r="C44" i="14"/>
  <c r="G36" i="14"/>
  <c r="G49" i="14" s="1"/>
  <c r="F36" i="14"/>
  <c r="F49" i="14" s="1"/>
  <c r="E36" i="14"/>
  <c r="E49" i="14" s="1"/>
  <c r="D36" i="14"/>
  <c r="D49" i="14" s="1"/>
  <c r="C36" i="14"/>
  <c r="C49" i="14" s="1"/>
  <c r="G35" i="14"/>
  <c r="F35" i="14"/>
  <c r="E35" i="14"/>
  <c r="D35" i="14"/>
  <c r="C35" i="14"/>
  <c r="G34" i="14"/>
  <c r="F34" i="14"/>
  <c r="E34" i="14"/>
  <c r="D34" i="14"/>
  <c r="C34" i="14"/>
  <c r="H33" i="14"/>
  <c r="G33" i="14"/>
  <c r="F33" i="14"/>
  <c r="E33" i="14"/>
  <c r="D33" i="14"/>
  <c r="C33" i="14"/>
  <c r="C8" i="14"/>
  <c r="G7" i="14"/>
  <c r="F18" i="13" s="1"/>
  <c r="F7" i="14"/>
  <c r="E13" i="13" s="1"/>
  <c r="E7" i="14"/>
  <c r="E11" i="14" s="1"/>
  <c r="E22" i="14" s="1"/>
  <c r="D7" i="14"/>
  <c r="D11" i="14" s="1"/>
  <c r="C7" i="13" s="1"/>
  <c r="C7" i="14"/>
  <c r="C24" i="14" s="1"/>
  <c r="G40" i="13"/>
  <c r="F40" i="13"/>
  <c r="E40" i="13"/>
  <c r="D40" i="13"/>
  <c r="C40" i="13"/>
  <c r="B40" i="13"/>
  <c r="G39" i="13"/>
  <c r="F39" i="13"/>
  <c r="E39" i="13"/>
  <c r="D39" i="13"/>
  <c r="C39" i="13"/>
  <c r="B39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F12" i="13"/>
  <c r="E12" i="13"/>
  <c r="D12" i="13"/>
  <c r="C12" i="13"/>
  <c r="B12" i="13"/>
  <c r="F11" i="13"/>
  <c r="E11" i="13"/>
  <c r="D11" i="13"/>
  <c r="C11" i="13"/>
  <c r="B11" i="13"/>
  <c r="G5" i="13"/>
  <c r="F5" i="13"/>
  <c r="E5" i="13"/>
  <c r="D5" i="13"/>
  <c r="C5" i="13"/>
  <c r="T28" i="12"/>
  <c r="S28" i="12"/>
  <c r="R28" i="12"/>
  <c r="P28" i="12"/>
  <c r="O28" i="12"/>
  <c r="N28" i="12"/>
  <c r="L28" i="12"/>
  <c r="K28" i="12"/>
  <c r="J28" i="12"/>
  <c r="H28" i="12"/>
  <c r="G28" i="12"/>
  <c r="F28" i="12"/>
  <c r="D28" i="12"/>
  <c r="C28" i="12"/>
  <c r="B28" i="12"/>
  <c r="T17" i="12"/>
  <c r="S17" i="12"/>
  <c r="R17" i="12"/>
  <c r="P17" i="12"/>
  <c r="O17" i="12"/>
  <c r="N17" i="12"/>
  <c r="L17" i="12"/>
  <c r="K17" i="12"/>
  <c r="J17" i="12"/>
  <c r="H17" i="12"/>
  <c r="G17" i="12"/>
  <c r="F17" i="12"/>
  <c r="D17" i="12"/>
  <c r="C17" i="12"/>
  <c r="B17" i="12"/>
  <c r="T15" i="12"/>
  <c r="S15" i="12"/>
  <c r="R15" i="12"/>
  <c r="P15" i="12"/>
  <c r="O15" i="12"/>
  <c r="N15" i="12"/>
  <c r="L15" i="12"/>
  <c r="K15" i="12"/>
  <c r="J15" i="12"/>
  <c r="H15" i="12"/>
  <c r="G15" i="12"/>
  <c r="F15" i="12"/>
  <c r="D15" i="12"/>
  <c r="C15" i="12"/>
  <c r="B15" i="12"/>
  <c r="T13" i="12"/>
  <c r="S13" i="12"/>
  <c r="R13" i="12"/>
  <c r="P13" i="12"/>
  <c r="O13" i="12"/>
  <c r="N13" i="12"/>
  <c r="L13" i="12"/>
  <c r="K13" i="12"/>
  <c r="J13" i="12"/>
  <c r="H13" i="12"/>
  <c r="G13" i="12"/>
  <c r="F13" i="12"/>
  <c r="D13" i="12"/>
  <c r="C13" i="12"/>
  <c r="B13" i="12"/>
  <c r="T11" i="12"/>
  <c r="S11" i="12"/>
  <c r="R11" i="12"/>
  <c r="P11" i="12"/>
  <c r="O11" i="12"/>
  <c r="N11" i="12"/>
  <c r="L11" i="12"/>
  <c r="K11" i="12"/>
  <c r="J11" i="12"/>
  <c r="H11" i="12"/>
  <c r="G11" i="12"/>
  <c r="F11" i="12"/>
  <c r="D11" i="12"/>
  <c r="C11" i="12"/>
  <c r="B11" i="12"/>
  <c r="T10" i="12"/>
  <c r="S10" i="12"/>
  <c r="R10" i="12"/>
  <c r="P10" i="12"/>
  <c r="O10" i="12"/>
  <c r="N10" i="12"/>
  <c r="L10" i="12"/>
  <c r="K10" i="12"/>
  <c r="J10" i="12"/>
  <c r="H10" i="12"/>
  <c r="G10" i="12"/>
  <c r="F10" i="12"/>
  <c r="D10" i="12"/>
  <c r="C10" i="12"/>
  <c r="B10" i="12"/>
  <c r="T6" i="12"/>
  <c r="S6" i="12"/>
  <c r="R6" i="12"/>
  <c r="P6" i="12"/>
  <c r="O6" i="12"/>
  <c r="N6" i="12"/>
  <c r="L6" i="12"/>
  <c r="K6" i="12"/>
  <c r="J6" i="12"/>
  <c r="H6" i="12"/>
  <c r="G6" i="12"/>
  <c r="F6" i="12"/>
  <c r="D6" i="12"/>
  <c r="C6" i="12"/>
  <c r="B6" i="12"/>
  <c r="T4" i="12"/>
  <c r="S4" i="12"/>
  <c r="S27" i="12" s="1"/>
  <c r="R4" i="12"/>
  <c r="P4" i="12"/>
  <c r="P27" i="12" s="1"/>
  <c r="O4" i="12"/>
  <c r="N4" i="12"/>
  <c r="L4" i="12"/>
  <c r="K4" i="12"/>
  <c r="J4" i="12"/>
  <c r="H4" i="12"/>
  <c r="H27" i="12" s="1"/>
  <c r="G4" i="12"/>
  <c r="G27" i="12" s="1"/>
  <c r="F4" i="12"/>
  <c r="F27" i="12" s="1"/>
  <c r="D4" i="12"/>
  <c r="D27" i="12" s="1"/>
  <c r="C4" i="12"/>
  <c r="B4" i="12"/>
  <c r="B27" i="12" s="1"/>
  <c r="G40" i="11"/>
  <c r="F40" i="11"/>
  <c r="E40" i="11"/>
  <c r="D40" i="11"/>
  <c r="C40" i="11"/>
  <c r="B40" i="11"/>
  <c r="G39" i="11"/>
  <c r="F39" i="11"/>
  <c r="E39" i="11"/>
  <c r="D39" i="11"/>
  <c r="C39" i="11"/>
  <c r="B39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B12" i="11"/>
  <c r="B11" i="11"/>
  <c r="G5" i="11"/>
  <c r="F5" i="11"/>
  <c r="E5" i="11"/>
  <c r="D5" i="11"/>
  <c r="C5" i="11"/>
  <c r="G18" i="9"/>
  <c r="G17" i="9"/>
  <c r="G16" i="9"/>
  <c r="G15" i="9"/>
  <c r="G14" i="9"/>
  <c r="G13" i="9"/>
  <c r="G12" i="9"/>
  <c r="G11" i="9"/>
  <c r="G9" i="9"/>
  <c r="G8" i="9"/>
  <c r="G7" i="9"/>
  <c r="T28" i="7"/>
  <c r="S28" i="7"/>
  <c r="R28" i="7"/>
  <c r="P28" i="7"/>
  <c r="O28" i="7"/>
  <c r="N28" i="7"/>
  <c r="L28" i="7"/>
  <c r="K28" i="7"/>
  <c r="J28" i="7"/>
  <c r="H28" i="7"/>
  <c r="G28" i="7"/>
  <c r="F28" i="7"/>
  <c r="D28" i="7"/>
  <c r="C28" i="7"/>
  <c r="B28" i="7"/>
  <c r="T17" i="7"/>
  <c r="S17" i="7"/>
  <c r="R17" i="7"/>
  <c r="P17" i="7"/>
  <c r="O17" i="7"/>
  <c r="N17" i="7"/>
  <c r="L17" i="7"/>
  <c r="K17" i="7"/>
  <c r="J17" i="7"/>
  <c r="H17" i="7"/>
  <c r="G17" i="7"/>
  <c r="F17" i="7"/>
  <c r="D17" i="7"/>
  <c r="C17" i="7"/>
  <c r="B17" i="7"/>
  <c r="T15" i="7"/>
  <c r="S15" i="7"/>
  <c r="R15" i="7"/>
  <c r="P15" i="7"/>
  <c r="O15" i="7"/>
  <c r="N15" i="7"/>
  <c r="L15" i="7"/>
  <c r="K15" i="7"/>
  <c r="J15" i="7"/>
  <c r="H15" i="7"/>
  <c r="G15" i="7"/>
  <c r="F15" i="7"/>
  <c r="D15" i="7"/>
  <c r="C15" i="7"/>
  <c r="B15" i="7"/>
  <c r="T13" i="7"/>
  <c r="S13" i="7"/>
  <c r="R13" i="7"/>
  <c r="P13" i="7"/>
  <c r="O13" i="7"/>
  <c r="N13" i="7"/>
  <c r="L13" i="7"/>
  <c r="K13" i="7"/>
  <c r="J13" i="7"/>
  <c r="H13" i="7"/>
  <c r="G13" i="7"/>
  <c r="F13" i="7"/>
  <c r="D13" i="7"/>
  <c r="C13" i="7"/>
  <c r="B13" i="7"/>
  <c r="T11" i="7"/>
  <c r="S11" i="7"/>
  <c r="R11" i="7"/>
  <c r="P11" i="7"/>
  <c r="O11" i="7"/>
  <c r="N11" i="7"/>
  <c r="L11" i="7"/>
  <c r="K11" i="7"/>
  <c r="J11" i="7"/>
  <c r="H11" i="7"/>
  <c r="G11" i="7"/>
  <c r="F11" i="7"/>
  <c r="D11" i="7"/>
  <c r="C11" i="7"/>
  <c r="B11" i="7"/>
  <c r="T10" i="7"/>
  <c r="S10" i="7"/>
  <c r="R10" i="7"/>
  <c r="P10" i="7"/>
  <c r="O10" i="7"/>
  <c r="N10" i="7"/>
  <c r="L10" i="7"/>
  <c r="K10" i="7"/>
  <c r="J10" i="7"/>
  <c r="H10" i="7"/>
  <c r="G10" i="7"/>
  <c r="F10" i="7"/>
  <c r="D10" i="7"/>
  <c r="C10" i="7"/>
  <c r="B10" i="7"/>
  <c r="T6" i="7"/>
  <c r="S6" i="7"/>
  <c r="R6" i="7"/>
  <c r="P6" i="7"/>
  <c r="O6" i="7"/>
  <c r="N6" i="7"/>
  <c r="L6" i="7"/>
  <c r="K6" i="7"/>
  <c r="J6" i="7"/>
  <c r="H6" i="7"/>
  <c r="G6" i="7"/>
  <c r="F6" i="7"/>
  <c r="D6" i="7"/>
  <c r="C6" i="7"/>
  <c r="B6" i="7"/>
  <c r="G58" i="6"/>
  <c r="F58" i="6"/>
  <c r="E58" i="6"/>
  <c r="D58" i="6"/>
  <c r="G55" i="6"/>
  <c r="F55" i="6"/>
  <c r="E55" i="6"/>
  <c r="D55" i="6"/>
  <c r="C55" i="6"/>
  <c r="G53" i="6"/>
  <c r="F53" i="6"/>
  <c r="E53" i="6"/>
  <c r="D53" i="6"/>
  <c r="C53" i="6"/>
  <c r="G51" i="6"/>
  <c r="F51" i="6"/>
  <c r="E51" i="6"/>
  <c r="D51" i="6"/>
  <c r="C51" i="6"/>
  <c r="G50" i="6"/>
  <c r="F50" i="6"/>
  <c r="E50" i="6"/>
  <c r="D50" i="6"/>
  <c r="C50" i="6"/>
  <c r="G46" i="6"/>
  <c r="F46" i="6"/>
  <c r="E46" i="6"/>
  <c r="D46" i="6"/>
  <c r="C46" i="6"/>
  <c r="G45" i="6"/>
  <c r="F45" i="6"/>
  <c r="E45" i="6"/>
  <c r="D45" i="6"/>
  <c r="C45" i="6"/>
  <c r="G44" i="6"/>
  <c r="F44" i="6"/>
  <c r="E44" i="6"/>
  <c r="D44" i="6"/>
  <c r="C44" i="6"/>
  <c r="G36" i="6"/>
  <c r="G49" i="6" s="1"/>
  <c r="F36" i="6"/>
  <c r="F49" i="6" s="1"/>
  <c r="E36" i="6"/>
  <c r="E49" i="6" s="1"/>
  <c r="D36" i="6"/>
  <c r="C36" i="6"/>
  <c r="C49" i="6" s="1"/>
  <c r="G35" i="6"/>
  <c r="F35" i="6"/>
  <c r="E35" i="6"/>
  <c r="D35" i="6"/>
  <c r="C35" i="6"/>
  <c r="G34" i="6"/>
  <c r="F34" i="6"/>
  <c r="E34" i="6"/>
  <c r="D34" i="6"/>
  <c r="C34" i="6"/>
  <c r="G33" i="6"/>
  <c r="F33" i="6"/>
  <c r="E33" i="6"/>
  <c r="D33" i="6"/>
  <c r="C33" i="6"/>
  <c r="C8" i="6"/>
  <c r="D8" i="6" s="1"/>
  <c r="BI22" i="5"/>
  <c r="BI23" i="5" s="1"/>
  <c r="BH22" i="5"/>
  <c r="BH23" i="5" s="1"/>
  <c r="BG22" i="5"/>
  <c r="BG23" i="5" s="1"/>
  <c r="BF22" i="5"/>
  <c r="BF23" i="5" s="1"/>
  <c r="BE22" i="5"/>
  <c r="BE23" i="5" s="1"/>
  <c r="BD22" i="5"/>
  <c r="BD23" i="5" s="1"/>
  <c r="BC22" i="5"/>
  <c r="BC23" i="5" s="1"/>
  <c r="BB22" i="5"/>
  <c r="BB23" i="5" s="1"/>
  <c r="BA22" i="5"/>
  <c r="BA23" i="5" s="1"/>
  <c r="AZ22" i="5"/>
  <c r="AZ23" i="5" s="1"/>
  <c r="AY22" i="5"/>
  <c r="AY23" i="5" s="1"/>
  <c r="AX22" i="5"/>
  <c r="AX23" i="5" s="1"/>
  <c r="AW22" i="5"/>
  <c r="AW23" i="5" s="1"/>
  <c r="AV22" i="5"/>
  <c r="AV23" i="5" s="1"/>
  <c r="AU22" i="5"/>
  <c r="AU23" i="5" s="1"/>
  <c r="AT22" i="5"/>
  <c r="AT23" i="5" s="1"/>
  <c r="AS22" i="5"/>
  <c r="AS23" i="5" s="1"/>
  <c r="AR22" i="5"/>
  <c r="AR23" i="5" s="1"/>
  <c r="AQ22" i="5"/>
  <c r="AQ23" i="5" s="1"/>
  <c r="AP22" i="5"/>
  <c r="AP23" i="5" s="1"/>
  <c r="AO22" i="5"/>
  <c r="AO23" i="5" s="1"/>
  <c r="AN22" i="5"/>
  <c r="AN23" i="5" s="1"/>
  <c r="AM22" i="5"/>
  <c r="AM23" i="5" s="1"/>
  <c r="AL22" i="5"/>
  <c r="AL23" i="5" s="1"/>
  <c r="AK22" i="5"/>
  <c r="AK23" i="5" s="1"/>
  <c r="AJ22" i="5"/>
  <c r="AJ23" i="5" s="1"/>
  <c r="AI22" i="5"/>
  <c r="AI23" i="5" s="1"/>
  <c r="AH22" i="5"/>
  <c r="AH23" i="5" s="1"/>
  <c r="AG22" i="5"/>
  <c r="AG23" i="5" s="1"/>
  <c r="AF22" i="5"/>
  <c r="AF23" i="5" s="1"/>
  <c r="AE22" i="5"/>
  <c r="AE23" i="5" s="1"/>
  <c r="AD22" i="5"/>
  <c r="AD23" i="5" s="1"/>
  <c r="AC22" i="5"/>
  <c r="AC23" i="5" s="1"/>
  <c r="AB22" i="5"/>
  <c r="AB23" i="5" s="1"/>
  <c r="AA22" i="5"/>
  <c r="AA23" i="5" s="1"/>
  <c r="Z22" i="5"/>
  <c r="Z23" i="5" s="1"/>
  <c r="Y22" i="5"/>
  <c r="Y23" i="5" s="1"/>
  <c r="X22" i="5"/>
  <c r="X23" i="5" s="1"/>
  <c r="W22" i="5"/>
  <c r="W23" i="5" s="1"/>
  <c r="V22" i="5"/>
  <c r="V23" i="5" s="1"/>
  <c r="U22" i="5"/>
  <c r="U23" i="5" s="1"/>
  <c r="T22" i="5"/>
  <c r="T23" i="5" s="1"/>
  <c r="S22" i="5"/>
  <c r="S23" i="5" s="1"/>
  <c r="R22" i="5"/>
  <c r="R23" i="5" s="1"/>
  <c r="Q22" i="5"/>
  <c r="Q23" i="5" s="1"/>
  <c r="P22" i="5"/>
  <c r="P23" i="5" s="1"/>
  <c r="O22" i="5"/>
  <c r="O23" i="5" s="1"/>
  <c r="N22" i="5"/>
  <c r="N23" i="5" s="1"/>
  <c r="M22" i="5"/>
  <c r="M23" i="5" s="1"/>
  <c r="L22" i="5"/>
  <c r="L23" i="5" s="1"/>
  <c r="K22" i="5"/>
  <c r="K23" i="5" s="1"/>
  <c r="J22" i="5"/>
  <c r="J23" i="5" s="1"/>
  <c r="I22" i="5"/>
  <c r="I23" i="5" s="1"/>
  <c r="H22" i="5"/>
  <c r="H23" i="5" s="1"/>
  <c r="G22" i="5"/>
  <c r="G23" i="5" s="1"/>
  <c r="F22" i="5"/>
  <c r="F23" i="5" s="1"/>
  <c r="E22" i="5"/>
  <c r="E23" i="5" s="1"/>
  <c r="D22" i="5"/>
  <c r="D23" i="5" s="1"/>
  <c r="C22" i="5"/>
  <c r="C23" i="5" s="1"/>
  <c r="B22" i="5"/>
  <c r="B23" i="5" s="1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BI8" i="5"/>
  <c r="BI26" i="5" s="1"/>
  <c r="BH8" i="5"/>
  <c r="BG8" i="5"/>
  <c r="BF8" i="5"/>
  <c r="BF27" i="5" s="1"/>
  <c r="BE8" i="5"/>
  <c r="BD8" i="5"/>
  <c r="BC8" i="5"/>
  <c r="BB8" i="5"/>
  <c r="BB27" i="5" s="1"/>
  <c r="BA8" i="5"/>
  <c r="AZ8" i="5"/>
  <c r="AZ26" i="5" s="1"/>
  <c r="AY8" i="5"/>
  <c r="AY27" i="5" s="1"/>
  <c r="AX8" i="5"/>
  <c r="AW8" i="5"/>
  <c r="AW26" i="5" s="1"/>
  <c r="AV8" i="5"/>
  <c r="AV26" i="5" s="1"/>
  <c r="AU8" i="5"/>
  <c r="AU26" i="5" s="1"/>
  <c r="AT8" i="5"/>
  <c r="AT27" i="5" s="1"/>
  <c r="AS8" i="5"/>
  <c r="AS26" i="5" s="1"/>
  <c r="AR8" i="5"/>
  <c r="AR26" i="5" s="1"/>
  <c r="AQ8" i="5"/>
  <c r="AQ26" i="5" s="1"/>
  <c r="AP8" i="5"/>
  <c r="AP26" i="5" s="1"/>
  <c r="AO8" i="5"/>
  <c r="AO26" i="5" s="1"/>
  <c r="AN8" i="5"/>
  <c r="AM8" i="5"/>
  <c r="AM27" i="5" s="1"/>
  <c r="AL8" i="5"/>
  <c r="AK8" i="5"/>
  <c r="AK27" i="5" s="1"/>
  <c r="AJ8" i="5"/>
  <c r="AJ27" i="5" s="1"/>
  <c r="AI8" i="5"/>
  <c r="AI27" i="5" s="1"/>
  <c r="AH8" i="5"/>
  <c r="AG8" i="5"/>
  <c r="AF8" i="5"/>
  <c r="AE8" i="5"/>
  <c r="AD8" i="5"/>
  <c r="AC8" i="5"/>
  <c r="AB8" i="5"/>
  <c r="AA8" i="5"/>
  <c r="AA27" i="5" s="1"/>
  <c r="Z8" i="5"/>
  <c r="Y8" i="5"/>
  <c r="Y26" i="5" s="1"/>
  <c r="X8" i="5"/>
  <c r="X27" i="5" s="1"/>
  <c r="W8" i="5"/>
  <c r="W27" i="5" s="1"/>
  <c r="V8" i="5"/>
  <c r="V26" i="5" s="1"/>
  <c r="U8" i="5"/>
  <c r="U27" i="5" s="1"/>
  <c r="T8" i="5"/>
  <c r="T26" i="5" s="1"/>
  <c r="S8" i="5"/>
  <c r="S26" i="5" s="1"/>
  <c r="R8" i="5"/>
  <c r="R26" i="5" s="1"/>
  <c r="Q8" i="5"/>
  <c r="Q26" i="5" s="1"/>
  <c r="P8" i="5"/>
  <c r="P26" i="5" s="1"/>
  <c r="O8" i="5"/>
  <c r="O27" i="5" s="1"/>
  <c r="N8" i="5"/>
  <c r="M8" i="5"/>
  <c r="L8" i="5"/>
  <c r="L26" i="5" s="1"/>
  <c r="K8" i="5"/>
  <c r="K26" i="5" s="1"/>
  <c r="J8" i="5"/>
  <c r="J27" i="5" s="1"/>
  <c r="I8" i="5"/>
  <c r="H8" i="5"/>
  <c r="G8" i="5"/>
  <c r="G26" i="5" s="1"/>
  <c r="F8" i="5"/>
  <c r="E8" i="5"/>
  <c r="D8" i="5"/>
  <c r="D27" i="5" s="1"/>
  <c r="C8" i="5"/>
  <c r="C26" i="5" s="1"/>
  <c r="B8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F41" i="4"/>
  <c r="F39" i="4"/>
  <c r="F38" i="4"/>
  <c r="F37" i="4"/>
  <c r="F35" i="4"/>
  <c r="F34" i="4"/>
  <c r="F32" i="4"/>
  <c r="F31" i="4"/>
  <c r="F30" i="4"/>
  <c r="F28" i="4"/>
  <c r="F27" i="4"/>
  <c r="F26" i="4"/>
  <c r="F24" i="4"/>
  <c r="F23" i="4"/>
  <c r="F21" i="4"/>
  <c r="F20" i="4"/>
  <c r="F19" i="4"/>
  <c r="F18" i="4"/>
  <c r="F16" i="4"/>
  <c r="F15" i="4"/>
  <c r="F14" i="4"/>
  <c r="F13" i="4"/>
  <c r="F12" i="4"/>
  <c r="F10" i="4"/>
  <c r="F9" i="4"/>
  <c r="F8" i="4"/>
  <c r="F7" i="4"/>
  <c r="F166" i="3"/>
  <c r="G69" i="6" s="1"/>
  <c r="F165" i="3"/>
  <c r="F69" i="6" s="1"/>
  <c r="F164" i="3"/>
  <c r="F163" i="3"/>
  <c r="F162" i="3"/>
  <c r="T4" i="7" s="1"/>
  <c r="T27" i="7" s="1"/>
  <c r="F161" i="3"/>
  <c r="S4" i="7" s="1"/>
  <c r="S27" i="7" s="1"/>
  <c r="F160" i="3"/>
  <c r="R4" i="7" s="1"/>
  <c r="R27" i="7" s="1"/>
  <c r="F159" i="3"/>
  <c r="P4" i="7" s="1"/>
  <c r="P27" i="7" s="1"/>
  <c r="F158" i="3"/>
  <c r="O4" i="7" s="1"/>
  <c r="O27" i="7" s="1"/>
  <c r="F157" i="3"/>
  <c r="N4" i="7" s="1"/>
  <c r="F156" i="3"/>
  <c r="G7" i="6" s="1"/>
  <c r="G26" i="6" s="1"/>
  <c r="F155" i="3"/>
  <c r="F7" i="6" s="1"/>
  <c r="F11" i="6" s="1"/>
  <c r="F113" i="3"/>
  <c r="F112" i="3"/>
  <c r="E69" i="6" s="1"/>
  <c r="F111" i="3"/>
  <c r="D69" i="6" s="1"/>
  <c r="F110" i="3"/>
  <c r="C69" i="6" s="1"/>
  <c r="F72" i="3"/>
  <c r="L4" i="7" s="1"/>
  <c r="L27" i="7" s="1"/>
  <c r="F71" i="3"/>
  <c r="K4" i="7" s="1"/>
  <c r="K27" i="7" s="1"/>
  <c r="F70" i="3"/>
  <c r="J4" i="7" s="1"/>
  <c r="F69" i="3"/>
  <c r="H4" i="7" s="1"/>
  <c r="H27" i="7" s="1"/>
  <c r="F68" i="3"/>
  <c r="G4" i="7" s="1"/>
  <c r="G27" i="7" s="1"/>
  <c r="F67" i="3"/>
  <c r="F4" i="7" s="1"/>
  <c r="F66" i="3"/>
  <c r="D4" i="7" s="1"/>
  <c r="D27" i="7" s="1"/>
  <c r="F65" i="3"/>
  <c r="C4" i="7" s="1"/>
  <c r="C27" i="7" s="1"/>
  <c r="F64" i="3"/>
  <c r="B4" i="7" s="1"/>
  <c r="F17" i="3"/>
  <c r="F13" i="3"/>
  <c r="E7" i="6" s="1"/>
  <c r="E11" i="6" s="1"/>
  <c r="F12" i="3"/>
  <c r="D7" i="6" s="1"/>
  <c r="D11" i="6" s="1"/>
  <c r="F11" i="3"/>
  <c r="C7" i="6" s="1"/>
  <c r="D4" i="3"/>
  <c r="B4" i="5" s="1"/>
  <c r="T20" i="2"/>
  <c r="U20" i="2" s="1"/>
  <c r="T11" i="2"/>
  <c r="U11" i="2" s="1"/>
  <c r="C41" i="16" l="1"/>
  <c r="D65" i="17" s="1"/>
  <c r="B13" i="5"/>
  <c r="Z9" i="5"/>
  <c r="Z51" i="5" s="1"/>
  <c r="F41" i="11"/>
  <c r="G65" i="6" s="1"/>
  <c r="I4" i="18"/>
  <c r="I29" i="18" s="1"/>
  <c r="BB9" i="5"/>
  <c r="BB51" i="5" s="1"/>
  <c r="H5" i="18"/>
  <c r="H7" i="18" s="1"/>
  <c r="D26" i="20"/>
  <c r="D19" i="19"/>
  <c r="G26" i="14"/>
  <c r="D41" i="13"/>
  <c r="E65" i="14" s="1"/>
  <c r="G41" i="13"/>
  <c r="AU9" i="5"/>
  <c r="AU51" i="5" s="1"/>
  <c r="R5" i="12"/>
  <c r="R21" i="12" s="1"/>
  <c r="W9" i="5"/>
  <c r="W51" i="5" s="1"/>
  <c r="X9" i="5"/>
  <c r="X51" i="5" s="1"/>
  <c r="AV9" i="5"/>
  <c r="AV51" i="5" s="1"/>
  <c r="Y9" i="5"/>
  <c r="Y51" i="5" s="1"/>
  <c r="E26" i="14"/>
  <c r="B13" i="13"/>
  <c r="B8" i="7"/>
  <c r="G13" i="13"/>
  <c r="F26" i="14"/>
  <c r="D13" i="13"/>
  <c r="C9" i="5"/>
  <c r="C51" i="5" s="1"/>
  <c r="AY9" i="5"/>
  <c r="AY51" i="5" s="1"/>
  <c r="G41" i="19"/>
  <c r="AZ9" i="5"/>
  <c r="AZ51" i="5" s="1"/>
  <c r="F41" i="19"/>
  <c r="G65" i="20" s="1"/>
  <c r="AA26" i="5"/>
  <c r="AA28" i="5" s="1"/>
  <c r="E70" i="20"/>
  <c r="C27" i="5"/>
  <c r="C28" i="5" s="1"/>
  <c r="D18" i="13"/>
  <c r="AV27" i="5"/>
  <c r="AV28" i="5" s="1"/>
  <c r="H25" i="14"/>
  <c r="G70" i="14"/>
  <c r="V9" i="5"/>
  <c r="V51" i="5" s="1"/>
  <c r="AT9" i="5"/>
  <c r="AT51" i="5" s="1"/>
  <c r="AW27" i="5"/>
  <c r="AW28" i="5" s="1"/>
  <c r="C26" i="14"/>
  <c r="E27" i="15"/>
  <c r="D41" i="16"/>
  <c r="E65" i="17" s="1"/>
  <c r="B19" i="19"/>
  <c r="F41" i="13"/>
  <c r="G65" i="14" s="1"/>
  <c r="H26" i="14"/>
  <c r="D70" i="17"/>
  <c r="B41" i="11"/>
  <c r="C65" i="6" s="1"/>
  <c r="B27" i="5" s="1"/>
  <c r="B34" i="5" s="1"/>
  <c r="C41" i="11"/>
  <c r="D65" i="6" s="1"/>
  <c r="N27" i="5" s="1"/>
  <c r="F13" i="5"/>
  <c r="D41" i="11"/>
  <c r="E65" i="6" s="1"/>
  <c r="Z27" i="5" s="1"/>
  <c r="T5" i="12"/>
  <c r="T16" i="12" s="1"/>
  <c r="T18" i="12" s="1"/>
  <c r="X26" i="5"/>
  <c r="X28" i="5" s="1"/>
  <c r="B18" i="13"/>
  <c r="G18" i="13"/>
  <c r="B19" i="13"/>
  <c r="AY26" i="5"/>
  <c r="AY28" i="5" s="1"/>
  <c r="R5" i="7"/>
  <c r="R16" i="7" s="1"/>
  <c r="D24" i="14"/>
  <c r="D38" i="17"/>
  <c r="D40" i="17" s="1"/>
  <c r="C18" i="13"/>
  <c r="BB26" i="5"/>
  <c r="BB28" i="5" s="1"/>
  <c r="G24" i="14"/>
  <c r="C25" i="14"/>
  <c r="H37" i="14"/>
  <c r="C70" i="14"/>
  <c r="Q27" i="5"/>
  <c r="Q28" i="5" s="1"/>
  <c r="E25" i="14"/>
  <c r="D70" i="14"/>
  <c r="S9" i="5"/>
  <c r="B70" i="2" s="1"/>
  <c r="BC9" i="5"/>
  <c r="BC51" i="5" s="1"/>
  <c r="F25" i="14"/>
  <c r="E70" i="14"/>
  <c r="AR27" i="5"/>
  <c r="AR28" i="5" s="1"/>
  <c r="G25" i="14"/>
  <c r="F70" i="14"/>
  <c r="I8" i="7"/>
  <c r="F8" i="7"/>
  <c r="G8" i="7"/>
  <c r="H8" i="7"/>
  <c r="F42" i="4"/>
  <c r="F43" i="4" s="1"/>
  <c r="F44" i="4" s="1"/>
  <c r="H26" i="17"/>
  <c r="F26" i="17"/>
  <c r="D37" i="20"/>
  <c r="D48" i="20" s="1"/>
  <c r="G12" i="5"/>
  <c r="AE9" i="5"/>
  <c r="B72" i="2" s="1"/>
  <c r="E18" i="13"/>
  <c r="U27" i="18"/>
  <c r="I4" i="15"/>
  <c r="I29" i="15" s="1"/>
  <c r="E8" i="18"/>
  <c r="C37" i="20"/>
  <c r="C54" i="20" s="1"/>
  <c r="BI27" i="5"/>
  <c r="BI28" i="5" s="1"/>
  <c r="H27" i="18"/>
  <c r="G19" i="13"/>
  <c r="D36" i="19"/>
  <c r="E52" i="20" s="1"/>
  <c r="AX27" i="5"/>
  <c r="G13" i="5"/>
  <c r="B41" i="19"/>
  <c r="C65" i="20" s="1"/>
  <c r="D19" i="13"/>
  <c r="D18" i="11"/>
  <c r="C11" i="14"/>
  <c r="B7" i="13" s="1"/>
  <c r="E37" i="17"/>
  <c r="E47" i="17" s="1"/>
  <c r="AH9" i="5"/>
  <c r="AH51" i="5" s="1"/>
  <c r="F18" i="11"/>
  <c r="U27" i="15"/>
  <c r="H37" i="17"/>
  <c r="F36" i="11"/>
  <c r="G52" i="6" s="1"/>
  <c r="E13" i="16"/>
  <c r="B41" i="13"/>
  <c r="C65" i="14" s="1"/>
  <c r="E38" i="17"/>
  <c r="E41" i="17" s="1"/>
  <c r="C8" i="18"/>
  <c r="E36" i="19"/>
  <c r="F52" i="20" s="1"/>
  <c r="G37" i="17"/>
  <c r="G48" i="17" s="1"/>
  <c r="F36" i="19"/>
  <c r="G52" i="20" s="1"/>
  <c r="C41" i="13"/>
  <c r="D65" i="14" s="1"/>
  <c r="E19" i="13"/>
  <c r="Q9" i="5"/>
  <c r="Q51" i="5" s="1"/>
  <c r="E12" i="5"/>
  <c r="F5" i="15"/>
  <c r="F14" i="15" s="1"/>
  <c r="C36" i="19"/>
  <c r="D52" i="20" s="1"/>
  <c r="D8" i="18"/>
  <c r="G38" i="20"/>
  <c r="G40" i="20" s="1"/>
  <c r="G38" i="14"/>
  <c r="G40" i="14" s="1"/>
  <c r="J5" i="18"/>
  <c r="J14" i="18" s="1"/>
  <c r="D13" i="11"/>
  <c r="R9" i="5"/>
  <c r="R51" i="5" s="1"/>
  <c r="F9" i="5"/>
  <c r="F51" i="5" s="1"/>
  <c r="F36" i="13"/>
  <c r="G52" i="14" s="1"/>
  <c r="G70" i="17"/>
  <c r="O10" i="2" s="1"/>
  <c r="B18" i="19"/>
  <c r="Q4" i="18"/>
  <c r="Q29" i="18" s="1"/>
  <c r="AI26" i="5"/>
  <c r="AI28" i="5" s="1"/>
  <c r="F12" i="5"/>
  <c r="AJ26" i="5"/>
  <c r="AJ28" i="5" s="1"/>
  <c r="B13" i="19"/>
  <c r="C13" i="19"/>
  <c r="AZ27" i="5"/>
  <c r="AZ28" i="5" s="1"/>
  <c r="D36" i="11"/>
  <c r="E52" i="6" s="1"/>
  <c r="G5" i="18"/>
  <c r="G19" i="18" s="1"/>
  <c r="D13" i="19"/>
  <c r="G38" i="6"/>
  <c r="G41" i="6" s="1"/>
  <c r="E8" i="15"/>
  <c r="D13" i="5"/>
  <c r="K27" i="5"/>
  <c r="K28" i="5" s="1"/>
  <c r="F27" i="18"/>
  <c r="E13" i="5"/>
  <c r="L27" i="5"/>
  <c r="L28" i="5" s="1"/>
  <c r="F38" i="17"/>
  <c r="F41" i="17" s="1"/>
  <c r="G36" i="19"/>
  <c r="T27" i="5"/>
  <c r="T28" i="5" s="1"/>
  <c r="H27" i="15"/>
  <c r="I27" i="15" s="1"/>
  <c r="Q27" i="18"/>
  <c r="D8" i="15"/>
  <c r="B5" i="12"/>
  <c r="F37" i="14"/>
  <c r="F47" i="14" s="1"/>
  <c r="D5" i="12"/>
  <c r="D21" i="12" s="1"/>
  <c r="D8" i="20"/>
  <c r="D9" i="20" s="1"/>
  <c r="C14" i="19" s="1"/>
  <c r="G5" i="12"/>
  <c r="C9" i="20"/>
  <c r="B14" i="19" s="1"/>
  <c r="C70" i="20"/>
  <c r="D70" i="6"/>
  <c r="AD9" i="5"/>
  <c r="AD51" i="5" s="1"/>
  <c r="E70" i="6"/>
  <c r="J9" i="5"/>
  <c r="J51" i="5" s="1"/>
  <c r="AI9" i="5"/>
  <c r="AI51" i="5" s="1"/>
  <c r="J26" i="5"/>
  <c r="J28" i="5" s="1"/>
  <c r="Y27" i="5"/>
  <c r="Y28" i="5" s="1"/>
  <c r="E24" i="6"/>
  <c r="H5" i="12"/>
  <c r="H7" i="12" s="1"/>
  <c r="C24" i="20"/>
  <c r="B36" i="16"/>
  <c r="C52" i="17" s="1"/>
  <c r="C36" i="16"/>
  <c r="D52" i="17" s="1"/>
  <c r="E41" i="13"/>
  <c r="F65" i="14" s="1"/>
  <c r="G37" i="14"/>
  <c r="G54" i="14" s="1"/>
  <c r="G11" i="6"/>
  <c r="G21" i="6" s="1"/>
  <c r="P5" i="12"/>
  <c r="P14" i="12" s="1"/>
  <c r="C37" i="14"/>
  <c r="C54" i="14" s="1"/>
  <c r="C25" i="20"/>
  <c r="F37" i="17"/>
  <c r="F54" i="17" s="1"/>
  <c r="BF26" i="5"/>
  <c r="BF28" i="5" s="1"/>
  <c r="G36" i="16"/>
  <c r="AO27" i="5"/>
  <c r="AO28" i="5" s="1"/>
  <c r="D37" i="14"/>
  <c r="D48" i="14" s="1"/>
  <c r="C41" i="19"/>
  <c r="D65" i="20" s="1"/>
  <c r="S27" i="5"/>
  <c r="S28" i="5" s="1"/>
  <c r="AP27" i="5"/>
  <c r="AP28" i="5" s="1"/>
  <c r="S5" i="12"/>
  <c r="S7" i="12" s="1"/>
  <c r="T27" i="12"/>
  <c r="D41" i="19"/>
  <c r="E65" i="20" s="1"/>
  <c r="M27" i="15"/>
  <c r="D36" i="16"/>
  <c r="E52" i="17" s="1"/>
  <c r="B36" i="19"/>
  <c r="C52" i="20" s="1"/>
  <c r="R27" i="5"/>
  <c r="R28" i="5" s="1"/>
  <c r="F5" i="12"/>
  <c r="F21" i="12" s="1"/>
  <c r="BF9" i="5"/>
  <c r="BF51" i="5" s="1"/>
  <c r="V27" i="5"/>
  <c r="V28" i="5" s="1"/>
  <c r="B41" i="16"/>
  <c r="C65" i="17" s="1"/>
  <c r="U26" i="5"/>
  <c r="U28" i="5" s="1"/>
  <c r="AQ27" i="5"/>
  <c r="AQ28" i="5" s="1"/>
  <c r="E41" i="19"/>
  <c r="F65" i="20" s="1"/>
  <c r="C26" i="20"/>
  <c r="BD27" i="5"/>
  <c r="BD26" i="5"/>
  <c r="BD9" i="5"/>
  <c r="BD51" i="5" s="1"/>
  <c r="B27" i="18"/>
  <c r="E4" i="18"/>
  <c r="E29" i="18" s="1"/>
  <c r="B5" i="18"/>
  <c r="H26" i="20"/>
  <c r="H25" i="20"/>
  <c r="G18" i="19"/>
  <c r="F26" i="20"/>
  <c r="F11" i="20"/>
  <c r="P5" i="18"/>
  <c r="N5" i="18"/>
  <c r="F25" i="20"/>
  <c r="F24" i="20"/>
  <c r="G13" i="19"/>
  <c r="O5" i="18"/>
  <c r="E19" i="19"/>
  <c r="E18" i="19"/>
  <c r="F70" i="20"/>
  <c r="G19" i="19"/>
  <c r="E13" i="19"/>
  <c r="AF26" i="5"/>
  <c r="AF9" i="5"/>
  <c r="AF51" i="5" s="1"/>
  <c r="AF27" i="5"/>
  <c r="C7" i="11"/>
  <c r="D22" i="6"/>
  <c r="D21" i="6"/>
  <c r="H27" i="5"/>
  <c r="H9" i="5"/>
  <c r="H51" i="5" s="1"/>
  <c r="H26" i="5"/>
  <c r="E22" i="6"/>
  <c r="D7" i="11"/>
  <c r="E21" i="6"/>
  <c r="AS9" i="5"/>
  <c r="AS51" i="5" s="1"/>
  <c r="F22" i="6"/>
  <c r="E7" i="11"/>
  <c r="F21" i="6"/>
  <c r="G36" i="11"/>
  <c r="E36" i="11"/>
  <c r="F52" i="6" s="1"/>
  <c r="J27" i="12"/>
  <c r="J5" i="12"/>
  <c r="M4" i="12"/>
  <c r="M29" i="12" s="1"/>
  <c r="T9" i="5"/>
  <c r="T51" i="5" s="1"/>
  <c r="U9" i="5"/>
  <c r="U51" i="5" s="1"/>
  <c r="BE26" i="5"/>
  <c r="BE9" i="5"/>
  <c r="BE51" i="5" s="1"/>
  <c r="BE27" i="5"/>
  <c r="K5" i="12"/>
  <c r="K27" i="12"/>
  <c r="AG26" i="5"/>
  <c r="AG27" i="5"/>
  <c r="AG9" i="5"/>
  <c r="AG51" i="5" s="1"/>
  <c r="F5" i="7"/>
  <c r="L5" i="12"/>
  <c r="L27" i="12"/>
  <c r="AR9" i="5"/>
  <c r="AR51" i="5" s="1"/>
  <c r="F27" i="7"/>
  <c r="I27" i="7" s="1"/>
  <c r="I4" i="7"/>
  <c r="I29" i="7" s="1"/>
  <c r="I26" i="5"/>
  <c r="I27" i="5"/>
  <c r="M4" i="7"/>
  <c r="M29" i="7" s="1"/>
  <c r="J27" i="7"/>
  <c r="M27" i="7" s="1"/>
  <c r="J5" i="7"/>
  <c r="AN26" i="5"/>
  <c r="AN27" i="5"/>
  <c r="AN9" i="5"/>
  <c r="AN51" i="5" s="1"/>
  <c r="W26" i="5"/>
  <c r="W28" i="5" s="1"/>
  <c r="U4" i="7"/>
  <c r="U29" i="7" s="1"/>
  <c r="I9" i="5"/>
  <c r="I51" i="5" s="1"/>
  <c r="B12" i="5"/>
  <c r="D9" i="5"/>
  <c r="D51" i="5" s="1"/>
  <c r="O26" i="5"/>
  <c r="O28" i="5" s="1"/>
  <c r="P9" i="5"/>
  <c r="P51" i="5" s="1"/>
  <c r="C13" i="5"/>
  <c r="D24" i="6"/>
  <c r="D26" i="6"/>
  <c r="C19" i="11"/>
  <c r="D25" i="6"/>
  <c r="D9" i="6"/>
  <c r="C14" i="11" s="1"/>
  <c r="C18" i="11"/>
  <c r="C13" i="11"/>
  <c r="H5" i="7"/>
  <c r="G5" i="7"/>
  <c r="N9" i="5"/>
  <c r="N51" i="5" s="1"/>
  <c r="AL9" i="5"/>
  <c r="AL51" i="5" s="1"/>
  <c r="AW9" i="5"/>
  <c r="BG9" i="5"/>
  <c r="BG51" i="5" s="1"/>
  <c r="D38" i="6"/>
  <c r="D37" i="6"/>
  <c r="D49" i="6"/>
  <c r="AK26" i="5"/>
  <c r="AK28" i="5" s="1"/>
  <c r="E11" i="11"/>
  <c r="E12" i="11"/>
  <c r="AM26" i="5"/>
  <c r="AM28" i="5" s="1"/>
  <c r="C27" i="12"/>
  <c r="E27" i="12" s="1"/>
  <c r="C5" i="12"/>
  <c r="AB9" i="5"/>
  <c r="AB51" i="5" s="1"/>
  <c r="P27" i="5"/>
  <c r="P28" i="5" s="1"/>
  <c r="D12" i="11"/>
  <c r="D11" i="11"/>
  <c r="D12" i="5"/>
  <c r="AJ9" i="5"/>
  <c r="AJ51" i="5" s="1"/>
  <c r="B18" i="11"/>
  <c r="C24" i="6"/>
  <c r="C26" i="6"/>
  <c r="C11" i="6"/>
  <c r="D5" i="7"/>
  <c r="C5" i="7"/>
  <c r="B19" i="11"/>
  <c r="B5" i="7"/>
  <c r="C25" i="6"/>
  <c r="C9" i="6"/>
  <c r="B14" i="11" s="1"/>
  <c r="B13" i="11"/>
  <c r="M27" i="5"/>
  <c r="M26" i="5"/>
  <c r="AX9" i="5"/>
  <c r="AX51" i="5" s="1"/>
  <c r="AA9" i="5"/>
  <c r="AA51" i="5" s="1"/>
  <c r="L9" i="5"/>
  <c r="L51" i="5" s="1"/>
  <c r="F70" i="6"/>
  <c r="AC27" i="5"/>
  <c r="AC26" i="5"/>
  <c r="AU27" i="5"/>
  <c r="AU28" i="5" s="1"/>
  <c r="B9" i="5"/>
  <c r="B51" i="5" s="1"/>
  <c r="G18" i="11"/>
  <c r="E18" i="11"/>
  <c r="F24" i="6"/>
  <c r="G19" i="11"/>
  <c r="E19" i="11"/>
  <c r="F26" i="6"/>
  <c r="G13" i="11"/>
  <c r="E13" i="11"/>
  <c r="N5" i="7"/>
  <c r="F25" i="6"/>
  <c r="O5" i="7"/>
  <c r="P5" i="7"/>
  <c r="C11" i="11"/>
  <c r="C12" i="11"/>
  <c r="E27" i="5"/>
  <c r="E26" i="5"/>
  <c r="AP9" i="5"/>
  <c r="AP51" i="5" s="1"/>
  <c r="F27" i="5"/>
  <c r="F26" i="5"/>
  <c r="AD27" i="5"/>
  <c r="AD26" i="5"/>
  <c r="C12" i="5"/>
  <c r="K9" i="5"/>
  <c r="K51" i="5" s="1"/>
  <c r="BH9" i="5"/>
  <c r="BH51" i="5" s="1"/>
  <c r="AO9" i="5"/>
  <c r="AO51" i="5" s="1"/>
  <c r="BA27" i="5"/>
  <c r="BA26" i="5"/>
  <c r="AQ9" i="5"/>
  <c r="G27" i="5"/>
  <c r="G28" i="5" s="1"/>
  <c r="G9" i="5"/>
  <c r="AE27" i="5"/>
  <c r="AE26" i="5"/>
  <c r="BC27" i="5"/>
  <c r="BC26" i="5"/>
  <c r="E4" i="7"/>
  <c r="E29" i="7" s="1"/>
  <c r="B27" i="7"/>
  <c r="E27" i="7" s="1"/>
  <c r="C37" i="17"/>
  <c r="C38" i="17"/>
  <c r="AB27" i="5"/>
  <c r="AB26" i="5"/>
  <c r="AS27" i="5"/>
  <c r="AS28" i="5" s="1"/>
  <c r="AH26" i="5"/>
  <c r="AH27" i="5"/>
  <c r="BG26" i="5"/>
  <c r="BG27" i="5"/>
  <c r="G25" i="17"/>
  <c r="T5" i="15"/>
  <c r="G24" i="17"/>
  <c r="F13" i="16"/>
  <c r="F19" i="16"/>
  <c r="G11" i="17"/>
  <c r="S5" i="15"/>
  <c r="R5" i="15"/>
  <c r="F18" i="16"/>
  <c r="E26" i="17"/>
  <c r="L5" i="15"/>
  <c r="K5" i="15"/>
  <c r="E24" i="17"/>
  <c r="E11" i="17"/>
  <c r="D18" i="16"/>
  <c r="D19" i="16"/>
  <c r="E25" i="17"/>
  <c r="J5" i="15"/>
  <c r="G11" i="20"/>
  <c r="S5" i="18"/>
  <c r="R5" i="18"/>
  <c r="G25" i="20"/>
  <c r="G26" i="20"/>
  <c r="T5" i="18"/>
  <c r="F18" i="19"/>
  <c r="G24" i="20"/>
  <c r="G70" i="20"/>
  <c r="F13" i="19"/>
  <c r="F19" i="19"/>
  <c r="T14" i="2"/>
  <c r="U14" i="2" s="1"/>
  <c r="C70" i="6"/>
  <c r="BH27" i="5"/>
  <c r="BH26" i="5"/>
  <c r="F19" i="11"/>
  <c r="F13" i="11"/>
  <c r="T5" i="7"/>
  <c r="S5" i="7"/>
  <c r="G25" i="6"/>
  <c r="G24" i="6"/>
  <c r="C38" i="14"/>
  <c r="C37" i="6"/>
  <c r="D26" i="5"/>
  <c r="D28" i="5" s="1"/>
  <c r="AT26" i="5"/>
  <c r="AT28" i="5" s="1"/>
  <c r="E37" i="6"/>
  <c r="D38" i="14"/>
  <c r="M4" i="15"/>
  <c r="M29" i="15" s="1"/>
  <c r="Q4" i="7"/>
  <c r="Q29" i="7" s="1"/>
  <c r="U27" i="7"/>
  <c r="F37" i="6"/>
  <c r="F38" i="6"/>
  <c r="G41" i="16"/>
  <c r="E41" i="16"/>
  <c r="F65" i="17" s="1"/>
  <c r="N27" i="7"/>
  <c r="Q27" i="7" s="1"/>
  <c r="E38" i="14"/>
  <c r="E37" i="14"/>
  <c r="E9" i="5"/>
  <c r="E51" i="5" s="1"/>
  <c r="AC9" i="5"/>
  <c r="AC51" i="5" s="1"/>
  <c r="BA9" i="5"/>
  <c r="BA51" i="5" s="1"/>
  <c r="E36" i="13"/>
  <c r="F52" i="14" s="1"/>
  <c r="G36" i="13"/>
  <c r="F37" i="20"/>
  <c r="H37" i="20"/>
  <c r="D7" i="13"/>
  <c r="E21" i="14"/>
  <c r="L5" i="7"/>
  <c r="K5" i="7"/>
  <c r="D19" i="11"/>
  <c r="E26" i="6"/>
  <c r="E25" i="6"/>
  <c r="F12" i="11"/>
  <c r="F11" i="11"/>
  <c r="M9" i="5"/>
  <c r="AK9" i="5"/>
  <c r="BI9" i="5"/>
  <c r="B19" i="16"/>
  <c r="B13" i="16"/>
  <c r="D5" i="15"/>
  <c r="C9" i="17"/>
  <c r="B14" i="16" s="1"/>
  <c r="C24" i="17"/>
  <c r="C11" i="17"/>
  <c r="B5" i="15"/>
  <c r="C25" i="17"/>
  <c r="B18" i="16"/>
  <c r="C26" i="17"/>
  <c r="C5" i="15"/>
  <c r="K27" i="18"/>
  <c r="M27" i="18" s="1"/>
  <c r="M4" i="18"/>
  <c r="M29" i="18" s="1"/>
  <c r="G70" i="6"/>
  <c r="O9" i="5"/>
  <c r="O51" i="5" s="1"/>
  <c r="AM9" i="5"/>
  <c r="AM51" i="5" s="1"/>
  <c r="C19" i="16"/>
  <c r="C13" i="16"/>
  <c r="D24" i="17"/>
  <c r="D26" i="17"/>
  <c r="C18" i="16"/>
  <c r="D25" i="17"/>
  <c r="D11" i="17"/>
  <c r="G5" i="15"/>
  <c r="H5" i="15"/>
  <c r="O5" i="15"/>
  <c r="H25" i="17"/>
  <c r="F24" i="17"/>
  <c r="F11" i="17"/>
  <c r="P5" i="15"/>
  <c r="N5" i="15"/>
  <c r="G19" i="16"/>
  <c r="E19" i="16"/>
  <c r="E18" i="16"/>
  <c r="F70" i="17"/>
  <c r="C36" i="11"/>
  <c r="D52" i="6" s="1"/>
  <c r="D22" i="14"/>
  <c r="D21" i="14"/>
  <c r="Q4" i="15"/>
  <c r="Q29" i="15" s="1"/>
  <c r="N27" i="15"/>
  <c r="Q27" i="15" s="1"/>
  <c r="E8" i="7"/>
  <c r="D8" i="7"/>
  <c r="C8" i="7"/>
  <c r="E38" i="6"/>
  <c r="O5" i="12"/>
  <c r="O27" i="12"/>
  <c r="G41" i="11"/>
  <c r="E41" i="11"/>
  <c r="F65" i="6" s="1"/>
  <c r="AL27" i="5" s="1"/>
  <c r="G38" i="17"/>
  <c r="E8" i="6"/>
  <c r="E9" i="6" s="1"/>
  <c r="D14" i="11" s="1"/>
  <c r="G37" i="6"/>
  <c r="Q4" i="12"/>
  <c r="Q29" i="12" s="1"/>
  <c r="G18" i="16"/>
  <c r="B7" i="19"/>
  <c r="C21" i="20"/>
  <c r="C22" i="20"/>
  <c r="C38" i="6"/>
  <c r="R27" i="12"/>
  <c r="U4" i="12"/>
  <c r="U29" i="12" s="1"/>
  <c r="F25" i="17"/>
  <c r="D11" i="20"/>
  <c r="D24" i="20"/>
  <c r="C19" i="19"/>
  <c r="C18" i="19"/>
  <c r="F5" i="18"/>
  <c r="D70" i="20"/>
  <c r="N27" i="12"/>
  <c r="N5" i="12"/>
  <c r="F36" i="16"/>
  <c r="G52" i="17" s="1"/>
  <c r="E70" i="17"/>
  <c r="E4" i="15"/>
  <c r="E29" i="15" s="1"/>
  <c r="U4" i="18"/>
  <c r="U29" i="18" s="1"/>
  <c r="D8" i="14"/>
  <c r="D9" i="14" s="1"/>
  <c r="C14" i="13" s="1"/>
  <c r="E8" i="12"/>
  <c r="D8" i="12"/>
  <c r="C8" i="12"/>
  <c r="B8" i="12"/>
  <c r="F41" i="16"/>
  <c r="G65" i="17" s="1"/>
  <c r="B36" i="13"/>
  <c r="C52" i="14" s="1"/>
  <c r="C36" i="13"/>
  <c r="D52" i="14" s="1"/>
  <c r="D25" i="14"/>
  <c r="C19" i="13"/>
  <c r="C13" i="13"/>
  <c r="D26" i="14"/>
  <c r="B36" i="11"/>
  <c r="C52" i="6" s="1"/>
  <c r="E4" i="12"/>
  <c r="E29" i="12" s="1"/>
  <c r="D36" i="13"/>
  <c r="E52" i="14" s="1"/>
  <c r="C70" i="17"/>
  <c r="C27" i="18"/>
  <c r="C5" i="18"/>
  <c r="I27" i="12"/>
  <c r="D27" i="18"/>
  <c r="D5" i="18"/>
  <c r="U4" i="15"/>
  <c r="U29" i="15" s="1"/>
  <c r="C38" i="20"/>
  <c r="D38" i="20"/>
  <c r="I4" i="12"/>
  <c r="I29" i="12" s="1"/>
  <c r="F38" i="20"/>
  <c r="D37" i="17"/>
  <c r="L5" i="18"/>
  <c r="K5" i="18"/>
  <c r="E24" i="20"/>
  <c r="F38" i="14"/>
  <c r="C9" i="14"/>
  <c r="B14" i="13" s="1"/>
  <c r="E36" i="16"/>
  <c r="F52" i="17" s="1"/>
  <c r="C8" i="15"/>
  <c r="D8" i="17"/>
  <c r="D18" i="19"/>
  <c r="G37" i="20"/>
  <c r="E24" i="14"/>
  <c r="E11" i="20"/>
  <c r="E26" i="20"/>
  <c r="E37" i="20"/>
  <c r="E38" i="20"/>
  <c r="F24" i="14"/>
  <c r="F11" i="14"/>
  <c r="F19" i="13"/>
  <c r="F13" i="13"/>
  <c r="G11" i="14"/>
  <c r="B14" i="5" l="1"/>
  <c r="I27" i="18"/>
  <c r="H20" i="18"/>
  <c r="H19" i="18"/>
  <c r="C8" i="19" s="1"/>
  <c r="C9" i="19"/>
  <c r="H14" i="18"/>
  <c r="R14" i="7"/>
  <c r="H16" i="18"/>
  <c r="H18" i="18" s="1"/>
  <c r="D39" i="17"/>
  <c r="H21" i="18"/>
  <c r="R7" i="12"/>
  <c r="R14" i="12"/>
  <c r="R19" i="12"/>
  <c r="D41" i="17"/>
  <c r="C47" i="20"/>
  <c r="C48" i="20"/>
  <c r="AD28" i="5"/>
  <c r="F23" i="13"/>
  <c r="B71" i="2"/>
  <c r="R16" i="12"/>
  <c r="R22" i="12" s="1"/>
  <c r="R20" i="12"/>
  <c r="BC28" i="5"/>
  <c r="C34" i="5"/>
  <c r="D34" i="5" s="1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AS34" i="5" s="1"/>
  <c r="AT34" i="5" s="1"/>
  <c r="AU34" i="5" s="1"/>
  <c r="AV34" i="5" s="1"/>
  <c r="AW34" i="5" s="1"/>
  <c r="AX34" i="5" s="1"/>
  <c r="AY34" i="5" s="1"/>
  <c r="AZ34" i="5" s="1"/>
  <c r="BA34" i="5" s="1"/>
  <c r="BB34" i="5" s="1"/>
  <c r="BC34" i="5" s="1"/>
  <c r="BD34" i="5" s="1"/>
  <c r="BE34" i="5" s="1"/>
  <c r="BF34" i="5" s="1"/>
  <c r="BG34" i="5" s="1"/>
  <c r="BH34" i="5" s="1"/>
  <c r="BI34" i="5" s="1"/>
  <c r="F7" i="15"/>
  <c r="J20" i="18"/>
  <c r="F19" i="15"/>
  <c r="E54" i="17"/>
  <c r="E48" i="17"/>
  <c r="F40" i="17"/>
  <c r="R20" i="7"/>
  <c r="R21" i="7"/>
  <c r="BD28" i="5"/>
  <c r="G41" i="14"/>
  <c r="B76" i="2"/>
  <c r="S51" i="5"/>
  <c r="G39" i="20"/>
  <c r="S14" i="12"/>
  <c r="F6" i="13"/>
  <c r="G9" i="13"/>
  <c r="G47" i="17"/>
  <c r="B9" i="12"/>
  <c r="T16" i="2"/>
  <c r="U16" i="2" s="1"/>
  <c r="P19" i="12"/>
  <c r="G8" i="13" s="1"/>
  <c r="H40" i="17"/>
  <c r="H41" i="17"/>
  <c r="G54" i="17"/>
  <c r="F16" i="12"/>
  <c r="F18" i="12" s="1"/>
  <c r="D14" i="5"/>
  <c r="C22" i="14"/>
  <c r="I5" i="12"/>
  <c r="I28" i="12" s="1"/>
  <c r="D12" i="12"/>
  <c r="BE28" i="5"/>
  <c r="C21" i="14"/>
  <c r="T7" i="12"/>
  <c r="T21" i="12"/>
  <c r="F14" i="5"/>
  <c r="T14" i="12"/>
  <c r="M28" i="5"/>
  <c r="F9" i="13"/>
  <c r="E14" i="5"/>
  <c r="T22" i="12"/>
  <c r="T19" i="12"/>
  <c r="F8" i="13" s="1"/>
  <c r="G14" i="5"/>
  <c r="T20" i="12"/>
  <c r="R19" i="7"/>
  <c r="R7" i="7"/>
  <c r="E39" i="17"/>
  <c r="E40" i="17"/>
  <c r="S19" i="12"/>
  <c r="D7" i="12"/>
  <c r="G7" i="12"/>
  <c r="AE51" i="5"/>
  <c r="D54" i="14"/>
  <c r="D47" i="14"/>
  <c r="AB28" i="5"/>
  <c r="B9" i="13"/>
  <c r="E5" i="12"/>
  <c r="E11" i="12" s="1"/>
  <c r="H21" i="12"/>
  <c r="F48" i="14"/>
  <c r="D20" i="12"/>
  <c r="Q27" i="12"/>
  <c r="D47" i="20"/>
  <c r="H16" i="12"/>
  <c r="H18" i="12" s="1"/>
  <c r="D16" i="12"/>
  <c r="D22" i="12" s="1"/>
  <c r="M5" i="18"/>
  <c r="M13" i="18" s="1"/>
  <c r="G41" i="20"/>
  <c r="D14" i="12"/>
  <c r="C14" i="5"/>
  <c r="F20" i="15"/>
  <c r="D19" i="12"/>
  <c r="B8" i="13" s="1"/>
  <c r="D54" i="20"/>
  <c r="F16" i="15"/>
  <c r="F18" i="15" s="1"/>
  <c r="F21" i="15"/>
  <c r="AC28" i="5"/>
  <c r="J7" i="18"/>
  <c r="J16" i="18"/>
  <c r="J18" i="18" s="1"/>
  <c r="U27" i="12"/>
  <c r="J19" i="18"/>
  <c r="J21" i="18"/>
  <c r="G40" i="6"/>
  <c r="U5" i="7"/>
  <c r="U11" i="7" s="1"/>
  <c r="BA28" i="5"/>
  <c r="E8" i="20"/>
  <c r="I8" i="18"/>
  <c r="H8" i="18"/>
  <c r="G8" i="18"/>
  <c r="G12" i="18" s="1"/>
  <c r="F8" i="18"/>
  <c r="F12" i="18" s="1"/>
  <c r="D9" i="12"/>
  <c r="G48" i="14"/>
  <c r="G19" i="12"/>
  <c r="G14" i="12"/>
  <c r="G20" i="12"/>
  <c r="G47" i="14"/>
  <c r="AF28" i="5"/>
  <c r="B14" i="12"/>
  <c r="C47" i="14"/>
  <c r="F19" i="12"/>
  <c r="F7" i="12"/>
  <c r="F20" i="12"/>
  <c r="G20" i="18"/>
  <c r="F7" i="11"/>
  <c r="F39" i="17"/>
  <c r="G22" i="6"/>
  <c r="C48" i="14"/>
  <c r="G7" i="18"/>
  <c r="F48" i="17"/>
  <c r="P7" i="12"/>
  <c r="E9" i="13"/>
  <c r="P21" i="12"/>
  <c r="P20" i="12"/>
  <c r="P16" i="12"/>
  <c r="G21" i="18"/>
  <c r="F14" i="12"/>
  <c r="F47" i="17"/>
  <c r="G21" i="12"/>
  <c r="B16" i="12"/>
  <c r="B21" i="12"/>
  <c r="B7" i="12"/>
  <c r="B19" i="12"/>
  <c r="C23" i="19"/>
  <c r="B12" i="12"/>
  <c r="G14" i="18"/>
  <c r="G39" i="14"/>
  <c r="H19" i="12"/>
  <c r="C9" i="13"/>
  <c r="H14" i="12"/>
  <c r="H20" i="12"/>
  <c r="G16" i="12"/>
  <c r="G22" i="12" s="1"/>
  <c r="C6" i="13"/>
  <c r="F54" i="14"/>
  <c r="U5" i="12"/>
  <c r="S21" i="12"/>
  <c r="S20" i="12"/>
  <c r="S16" i="12"/>
  <c r="C6" i="19"/>
  <c r="G16" i="18"/>
  <c r="G22" i="18" s="1"/>
  <c r="B20" i="12"/>
  <c r="C23" i="13"/>
  <c r="C58" i="20"/>
  <c r="C58" i="17"/>
  <c r="C58" i="14"/>
  <c r="C58" i="6"/>
  <c r="G54" i="6"/>
  <c r="G47" i="6"/>
  <c r="G48" i="6"/>
  <c r="T19" i="18"/>
  <c r="T7" i="18"/>
  <c r="T21" i="18"/>
  <c r="T16" i="18"/>
  <c r="T20" i="18"/>
  <c r="F9" i="19"/>
  <c r="T14" i="18"/>
  <c r="C6" i="11"/>
  <c r="G12" i="7"/>
  <c r="C23" i="11"/>
  <c r="G7" i="7"/>
  <c r="G20" i="7"/>
  <c r="G19" i="7"/>
  <c r="G9" i="7"/>
  <c r="G16" i="7"/>
  <c r="G21" i="7"/>
  <c r="G14" i="7"/>
  <c r="F19" i="7"/>
  <c r="F7" i="7"/>
  <c r="F12" i="7"/>
  <c r="F16" i="7"/>
  <c r="F14" i="7"/>
  <c r="F9" i="7"/>
  <c r="F20" i="7"/>
  <c r="I5" i="7"/>
  <c r="F21" i="7"/>
  <c r="D41" i="20"/>
  <c r="D39" i="20"/>
  <c r="D40" i="20"/>
  <c r="E22" i="20"/>
  <c r="E21" i="20"/>
  <c r="D7" i="19"/>
  <c r="S19" i="18"/>
  <c r="S7" i="18"/>
  <c r="S21" i="18"/>
  <c r="F6" i="19"/>
  <c r="F23" i="19"/>
  <c r="S16" i="18"/>
  <c r="S14" i="18"/>
  <c r="S20" i="18"/>
  <c r="M51" i="5"/>
  <c r="B69" i="2"/>
  <c r="R22" i="7"/>
  <c r="R18" i="7"/>
  <c r="AW51" i="5"/>
  <c r="B75" i="2"/>
  <c r="J20" i="7"/>
  <c r="J14" i="7"/>
  <c r="M5" i="7"/>
  <c r="J21" i="7"/>
  <c r="J7" i="7"/>
  <c r="J16" i="7"/>
  <c r="J19" i="7"/>
  <c r="K21" i="12"/>
  <c r="K14" i="12"/>
  <c r="D6" i="13"/>
  <c r="K20" i="12"/>
  <c r="D23" i="13"/>
  <c r="K16" i="12"/>
  <c r="K19" i="12"/>
  <c r="K7" i="12"/>
  <c r="D21" i="20"/>
  <c r="D22" i="20"/>
  <c r="C7" i="19"/>
  <c r="G21" i="15"/>
  <c r="G16" i="15"/>
  <c r="C23" i="16"/>
  <c r="G20" i="15"/>
  <c r="G14" i="15"/>
  <c r="C6" i="16"/>
  <c r="G7" i="15"/>
  <c r="G19" i="15"/>
  <c r="M5" i="15"/>
  <c r="J14" i="15"/>
  <c r="J19" i="15"/>
  <c r="J16" i="15"/>
  <c r="J20" i="15"/>
  <c r="J7" i="15"/>
  <c r="J21" i="15"/>
  <c r="P21" i="7"/>
  <c r="P20" i="7"/>
  <c r="E9" i="11"/>
  <c r="P16" i="7"/>
  <c r="P19" i="7"/>
  <c r="G9" i="11"/>
  <c r="P7" i="7"/>
  <c r="P14" i="7"/>
  <c r="E8" i="17"/>
  <c r="I8" i="15"/>
  <c r="H8" i="15"/>
  <c r="H12" i="15" s="1"/>
  <c r="F8" i="15"/>
  <c r="G8" i="15"/>
  <c r="G9" i="15" s="1"/>
  <c r="D21" i="17"/>
  <c r="C7" i="16"/>
  <c r="D22" i="17"/>
  <c r="BH28" i="5"/>
  <c r="BG28" i="5"/>
  <c r="AE28" i="5"/>
  <c r="F28" i="5"/>
  <c r="AN28" i="5"/>
  <c r="G6" i="11"/>
  <c r="E6" i="11"/>
  <c r="O14" i="7"/>
  <c r="O20" i="7"/>
  <c r="O16" i="7"/>
  <c r="G23" i="11"/>
  <c r="E23" i="11"/>
  <c r="O7" i="7"/>
  <c r="O19" i="7"/>
  <c r="O21" i="7"/>
  <c r="B68" i="2"/>
  <c r="G51" i="5"/>
  <c r="C40" i="6"/>
  <c r="C39" i="6"/>
  <c r="C41" i="6"/>
  <c r="B12" i="7"/>
  <c r="B16" i="7"/>
  <c r="B9" i="7"/>
  <c r="B19" i="7"/>
  <c r="B20" i="7"/>
  <c r="E5" i="7"/>
  <c r="B14" i="7"/>
  <c r="B21" i="7"/>
  <c r="B7" i="7"/>
  <c r="D9" i="17"/>
  <c r="C14" i="16" s="1"/>
  <c r="C21" i="17"/>
  <c r="C22" i="17"/>
  <c r="B7" i="16"/>
  <c r="I5" i="15"/>
  <c r="E27" i="18"/>
  <c r="L8" i="7"/>
  <c r="L12" i="7" s="1"/>
  <c r="J8" i="7"/>
  <c r="J9" i="7" s="1"/>
  <c r="M8" i="7"/>
  <c r="F8" i="6"/>
  <c r="K8" i="7"/>
  <c r="K9" i="7" s="1"/>
  <c r="G21" i="17"/>
  <c r="G22" i="17"/>
  <c r="F7" i="16"/>
  <c r="G9" i="19"/>
  <c r="P20" i="18"/>
  <c r="P14" i="18"/>
  <c r="P21" i="18"/>
  <c r="E9" i="19"/>
  <c r="P7" i="18"/>
  <c r="P16" i="18"/>
  <c r="P19" i="18"/>
  <c r="T19" i="15"/>
  <c r="T7" i="15"/>
  <c r="T21" i="15"/>
  <c r="T20" i="15"/>
  <c r="T16" i="15"/>
  <c r="F9" i="16"/>
  <c r="T14" i="15"/>
  <c r="BI51" i="5"/>
  <c r="B77" i="2"/>
  <c r="F54" i="20"/>
  <c r="F48" i="20"/>
  <c r="F47" i="20"/>
  <c r="C47" i="17"/>
  <c r="C54" i="17"/>
  <c r="C48" i="17"/>
  <c r="AH28" i="5"/>
  <c r="E5" i="15"/>
  <c r="B19" i="15"/>
  <c r="B16" i="15"/>
  <c r="B7" i="15"/>
  <c r="B20" i="15"/>
  <c r="B12" i="15"/>
  <c r="B21" i="15"/>
  <c r="B14" i="15"/>
  <c r="B9" i="15"/>
  <c r="F54" i="6"/>
  <c r="F47" i="6"/>
  <c r="F48" i="6"/>
  <c r="I28" i="5"/>
  <c r="C41" i="14"/>
  <c r="C40" i="14"/>
  <c r="C39" i="14"/>
  <c r="N14" i="15"/>
  <c r="N20" i="15"/>
  <c r="N16" i="15"/>
  <c r="Q5" i="15"/>
  <c r="N19" i="15"/>
  <c r="N7" i="15"/>
  <c r="N21" i="15"/>
  <c r="D6" i="11"/>
  <c r="K21" i="7"/>
  <c r="K7" i="7"/>
  <c r="K14" i="7"/>
  <c r="K20" i="7"/>
  <c r="D23" i="11"/>
  <c r="K16" i="7"/>
  <c r="K19" i="7"/>
  <c r="AQ51" i="5"/>
  <c r="B74" i="2"/>
  <c r="B6" i="11"/>
  <c r="C16" i="7"/>
  <c r="C20" i="7"/>
  <c r="B23" i="11"/>
  <c r="C19" i="7"/>
  <c r="C14" i="7"/>
  <c r="C7" i="7"/>
  <c r="C21" i="7"/>
  <c r="C9" i="7"/>
  <c r="C12" i="7"/>
  <c r="U5" i="15"/>
  <c r="R20" i="15"/>
  <c r="R16" i="15"/>
  <c r="R14" i="15"/>
  <c r="R7" i="15"/>
  <c r="R21" i="15"/>
  <c r="R19" i="15"/>
  <c r="G9" i="16"/>
  <c r="P20" i="15"/>
  <c r="P14" i="15"/>
  <c r="P16" i="15"/>
  <c r="P21" i="15"/>
  <c r="P7" i="15"/>
  <c r="E9" i="16"/>
  <c r="P19" i="15"/>
  <c r="L20" i="7"/>
  <c r="L14" i="7"/>
  <c r="L21" i="7"/>
  <c r="L7" i="7"/>
  <c r="D9" i="11"/>
  <c r="L19" i="7"/>
  <c r="L16" i="7"/>
  <c r="D6" i="16"/>
  <c r="K16" i="15"/>
  <c r="K20" i="15"/>
  <c r="K14" i="15"/>
  <c r="D23" i="16"/>
  <c r="K19" i="15"/>
  <c r="K7" i="15"/>
  <c r="K21" i="15"/>
  <c r="D12" i="7"/>
  <c r="D16" i="7"/>
  <c r="D20" i="7"/>
  <c r="D19" i="7"/>
  <c r="D21" i="7"/>
  <c r="D9" i="7"/>
  <c r="B9" i="11"/>
  <c r="D14" i="7"/>
  <c r="D7" i="7"/>
  <c r="S19" i="15"/>
  <c r="S7" i="15"/>
  <c r="F6" i="16"/>
  <c r="F23" i="16"/>
  <c r="S20" i="15"/>
  <c r="S14" i="15"/>
  <c r="S21" i="15"/>
  <c r="S16" i="15"/>
  <c r="N21" i="12"/>
  <c r="N14" i="12"/>
  <c r="N20" i="12"/>
  <c r="N19" i="12"/>
  <c r="Q5" i="12"/>
  <c r="N16" i="12"/>
  <c r="N7" i="12"/>
  <c r="G39" i="6"/>
  <c r="G39" i="17"/>
  <c r="G40" i="17"/>
  <c r="G41" i="17"/>
  <c r="AK51" i="5"/>
  <c r="B73" i="2"/>
  <c r="H16" i="15"/>
  <c r="H20" i="15"/>
  <c r="H14" i="15"/>
  <c r="C9" i="16"/>
  <c r="H7" i="15"/>
  <c r="H19" i="15"/>
  <c r="H21" i="15"/>
  <c r="D7" i="16"/>
  <c r="E21" i="17"/>
  <c r="E22" i="17"/>
  <c r="N21" i="7"/>
  <c r="N14" i="7"/>
  <c r="N20" i="7"/>
  <c r="Q5" i="7"/>
  <c r="N7" i="7"/>
  <c r="N16" i="7"/>
  <c r="N19" i="7"/>
  <c r="B23" i="13"/>
  <c r="B6" i="13"/>
  <c r="C9" i="12"/>
  <c r="C20" i="12"/>
  <c r="C19" i="12"/>
  <c r="C7" i="12"/>
  <c r="C21" i="12"/>
  <c r="C12" i="12"/>
  <c r="C14" i="12"/>
  <c r="C16" i="12"/>
  <c r="F41" i="14"/>
  <c r="H40" i="14"/>
  <c r="F40" i="14"/>
  <c r="F39" i="14"/>
  <c r="H41" i="14"/>
  <c r="G22" i="14"/>
  <c r="G21" i="14"/>
  <c r="F7" i="13"/>
  <c r="K21" i="18"/>
  <c r="K19" i="18"/>
  <c r="K7" i="18"/>
  <c r="D6" i="19"/>
  <c r="K16" i="18"/>
  <c r="D23" i="19"/>
  <c r="K14" i="18"/>
  <c r="K20" i="18"/>
  <c r="F21" i="17"/>
  <c r="F22" i="17"/>
  <c r="E7" i="16"/>
  <c r="D21" i="15"/>
  <c r="D9" i="15"/>
  <c r="D19" i="15"/>
  <c r="D7" i="15"/>
  <c r="B9" i="16"/>
  <c r="D16" i="15"/>
  <c r="D20" i="15"/>
  <c r="D14" i="15"/>
  <c r="D12" i="15"/>
  <c r="L19" i="15"/>
  <c r="L7" i="15"/>
  <c r="L21" i="15"/>
  <c r="L14" i="15"/>
  <c r="D9" i="16"/>
  <c r="L16" i="15"/>
  <c r="L20" i="15"/>
  <c r="C21" i="6"/>
  <c r="B7" i="11"/>
  <c r="C22" i="6"/>
  <c r="O16" i="18"/>
  <c r="G6" i="19"/>
  <c r="O20" i="18"/>
  <c r="O14" i="18"/>
  <c r="E6" i="19"/>
  <c r="E23" i="19"/>
  <c r="O7" i="18"/>
  <c r="G23" i="19"/>
  <c r="O19" i="18"/>
  <c r="O21" i="18"/>
  <c r="F39" i="20"/>
  <c r="H41" i="20"/>
  <c r="F41" i="20"/>
  <c r="H40" i="20"/>
  <c r="F40" i="20"/>
  <c r="O20" i="15"/>
  <c r="E23" i="16"/>
  <c r="O16" i="15"/>
  <c r="O14" i="15"/>
  <c r="O7" i="15"/>
  <c r="G23" i="16"/>
  <c r="O19" i="15"/>
  <c r="E6" i="16"/>
  <c r="G6" i="16"/>
  <c r="O21" i="15"/>
  <c r="D9" i="13"/>
  <c r="L21" i="12"/>
  <c r="L14" i="12"/>
  <c r="L20" i="12"/>
  <c r="L19" i="12"/>
  <c r="L7" i="12"/>
  <c r="L16" i="12"/>
  <c r="D39" i="14"/>
  <c r="D40" i="14"/>
  <c r="D41" i="14"/>
  <c r="N21" i="18"/>
  <c r="N16" i="18"/>
  <c r="Q5" i="18"/>
  <c r="N19" i="18"/>
  <c r="N7" i="18"/>
  <c r="N20" i="18"/>
  <c r="N14" i="18"/>
  <c r="D39" i="6"/>
  <c r="D40" i="6"/>
  <c r="D41" i="6"/>
  <c r="H19" i="7"/>
  <c r="H7" i="7"/>
  <c r="H14" i="7"/>
  <c r="H20" i="7"/>
  <c r="C9" i="11"/>
  <c r="H16" i="7"/>
  <c r="H12" i="7"/>
  <c r="H9" i="7"/>
  <c r="H21" i="7"/>
  <c r="E7" i="19"/>
  <c r="F22" i="20"/>
  <c r="F21" i="20"/>
  <c r="C41" i="20"/>
  <c r="C40" i="20"/>
  <c r="C39" i="20"/>
  <c r="F19" i="18"/>
  <c r="F7" i="18"/>
  <c r="F20" i="18"/>
  <c r="F14" i="18"/>
  <c r="F16" i="18"/>
  <c r="F21" i="18"/>
  <c r="I5" i="18"/>
  <c r="M27" i="12"/>
  <c r="G22" i="20"/>
  <c r="F7" i="19"/>
  <c r="G21" i="20"/>
  <c r="AG28" i="5"/>
  <c r="C40" i="17"/>
  <c r="C41" i="17"/>
  <c r="C39" i="17"/>
  <c r="C19" i="18"/>
  <c r="C7" i="18"/>
  <c r="C21" i="18"/>
  <c r="C9" i="18"/>
  <c r="B23" i="19"/>
  <c r="C20" i="18"/>
  <c r="B6" i="19"/>
  <c r="C14" i="18"/>
  <c r="C12" i="18"/>
  <c r="C16" i="18"/>
  <c r="E39" i="6"/>
  <c r="E40" i="6"/>
  <c r="E41" i="6"/>
  <c r="C20" i="15"/>
  <c r="C14" i="15"/>
  <c r="C21" i="15"/>
  <c r="C9" i="15"/>
  <c r="B23" i="16"/>
  <c r="C7" i="15"/>
  <c r="C12" i="15"/>
  <c r="C16" i="15"/>
  <c r="C19" i="15"/>
  <c r="B6" i="16"/>
  <c r="B12" i="18"/>
  <c r="B19" i="18"/>
  <c r="B7" i="18"/>
  <c r="B20" i="18"/>
  <c r="B14" i="18"/>
  <c r="B16" i="18"/>
  <c r="E5" i="18"/>
  <c r="B21" i="18"/>
  <c r="B9" i="18"/>
  <c r="L19" i="18"/>
  <c r="L7" i="18"/>
  <c r="L21" i="18"/>
  <c r="L14" i="18"/>
  <c r="D9" i="19"/>
  <c r="L20" i="18"/>
  <c r="L16" i="18"/>
  <c r="E48" i="14"/>
  <c r="E47" i="14"/>
  <c r="E54" i="14"/>
  <c r="F6" i="11"/>
  <c r="S14" i="7"/>
  <c r="S16" i="7"/>
  <c r="S21" i="7"/>
  <c r="S7" i="7"/>
  <c r="F23" i="11"/>
  <c r="S20" i="7"/>
  <c r="S19" i="7"/>
  <c r="E28" i="5"/>
  <c r="E7" i="13"/>
  <c r="F21" i="14"/>
  <c r="F22" i="14"/>
  <c r="E8" i="14"/>
  <c r="F8" i="12"/>
  <c r="I8" i="12"/>
  <c r="H8" i="12"/>
  <c r="G8" i="12"/>
  <c r="E40" i="20"/>
  <c r="E39" i="20"/>
  <c r="E41" i="20"/>
  <c r="D54" i="6"/>
  <c r="D48" i="6"/>
  <c r="D47" i="6"/>
  <c r="E48" i="20"/>
  <c r="E54" i="20"/>
  <c r="E47" i="20"/>
  <c r="E54" i="6"/>
  <c r="E48" i="6"/>
  <c r="E47" i="6"/>
  <c r="M5" i="12"/>
  <c r="J21" i="12"/>
  <c r="J14" i="12"/>
  <c r="J16" i="12"/>
  <c r="J19" i="12"/>
  <c r="J20" i="12"/>
  <c r="J7" i="12"/>
  <c r="R16" i="18"/>
  <c r="R21" i="18"/>
  <c r="R19" i="18"/>
  <c r="U5" i="18"/>
  <c r="R14" i="18"/>
  <c r="R20" i="18"/>
  <c r="R7" i="18"/>
  <c r="D21" i="18"/>
  <c r="D9" i="18"/>
  <c r="D20" i="18"/>
  <c r="D14" i="18"/>
  <c r="D7" i="18"/>
  <c r="B9" i="19"/>
  <c r="D16" i="18"/>
  <c r="D19" i="18"/>
  <c r="D12" i="18"/>
  <c r="G6" i="13"/>
  <c r="E6" i="13"/>
  <c r="O19" i="12"/>
  <c r="O21" i="12"/>
  <c r="E23" i="13"/>
  <c r="O16" i="12"/>
  <c r="O20" i="12"/>
  <c r="O14" i="12"/>
  <c r="O7" i="12"/>
  <c r="G23" i="13"/>
  <c r="G54" i="20"/>
  <c r="G48" i="20"/>
  <c r="G47" i="20"/>
  <c r="C47" i="6"/>
  <c r="C48" i="6"/>
  <c r="C54" i="6"/>
  <c r="F39" i="6"/>
  <c r="F40" i="6"/>
  <c r="F41" i="6"/>
  <c r="D54" i="17"/>
  <c r="D48" i="17"/>
  <c r="D47" i="17"/>
  <c r="E40" i="14"/>
  <c r="E41" i="14"/>
  <c r="E39" i="14"/>
  <c r="T16" i="7"/>
  <c r="F9" i="11"/>
  <c r="T20" i="7"/>
  <c r="T7" i="7"/>
  <c r="T21" i="7"/>
  <c r="T19" i="7"/>
  <c r="T14" i="7"/>
  <c r="H28" i="5"/>
  <c r="H22" i="18" l="1"/>
  <c r="R23" i="12"/>
  <c r="E56" i="17"/>
  <c r="C56" i="20"/>
  <c r="I14" i="15"/>
  <c r="D15" i="17" s="1"/>
  <c r="U7" i="12"/>
  <c r="G10" i="14" s="1"/>
  <c r="G20" i="14" s="1"/>
  <c r="U13" i="7"/>
  <c r="D42" i="17"/>
  <c r="G56" i="20"/>
  <c r="H23" i="18"/>
  <c r="H42" i="17"/>
  <c r="R18" i="12"/>
  <c r="U20" i="7"/>
  <c r="I14" i="18"/>
  <c r="D15" i="20" s="1"/>
  <c r="G42" i="20"/>
  <c r="G56" i="17"/>
  <c r="G42" i="14"/>
  <c r="F9" i="18"/>
  <c r="E9" i="12"/>
  <c r="E10" i="12" s="1"/>
  <c r="I7" i="12"/>
  <c r="D10" i="14" s="1"/>
  <c r="D20" i="14" s="1"/>
  <c r="H9" i="15"/>
  <c r="U14" i="12"/>
  <c r="G15" i="14" s="1"/>
  <c r="M28" i="18"/>
  <c r="E42" i="17"/>
  <c r="E60" i="17" s="1"/>
  <c r="M11" i="18"/>
  <c r="D42" i="14"/>
  <c r="F22" i="12"/>
  <c r="F23" i="12" s="1"/>
  <c r="I21" i="12"/>
  <c r="D27" i="14" s="1"/>
  <c r="G42" i="6"/>
  <c r="AZ15" i="5" s="1"/>
  <c r="H56" i="14"/>
  <c r="I13" i="12"/>
  <c r="C42" i="14"/>
  <c r="I11" i="12"/>
  <c r="M20" i="18"/>
  <c r="U28" i="7"/>
  <c r="E20" i="12"/>
  <c r="I20" i="12"/>
  <c r="G23" i="18"/>
  <c r="T23" i="12"/>
  <c r="E8" i="13"/>
  <c r="K12" i="7"/>
  <c r="U21" i="12"/>
  <c r="G27" i="14" s="1"/>
  <c r="F22" i="15"/>
  <c r="F23" i="15" s="1"/>
  <c r="U20" i="12"/>
  <c r="E56" i="6"/>
  <c r="AH16" i="5" s="1"/>
  <c r="D56" i="20"/>
  <c r="D18" i="12"/>
  <c r="D24" i="12" s="1"/>
  <c r="M19" i="18"/>
  <c r="D56" i="14"/>
  <c r="I7" i="15"/>
  <c r="D10" i="17" s="1"/>
  <c r="D20" i="17" s="1"/>
  <c r="U14" i="7"/>
  <c r="G15" i="6" s="1"/>
  <c r="D23" i="12"/>
  <c r="U21" i="7"/>
  <c r="G27" i="6" s="1"/>
  <c r="C42" i="20"/>
  <c r="E28" i="12"/>
  <c r="G18" i="18"/>
  <c r="G24" i="18" s="1"/>
  <c r="F56" i="14"/>
  <c r="E13" i="12"/>
  <c r="I21" i="18"/>
  <c r="D27" i="20" s="1"/>
  <c r="U19" i="12"/>
  <c r="I7" i="18"/>
  <c r="D10" i="20" s="1"/>
  <c r="D20" i="20" s="1"/>
  <c r="M14" i="7"/>
  <c r="E15" i="6" s="1"/>
  <c r="F42" i="14"/>
  <c r="E42" i="14"/>
  <c r="D56" i="17"/>
  <c r="E21" i="12"/>
  <c r="C27" i="14" s="1"/>
  <c r="M21" i="18"/>
  <c r="E27" i="20" s="1"/>
  <c r="G9" i="18"/>
  <c r="I14" i="7"/>
  <c r="D15" i="6" s="1"/>
  <c r="E7" i="12"/>
  <c r="F42" i="17"/>
  <c r="Q14" i="15"/>
  <c r="F15" i="17" s="1"/>
  <c r="M7" i="18"/>
  <c r="E10" i="20" s="1"/>
  <c r="E20" i="20" s="1"/>
  <c r="J22" i="18"/>
  <c r="J23" i="18" s="1"/>
  <c r="H22" i="12"/>
  <c r="E42" i="6"/>
  <c r="AH15" i="5" s="1"/>
  <c r="C42" i="6"/>
  <c r="K15" i="5" s="1"/>
  <c r="D56" i="6"/>
  <c r="N16" i="5" s="1"/>
  <c r="J12" i="7"/>
  <c r="I19" i="12"/>
  <c r="M14" i="12"/>
  <c r="E15" i="14" s="1"/>
  <c r="M14" i="18"/>
  <c r="E15" i="20" s="1"/>
  <c r="I16" i="12"/>
  <c r="I15" i="12" s="1"/>
  <c r="G12" i="15"/>
  <c r="M7" i="7"/>
  <c r="E10" i="6" s="1"/>
  <c r="E20" i="6" s="1"/>
  <c r="I20" i="18"/>
  <c r="B18" i="12"/>
  <c r="B24" i="12" s="1"/>
  <c r="B22" i="12"/>
  <c r="B23" i="12" s="1"/>
  <c r="C56" i="14"/>
  <c r="I21" i="15"/>
  <c r="D27" i="17" s="1"/>
  <c r="D42" i="20"/>
  <c r="I20" i="15"/>
  <c r="Q21" i="18"/>
  <c r="F27" i="20" s="1"/>
  <c r="M20" i="7"/>
  <c r="U16" i="12"/>
  <c r="S18" i="12"/>
  <c r="S22" i="12"/>
  <c r="P22" i="12"/>
  <c r="P23" i="12" s="1"/>
  <c r="P18" i="12"/>
  <c r="G23" i="12"/>
  <c r="G18" i="12"/>
  <c r="I18" i="12" s="1"/>
  <c r="D16" i="14" s="1"/>
  <c r="I14" i="12"/>
  <c r="D15" i="14" s="1"/>
  <c r="F42" i="6"/>
  <c r="AV15" i="5" s="1"/>
  <c r="E56" i="20"/>
  <c r="U16" i="7"/>
  <c r="G12" i="6" s="1"/>
  <c r="F10" i="11" s="1"/>
  <c r="F22" i="11" s="1"/>
  <c r="C42" i="17"/>
  <c r="U13" i="12"/>
  <c r="U11" i="12"/>
  <c r="U28" i="12"/>
  <c r="M21" i="7"/>
  <c r="E27" i="6" s="1"/>
  <c r="F56" i="17"/>
  <c r="H56" i="17"/>
  <c r="F42" i="20"/>
  <c r="E14" i="7"/>
  <c r="C15" i="6" s="1"/>
  <c r="G56" i="14"/>
  <c r="U14" i="18"/>
  <c r="G15" i="20" s="1"/>
  <c r="G42" i="17"/>
  <c r="M7" i="15"/>
  <c r="E10" i="17" s="1"/>
  <c r="E20" i="17" s="1"/>
  <c r="I7" i="7"/>
  <c r="D10" i="6" s="1"/>
  <c r="D20" i="6" s="1"/>
  <c r="E42" i="20"/>
  <c r="H42" i="14"/>
  <c r="C8" i="13"/>
  <c r="E56" i="14"/>
  <c r="H9" i="18"/>
  <c r="H12" i="18"/>
  <c r="H24" i="18" s="1"/>
  <c r="U20" i="18"/>
  <c r="M16" i="18"/>
  <c r="M17" i="18" s="1"/>
  <c r="E14" i="12"/>
  <c r="C15" i="14" s="1"/>
  <c r="Q7" i="12"/>
  <c r="F10" i="14" s="1"/>
  <c r="F20" i="14" s="1"/>
  <c r="D42" i="6"/>
  <c r="U15" i="5" s="1"/>
  <c r="K8" i="18"/>
  <c r="L8" i="18"/>
  <c r="M8" i="18"/>
  <c r="F8" i="20"/>
  <c r="J8" i="18"/>
  <c r="E9" i="20"/>
  <c r="D14" i="19" s="1"/>
  <c r="B8" i="16"/>
  <c r="O22" i="18"/>
  <c r="O23" i="18" s="1"/>
  <c r="O18" i="18"/>
  <c r="I12" i="7"/>
  <c r="D14" i="6" s="1"/>
  <c r="M21" i="12"/>
  <c r="E27" i="14" s="1"/>
  <c r="D18" i="18"/>
  <c r="D24" i="18" s="1"/>
  <c r="D22" i="18"/>
  <c r="D23" i="18" s="1"/>
  <c r="G22" i="15"/>
  <c r="G23" i="15" s="1"/>
  <c r="G18" i="15"/>
  <c r="E8" i="19"/>
  <c r="G8" i="19"/>
  <c r="C8" i="16"/>
  <c r="D8" i="11"/>
  <c r="K18" i="18"/>
  <c r="K22" i="18"/>
  <c r="K23" i="18" s="1"/>
  <c r="F22" i="18"/>
  <c r="I22" i="18" s="1"/>
  <c r="F18" i="18"/>
  <c r="I16" i="18"/>
  <c r="I15" i="18" s="1"/>
  <c r="F17" i="5"/>
  <c r="E17" i="5"/>
  <c r="D17" i="5"/>
  <c r="G17" i="5"/>
  <c r="C17" i="5"/>
  <c r="B17" i="5"/>
  <c r="U7" i="18"/>
  <c r="G10" i="20" s="1"/>
  <c r="G20" i="20" s="1"/>
  <c r="E9" i="18"/>
  <c r="E10" i="18" s="1"/>
  <c r="C8" i="11"/>
  <c r="L9" i="7"/>
  <c r="M9" i="7" s="1"/>
  <c r="M10" i="7" s="1"/>
  <c r="E7" i="7"/>
  <c r="C10" i="6" s="1"/>
  <c r="C20" i="6" s="1"/>
  <c r="M21" i="15"/>
  <c r="E27" i="17" s="1"/>
  <c r="U19" i="7"/>
  <c r="E21" i="18"/>
  <c r="C27" i="20" s="1"/>
  <c r="Q19" i="7"/>
  <c r="H22" i="15"/>
  <c r="H23" i="15" s="1"/>
  <c r="H18" i="15"/>
  <c r="H24" i="15" s="1"/>
  <c r="U20" i="15"/>
  <c r="F56" i="6"/>
  <c r="E21" i="7"/>
  <c r="C27" i="6" s="1"/>
  <c r="M19" i="12"/>
  <c r="F8" i="16"/>
  <c r="C22" i="15"/>
  <c r="C23" i="15" s="1"/>
  <c r="C18" i="15"/>
  <c r="C24" i="15" s="1"/>
  <c r="M19" i="7"/>
  <c r="C22" i="12"/>
  <c r="C23" i="12" s="1"/>
  <c r="C18" i="12"/>
  <c r="C24" i="12" s="1"/>
  <c r="E16" i="12"/>
  <c r="K22" i="15"/>
  <c r="K23" i="15" s="1"/>
  <c r="K18" i="15"/>
  <c r="E19" i="12"/>
  <c r="L18" i="15"/>
  <c r="L22" i="15"/>
  <c r="L23" i="15" s="1"/>
  <c r="P18" i="7"/>
  <c r="P22" i="7"/>
  <c r="P23" i="7" s="1"/>
  <c r="U19" i="15"/>
  <c r="F8" i="11"/>
  <c r="U7" i="15"/>
  <c r="G10" i="17" s="1"/>
  <c r="G20" i="17" s="1"/>
  <c r="U16" i="15"/>
  <c r="U15" i="15" s="1"/>
  <c r="R18" i="15"/>
  <c r="R22" i="15"/>
  <c r="R23" i="15" s="1"/>
  <c r="E12" i="12"/>
  <c r="C14" i="14" s="1"/>
  <c r="E11" i="18"/>
  <c r="E28" i="18"/>
  <c r="E13" i="18"/>
  <c r="T22" i="7"/>
  <c r="T23" i="7" s="1"/>
  <c r="T18" i="7"/>
  <c r="O18" i="12"/>
  <c r="O22" i="12"/>
  <c r="O23" i="12" s="1"/>
  <c r="B8" i="11"/>
  <c r="E14" i="15"/>
  <c r="C15" i="17" s="1"/>
  <c r="E20" i="18"/>
  <c r="D8" i="16"/>
  <c r="Q28" i="12"/>
  <c r="Q13" i="12"/>
  <c r="Q11" i="12"/>
  <c r="Q20" i="7"/>
  <c r="M19" i="15"/>
  <c r="I19" i="7"/>
  <c r="P18" i="18"/>
  <c r="P22" i="18"/>
  <c r="P23" i="18" s="1"/>
  <c r="G22" i="7"/>
  <c r="G23" i="7" s="1"/>
  <c r="G18" i="7"/>
  <c r="G24" i="7" s="1"/>
  <c r="C56" i="6"/>
  <c r="E9" i="14"/>
  <c r="D14" i="13" s="1"/>
  <c r="F8" i="14"/>
  <c r="L8" i="12"/>
  <c r="K8" i="12"/>
  <c r="J8" i="12"/>
  <c r="M8" i="12"/>
  <c r="M11" i="7"/>
  <c r="M28" i="7"/>
  <c r="M13" i="7"/>
  <c r="H42" i="20"/>
  <c r="I16" i="15"/>
  <c r="U13" i="18"/>
  <c r="U11" i="18"/>
  <c r="U28" i="18"/>
  <c r="E14" i="18"/>
  <c r="C15" i="20" s="1"/>
  <c r="E20" i="7"/>
  <c r="I19" i="18"/>
  <c r="E21" i="15"/>
  <c r="C27" i="17" s="1"/>
  <c r="E19" i="7"/>
  <c r="F9" i="15"/>
  <c r="F12" i="15"/>
  <c r="J22" i="15"/>
  <c r="J23" i="15" s="1"/>
  <c r="J18" i="15"/>
  <c r="M16" i="15"/>
  <c r="M15" i="15" s="1"/>
  <c r="U19" i="18"/>
  <c r="Q20" i="18"/>
  <c r="U21" i="18"/>
  <c r="G27" i="20" s="1"/>
  <c r="E19" i="18"/>
  <c r="Q7" i="18"/>
  <c r="F10" i="20" s="1"/>
  <c r="F20" i="20" s="1"/>
  <c r="Q14" i="7"/>
  <c r="F15" i="6" s="1"/>
  <c r="Q20" i="12"/>
  <c r="Q7" i="15"/>
  <c r="F10" i="17" s="1"/>
  <c r="F20" i="17" s="1"/>
  <c r="E20" i="15"/>
  <c r="T18" i="15"/>
  <c r="T22" i="15"/>
  <c r="T23" i="15" s="1"/>
  <c r="B18" i="7"/>
  <c r="B24" i="7" s="1"/>
  <c r="E16" i="7"/>
  <c r="E15" i="7" s="1"/>
  <c r="B22" i="7"/>
  <c r="M14" i="15"/>
  <c r="E15" i="17" s="1"/>
  <c r="K18" i="12"/>
  <c r="K22" i="12"/>
  <c r="K23" i="12" s="1"/>
  <c r="M11" i="12"/>
  <c r="M13" i="12"/>
  <c r="M28" i="12"/>
  <c r="F9" i="12"/>
  <c r="F12" i="12"/>
  <c r="H18" i="7"/>
  <c r="H24" i="7" s="1"/>
  <c r="H22" i="7"/>
  <c r="H23" i="7" s="1"/>
  <c r="U21" i="15"/>
  <c r="G27" i="17" s="1"/>
  <c r="U11" i="15"/>
  <c r="U13" i="15"/>
  <c r="U28" i="15"/>
  <c r="O22" i="7"/>
  <c r="O23" i="7" s="1"/>
  <c r="O18" i="7"/>
  <c r="M20" i="15"/>
  <c r="Q19" i="12"/>
  <c r="D18" i="7"/>
  <c r="D24" i="7" s="1"/>
  <c r="D22" i="7"/>
  <c r="D23" i="7" s="1"/>
  <c r="Q21" i="15"/>
  <c r="F27" i="17" s="1"/>
  <c r="E12" i="15"/>
  <c r="C14" i="17" s="1"/>
  <c r="E9" i="7"/>
  <c r="E10" i="7" s="1"/>
  <c r="T18" i="18"/>
  <c r="T22" i="18"/>
  <c r="T23" i="18" s="1"/>
  <c r="R22" i="18"/>
  <c r="U16" i="18"/>
  <c r="U15" i="18" s="1"/>
  <c r="R18" i="18"/>
  <c r="S22" i="7"/>
  <c r="S18" i="7"/>
  <c r="E12" i="18"/>
  <c r="C14" i="20" s="1"/>
  <c r="Q19" i="18"/>
  <c r="Q14" i="12"/>
  <c r="F15" i="14" s="1"/>
  <c r="Q19" i="15"/>
  <c r="E7" i="15"/>
  <c r="C10" i="17" s="1"/>
  <c r="C20" i="17" s="1"/>
  <c r="E12" i="7"/>
  <c r="L8" i="15"/>
  <c r="M8" i="15"/>
  <c r="K8" i="15"/>
  <c r="F8" i="17"/>
  <c r="J8" i="15"/>
  <c r="T13" i="2"/>
  <c r="E9" i="17"/>
  <c r="D14" i="16" s="1"/>
  <c r="M13" i="15"/>
  <c r="M11" i="15"/>
  <c r="M28" i="15"/>
  <c r="I21" i="7"/>
  <c r="D27" i="6" s="1"/>
  <c r="G12" i="12"/>
  <c r="G9" i="12"/>
  <c r="I28" i="15"/>
  <c r="I11" i="15"/>
  <c r="I13" i="15"/>
  <c r="I28" i="18"/>
  <c r="I11" i="18"/>
  <c r="I13" i="18"/>
  <c r="K22" i="7"/>
  <c r="K23" i="7" s="1"/>
  <c r="K18" i="7"/>
  <c r="U7" i="7"/>
  <c r="M7" i="12"/>
  <c r="E10" i="14" s="1"/>
  <c r="E20" i="14" s="1"/>
  <c r="D22" i="15"/>
  <c r="D23" i="15" s="1"/>
  <c r="D18" i="15"/>
  <c r="D24" i="15" s="1"/>
  <c r="Q21" i="12"/>
  <c r="F27" i="14" s="1"/>
  <c r="P18" i="15"/>
  <c r="P22" i="15"/>
  <c r="P23" i="15" s="1"/>
  <c r="E16" i="15"/>
  <c r="B18" i="15"/>
  <c r="B22" i="15"/>
  <c r="P8" i="7"/>
  <c r="O8" i="7"/>
  <c r="N8" i="7"/>
  <c r="Q8" i="7"/>
  <c r="G8" i="6"/>
  <c r="G10" i="9" s="1"/>
  <c r="F9" i="6"/>
  <c r="I19" i="15"/>
  <c r="I28" i="7"/>
  <c r="I13" i="7"/>
  <c r="I11" i="7"/>
  <c r="J22" i="12"/>
  <c r="J23" i="12" s="1"/>
  <c r="J18" i="12"/>
  <c r="M16" i="12"/>
  <c r="M15" i="12" s="1"/>
  <c r="B8" i="19"/>
  <c r="C22" i="7"/>
  <c r="C23" i="7" s="1"/>
  <c r="C18" i="7"/>
  <c r="C24" i="7" s="1"/>
  <c r="C56" i="17"/>
  <c r="L22" i="12"/>
  <c r="L23" i="12" s="1"/>
  <c r="L18" i="12"/>
  <c r="H56" i="20"/>
  <c r="F56" i="20"/>
  <c r="L18" i="7"/>
  <c r="L24" i="7" s="1"/>
  <c r="L22" i="7"/>
  <c r="L23" i="7" s="1"/>
  <c r="D8" i="19"/>
  <c r="Q16" i="7"/>
  <c r="Q15" i="7" s="1"/>
  <c r="N22" i="7"/>
  <c r="N23" i="7" s="1"/>
  <c r="N18" i="7"/>
  <c r="Q7" i="7"/>
  <c r="F10" i="6" s="1"/>
  <c r="F20" i="6" s="1"/>
  <c r="Q14" i="18"/>
  <c r="F15" i="20" s="1"/>
  <c r="Q28" i="7"/>
  <c r="Q11" i="7"/>
  <c r="Q13" i="7"/>
  <c r="G8" i="16"/>
  <c r="E8" i="16"/>
  <c r="E7" i="18"/>
  <c r="C10" i="20" s="1"/>
  <c r="C20" i="20" s="1"/>
  <c r="R23" i="7"/>
  <c r="Q28" i="18"/>
  <c r="Q13" i="18"/>
  <c r="Q11" i="18"/>
  <c r="O18" i="15"/>
  <c r="O22" i="15"/>
  <c r="O23" i="15" s="1"/>
  <c r="Q28" i="15"/>
  <c r="Q11" i="15"/>
  <c r="Q13" i="15"/>
  <c r="E19" i="15"/>
  <c r="I20" i="7"/>
  <c r="Q20" i="15"/>
  <c r="F22" i="7"/>
  <c r="F23" i="7" s="1"/>
  <c r="I16" i="7"/>
  <c r="I15" i="7" s="1"/>
  <c r="F18" i="7"/>
  <c r="E8" i="11"/>
  <c r="G8" i="11"/>
  <c r="L22" i="18"/>
  <c r="L23" i="18" s="1"/>
  <c r="L18" i="18"/>
  <c r="J18" i="7"/>
  <c r="M16" i="7"/>
  <c r="M15" i="7" s="1"/>
  <c r="J22" i="7"/>
  <c r="J23" i="7" s="1"/>
  <c r="G56" i="6"/>
  <c r="H12" i="12"/>
  <c r="H24" i="12" s="1"/>
  <c r="H9" i="12"/>
  <c r="D8" i="13"/>
  <c r="U14" i="15"/>
  <c r="G15" i="17" s="1"/>
  <c r="C22" i="18"/>
  <c r="C23" i="18" s="1"/>
  <c r="C18" i="18"/>
  <c r="C24" i="18" s="1"/>
  <c r="B18" i="18"/>
  <c r="B24" i="18" s="1"/>
  <c r="B22" i="18"/>
  <c r="B23" i="18" s="1"/>
  <c r="E16" i="18"/>
  <c r="N18" i="12"/>
  <c r="N22" i="12"/>
  <c r="N23" i="12" s="1"/>
  <c r="Q16" i="12"/>
  <c r="Q15" i="12" s="1"/>
  <c r="E9" i="15"/>
  <c r="E10" i="15" s="1"/>
  <c r="E13" i="7"/>
  <c r="E11" i="7"/>
  <c r="E28" i="7"/>
  <c r="Q21" i="7"/>
  <c r="F27" i="6" s="1"/>
  <c r="M20" i="12"/>
  <c r="N22" i="18"/>
  <c r="N23" i="18" s="1"/>
  <c r="Q16" i="18"/>
  <c r="N18" i="18"/>
  <c r="S18" i="15"/>
  <c r="S22" i="15"/>
  <c r="S23" i="15" s="1"/>
  <c r="Q16" i="15"/>
  <c r="Q15" i="15" s="1"/>
  <c r="N18" i="15"/>
  <c r="N22" i="15"/>
  <c r="N23" i="15" s="1"/>
  <c r="E11" i="15"/>
  <c r="E13" i="15"/>
  <c r="E28" i="15"/>
  <c r="S22" i="18"/>
  <c r="S23" i="18" s="1"/>
  <c r="S18" i="18"/>
  <c r="I9" i="7"/>
  <c r="I10" i="7" s="1"/>
  <c r="F8" i="19"/>
  <c r="G23" i="6" l="1"/>
  <c r="U6" i="12"/>
  <c r="AB16" i="5"/>
  <c r="U18" i="12"/>
  <c r="G16" i="14" s="1"/>
  <c r="C60" i="20"/>
  <c r="H25" i="18"/>
  <c r="H26" i="18" s="1"/>
  <c r="G60" i="20"/>
  <c r="D60" i="17"/>
  <c r="G60" i="17"/>
  <c r="G60" i="14"/>
  <c r="D60" i="14"/>
  <c r="D60" i="20"/>
  <c r="BF15" i="5"/>
  <c r="BI15" i="5"/>
  <c r="BD15" i="5"/>
  <c r="I6" i="12"/>
  <c r="C60" i="14"/>
  <c r="I9" i="15"/>
  <c r="I10" i="15" s="1"/>
  <c r="BA15" i="5"/>
  <c r="I22" i="12"/>
  <c r="C23" i="14"/>
  <c r="BG15" i="5"/>
  <c r="AX15" i="5"/>
  <c r="AG15" i="5"/>
  <c r="BB15" i="5"/>
  <c r="AC15" i="5"/>
  <c r="U16" i="5"/>
  <c r="G60" i="6"/>
  <c r="BC15" i="5"/>
  <c r="AY15" i="5"/>
  <c r="BE15" i="5"/>
  <c r="S16" i="5"/>
  <c r="T16" i="5"/>
  <c r="V16" i="5"/>
  <c r="BH15" i="5"/>
  <c r="G24" i="15"/>
  <c r="G25" i="15" s="1"/>
  <c r="G26" i="15" s="1"/>
  <c r="AA15" i="5"/>
  <c r="C60" i="6"/>
  <c r="AE15" i="5"/>
  <c r="E23" i="20"/>
  <c r="B15" i="5"/>
  <c r="G15" i="5"/>
  <c r="F23" i="18"/>
  <c r="I23" i="18" s="1"/>
  <c r="I18" i="18"/>
  <c r="D16" i="20" s="1"/>
  <c r="B52" i="5"/>
  <c r="C52" i="5" s="1"/>
  <c r="D52" i="5" s="1"/>
  <c r="E52" i="5" s="1"/>
  <c r="F52" i="5" s="1"/>
  <c r="G52" i="5" s="1"/>
  <c r="E60" i="6"/>
  <c r="AG16" i="5"/>
  <c r="AD16" i="5"/>
  <c r="AA16" i="5"/>
  <c r="Z16" i="5"/>
  <c r="AI16" i="5"/>
  <c r="D23" i="14"/>
  <c r="G23" i="14"/>
  <c r="W15" i="5"/>
  <c r="AE16" i="5"/>
  <c r="AF16" i="5"/>
  <c r="P15" i="5"/>
  <c r="K24" i="7"/>
  <c r="K25" i="7" s="1"/>
  <c r="K26" i="7" s="1"/>
  <c r="F23" i="20"/>
  <c r="D15" i="5"/>
  <c r="AC16" i="5"/>
  <c r="Q6" i="7"/>
  <c r="M12" i="7"/>
  <c r="E14" i="6" s="1"/>
  <c r="G25" i="18"/>
  <c r="G26" i="18" s="1"/>
  <c r="I6" i="15"/>
  <c r="E60" i="14"/>
  <c r="AK16" i="5"/>
  <c r="AJ16" i="5"/>
  <c r="D23" i="6"/>
  <c r="F60" i="14"/>
  <c r="C60" i="17"/>
  <c r="AI15" i="5"/>
  <c r="D25" i="12"/>
  <c r="D26" i="12" s="1"/>
  <c r="D12" i="14"/>
  <c r="C10" i="13" s="1"/>
  <c r="C22" i="13" s="1"/>
  <c r="Y15" i="5"/>
  <c r="H23" i="12"/>
  <c r="I23" i="12" s="1"/>
  <c r="U18" i="7"/>
  <c r="G16" i="6" s="1"/>
  <c r="F15" i="5"/>
  <c r="B54" i="5"/>
  <c r="C54" i="5" s="1"/>
  <c r="D54" i="5" s="1"/>
  <c r="E54" i="5" s="1"/>
  <c r="F54" i="5" s="1"/>
  <c r="G54" i="5" s="1"/>
  <c r="E6" i="15"/>
  <c r="I17" i="12"/>
  <c r="I9" i="18"/>
  <c r="I10" i="18" s="1"/>
  <c r="I6" i="18"/>
  <c r="M6" i="12"/>
  <c r="C23" i="6"/>
  <c r="F24" i="18"/>
  <c r="U17" i="7"/>
  <c r="U18" i="18"/>
  <c r="G16" i="20" s="1"/>
  <c r="W16" i="5"/>
  <c r="H15" i="5"/>
  <c r="M22" i="18"/>
  <c r="AD15" i="5"/>
  <c r="I22" i="15"/>
  <c r="AT15" i="5"/>
  <c r="Z15" i="5"/>
  <c r="O16" i="5"/>
  <c r="AN15" i="5"/>
  <c r="P16" i="5"/>
  <c r="I18" i="15"/>
  <c r="D16" i="17" s="1"/>
  <c r="E60" i="20"/>
  <c r="E22" i="15"/>
  <c r="AQ15" i="5"/>
  <c r="AW15" i="5"/>
  <c r="AM15" i="5"/>
  <c r="Y16" i="5"/>
  <c r="M6" i="18"/>
  <c r="AF15" i="5"/>
  <c r="X16" i="5"/>
  <c r="E15" i="5"/>
  <c r="G24" i="12"/>
  <c r="G25" i="12" s="1"/>
  <c r="F60" i="17"/>
  <c r="AJ15" i="5"/>
  <c r="AK15" i="5"/>
  <c r="C15" i="5"/>
  <c r="M15" i="5"/>
  <c r="AL15" i="5"/>
  <c r="M6" i="15"/>
  <c r="AO15" i="5"/>
  <c r="AP15" i="5"/>
  <c r="Q16" i="5"/>
  <c r="J24" i="7"/>
  <c r="R16" i="5"/>
  <c r="AB15" i="5"/>
  <c r="J15" i="5"/>
  <c r="L15" i="5"/>
  <c r="AS15" i="5"/>
  <c r="I15" i="5"/>
  <c r="AU15" i="5"/>
  <c r="I12" i="18"/>
  <c r="D14" i="20" s="1"/>
  <c r="C10" i="14"/>
  <c r="C20" i="14" s="1"/>
  <c r="E6" i="12"/>
  <c r="AR15" i="5"/>
  <c r="M18" i="18"/>
  <c r="E16" i="20" s="1"/>
  <c r="B25" i="12"/>
  <c r="B26" i="12" s="1"/>
  <c r="U15" i="12"/>
  <c r="U17" i="12"/>
  <c r="G12" i="14"/>
  <c r="F10" i="13" s="1"/>
  <c r="F22" i="13" s="1"/>
  <c r="X15" i="5"/>
  <c r="D23" i="20"/>
  <c r="O15" i="5"/>
  <c r="Q23" i="15"/>
  <c r="U22" i="7"/>
  <c r="D60" i="6"/>
  <c r="E23" i="12"/>
  <c r="E22" i="12"/>
  <c r="E23" i="6"/>
  <c r="S15" i="5"/>
  <c r="M23" i="12"/>
  <c r="Q6" i="12"/>
  <c r="Q15" i="5"/>
  <c r="I6" i="7"/>
  <c r="U6" i="18"/>
  <c r="F23" i="6"/>
  <c r="V15" i="5"/>
  <c r="M15" i="18"/>
  <c r="J9" i="18"/>
  <c r="J12" i="18"/>
  <c r="F9" i="20"/>
  <c r="O8" i="18"/>
  <c r="Q8" i="18"/>
  <c r="G8" i="20"/>
  <c r="N8" i="18"/>
  <c r="P8" i="18"/>
  <c r="K9" i="18"/>
  <c r="K12" i="18"/>
  <c r="K24" i="18" s="1"/>
  <c r="K25" i="18" s="1"/>
  <c r="K26" i="18" s="1"/>
  <c r="I9" i="12"/>
  <c r="I10" i="12" s="1"/>
  <c r="G23" i="20"/>
  <c r="M6" i="7"/>
  <c r="G23" i="17"/>
  <c r="F60" i="20"/>
  <c r="T15" i="5"/>
  <c r="E12" i="20"/>
  <c r="D10" i="19" s="1"/>
  <c r="D15" i="19" s="1"/>
  <c r="E17" i="20" s="1"/>
  <c r="U22" i="18"/>
  <c r="E18" i="12"/>
  <c r="C16" i="14" s="1"/>
  <c r="R15" i="5"/>
  <c r="L12" i="18"/>
  <c r="L24" i="18" s="1"/>
  <c r="L9" i="18"/>
  <c r="N15" i="5"/>
  <c r="U15" i="7"/>
  <c r="S23" i="12"/>
  <c r="U23" i="12" s="1"/>
  <c r="U22" i="12"/>
  <c r="Q18" i="18"/>
  <c r="F16" i="20" s="1"/>
  <c r="I23" i="7"/>
  <c r="C23" i="17"/>
  <c r="D23" i="17"/>
  <c r="Q23" i="12"/>
  <c r="E18" i="15"/>
  <c r="C16" i="17" s="1"/>
  <c r="D25" i="18"/>
  <c r="D26" i="18" s="1"/>
  <c r="H25" i="7"/>
  <c r="H26" i="7" s="1"/>
  <c r="L25" i="7"/>
  <c r="L26" i="7" s="1"/>
  <c r="C25" i="18"/>
  <c r="C26" i="18" s="1"/>
  <c r="C25" i="7"/>
  <c r="C26" i="7" s="1"/>
  <c r="D25" i="15"/>
  <c r="D26" i="15" s="1"/>
  <c r="Q22" i="18"/>
  <c r="O9" i="7"/>
  <c r="O12" i="7"/>
  <c r="O24" i="7" s="1"/>
  <c r="D12" i="17"/>
  <c r="C10" i="16" s="1"/>
  <c r="C22" i="16" s="1"/>
  <c r="I17" i="15"/>
  <c r="B23" i="15"/>
  <c r="E23" i="15" s="1"/>
  <c r="J9" i="15"/>
  <c r="J12" i="15"/>
  <c r="M17" i="15"/>
  <c r="E12" i="17"/>
  <c r="D10" i="16" s="1"/>
  <c r="M23" i="15"/>
  <c r="I15" i="15"/>
  <c r="Q8" i="15"/>
  <c r="P8" i="15"/>
  <c r="O8" i="15"/>
  <c r="G8" i="17"/>
  <c r="U13" i="2" s="1"/>
  <c r="N8" i="15"/>
  <c r="F9" i="17"/>
  <c r="M18" i="15"/>
  <c r="E16" i="17" s="1"/>
  <c r="E23" i="17"/>
  <c r="Q6" i="15"/>
  <c r="K9" i="15"/>
  <c r="K12" i="15"/>
  <c r="K24" i="15" s="1"/>
  <c r="B5" i="16"/>
  <c r="M22" i="15"/>
  <c r="I18" i="7"/>
  <c r="D16" i="6" s="1"/>
  <c r="M18" i="12"/>
  <c r="E16" i="14" s="1"/>
  <c r="E22" i="7"/>
  <c r="J12" i="12"/>
  <c r="J9" i="12"/>
  <c r="C12" i="20"/>
  <c r="B10" i="19" s="1"/>
  <c r="B22" i="19" s="1"/>
  <c r="E17" i="18"/>
  <c r="Q22" i="7"/>
  <c r="E6" i="18"/>
  <c r="F12" i="6"/>
  <c r="Q17" i="7"/>
  <c r="F23" i="14"/>
  <c r="G25" i="7"/>
  <c r="G26" i="7" s="1"/>
  <c r="D12" i="20"/>
  <c r="C10" i="19" s="1"/>
  <c r="I17" i="18"/>
  <c r="E18" i="18"/>
  <c r="C16" i="20" s="1"/>
  <c r="M17" i="7"/>
  <c r="E12" i="6"/>
  <c r="D10" i="11" s="1"/>
  <c r="Q6" i="18"/>
  <c r="G10" i="6"/>
  <c r="G20" i="6" s="1"/>
  <c r="U6" i="7"/>
  <c r="F9" i="14"/>
  <c r="G8" i="14"/>
  <c r="P8" i="12"/>
  <c r="O8" i="12"/>
  <c r="N8" i="12"/>
  <c r="Q8" i="12"/>
  <c r="B5" i="13"/>
  <c r="S23" i="7"/>
  <c r="U23" i="7" s="1"/>
  <c r="U8" i="7"/>
  <c r="T8" i="7"/>
  <c r="S8" i="7"/>
  <c r="R8" i="7"/>
  <c r="G9" i="6"/>
  <c r="F14" i="11" s="1"/>
  <c r="F15" i="11" s="1"/>
  <c r="G17" i="6" s="1"/>
  <c r="I22" i="7"/>
  <c r="E23" i="18"/>
  <c r="G12" i="20"/>
  <c r="F10" i="19" s="1"/>
  <c r="U17" i="18"/>
  <c r="I23" i="15"/>
  <c r="E6" i="7"/>
  <c r="M17" i="12"/>
  <c r="E12" i="14"/>
  <c r="D10" i="13" s="1"/>
  <c r="D22" i="13" s="1"/>
  <c r="I12" i="15"/>
  <c r="D14" i="17" s="1"/>
  <c r="F24" i="15"/>
  <c r="Q22" i="12"/>
  <c r="C25" i="15"/>
  <c r="C26" i="15" s="1"/>
  <c r="U6" i="15"/>
  <c r="B23" i="7"/>
  <c r="E23" i="7" s="1"/>
  <c r="F24" i="7"/>
  <c r="E24" i="7"/>
  <c r="C12" i="6"/>
  <c r="B10" i="11" s="1"/>
  <c r="B22" i="11" s="1"/>
  <c r="E17" i="7"/>
  <c r="E18" i="7"/>
  <c r="C16" i="6" s="1"/>
  <c r="F23" i="17"/>
  <c r="U22" i="15"/>
  <c r="Q23" i="18"/>
  <c r="D25" i="7"/>
  <c r="D26" i="7" s="1"/>
  <c r="F12" i="20"/>
  <c r="Q17" i="18"/>
  <c r="I17" i="7"/>
  <c r="D12" i="6"/>
  <c r="C10" i="11" s="1"/>
  <c r="C22" i="11" s="1"/>
  <c r="B25" i="18"/>
  <c r="B26" i="18" s="1"/>
  <c r="E24" i="18"/>
  <c r="C25" i="12"/>
  <c r="C26" i="12" s="1"/>
  <c r="R23" i="18"/>
  <c r="U23" i="18" s="1"/>
  <c r="Q17" i="12"/>
  <c r="F12" i="14"/>
  <c r="B24" i="15"/>
  <c r="L9" i="15"/>
  <c r="L12" i="15"/>
  <c r="L24" i="15" s="1"/>
  <c r="Q18" i="7"/>
  <c r="F16" i="6" s="1"/>
  <c r="E23" i="14"/>
  <c r="E22" i="18"/>
  <c r="M22" i="7"/>
  <c r="L12" i="12"/>
  <c r="L24" i="12" s="1"/>
  <c r="L9" i="12"/>
  <c r="E15" i="18"/>
  <c r="M18" i="7"/>
  <c r="E16" i="6" s="1"/>
  <c r="Q22" i="15"/>
  <c r="Q15" i="18"/>
  <c r="H16" i="5"/>
  <c r="F16" i="5"/>
  <c r="E16" i="5"/>
  <c r="K16" i="5"/>
  <c r="D16" i="5"/>
  <c r="G16" i="5"/>
  <c r="B16" i="5"/>
  <c r="L16" i="5"/>
  <c r="I16" i="5"/>
  <c r="M16" i="5"/>
  <c r="J16" i="5"/>
  <c r="C16" i="5"/>
  <c r="U18" i="15"/>
  <c r="G16" i="17" s="1"/>
  <c r="AV16" i="5"/>
  <c r="AU16" i="5"/>
  <c r="AT16" i="5"/>
  <c r="AN16" i="5"/>
  <c r="AL16" i="5"/>
  <c r="AM16" i="5"/>
  <c r="AS16" i="5"/>
  <c r="AQ16" i="5"/>
  <c r="AO16" i="5"/>
  <c r="AR16" i="5"/>
  <c r="AP16" i="5"/>
  <c r="AW16" i="5"/>
  <c r="E24" i="12"/>
  <c r="B5" i="19"/>
  <c r="H25" i="15"/>
  <c r="H26" i="15" s="1"/>
  <c r="C23" i="20"/>
  <c r="C12" i="14"/>
  <c r="B10" i="13" s="1"/>
  <c r="B22" i="13" s="1"/>
  <c r="E17" i="12"/>
  <c r="E15" i="12"/>
  <c r="P12" i="7"/>
  <c r="P24" i="7" s="1"/>
  <c r="P9" i="7"/>
  <c r="U23" i="15"/>
  <c r="E17" i="15"/>
  <c r="C12" i="17"/>
  <c r="B10" i="16" s="1"/>
  <c r="B22" i="16" s="1"/>
  <c r="Q23" i="7"/>
  <c r="E15" i="15"/>
  <c r="Q18" i="12"/>
  <c r="F16" i="14" s="1"/>
  <c r="C14" i="6"/>
  <c r="U17" i="15"/>
  <c r="G12" i="17"/>
  <c r="F10" i="16" s="1"/>
  <c r="B53" i="5"/>
  <c r="G14" i="11"/>
  <c r="E14" i="11"/>
  <c r="F24" i="12"/>
  <c r="I12" i="12"/>
  <c r="D14" i="14" s="1"/>
  <c r="N9" i="7"/>
  <c r="N12" i="7"/>
  <c r="M23" i="7"/>
  <c r="M22" i="12"/>
  <c r="BI16" i="5"/>
  <c r="BA16" i="5"/>
  <c r="BF16" i="5"/>
  <c r="BC16" i="5"/>
  <c r="BD16" i="5"/>
  <c r="BG16" i="5"/>
  <c r="AY16" i="5"/>
  <c r="BE16" i="5"/>
  <c r="BB16" i="5"/>
  <c r="AX16" i="5"/>
  <c r="BH16" i="5"/>
  <c r="AZ16" i="5"/>
  <c r="K12" i="12"/>
  <c r="K24" i="12" s="1"/>
  <c r="K9" i="12"/>
  <c r="Q18" i="15"/>
  <c r="F16" i="17" s="1"/>
  <c r="Q17" i="15"/>
  <c r="F12" i="17"/>
  <c r="M23" i="18"/>
  <c r="F60" i="6"/>
  <c r="F25" i="18" l="1"/>
  <c r="F26" i="18" s="1"/>
  <c r="B19" i="5"/>
  <c r="B38" i="5" s="1"/>
  <c r="G19" i="5"/>
  <c r="G32" i="5" s="1"/>
  <c r="C19" i="5"/>
  <c r="C32" i="5" s="1"/>
  <c r="M24" i="7"/>
  <c r="M25" i="7" s="1"/>
  <c r="M26" i="7" s="1"/>
  <c r="D19" i="5"/>
  <c r="D32" i="5" s="1"/>
  <c r="C15" i="13"/>
  <c r="D17" i="14" s="1"/>
  <c r="D18" i="14" s="1"/>
  <c r="H25" i="12"/>
  <c r="H26" i="12" s="1"/>
  <c r="F19" i="5"/>
  <c r="F32" i="5" s="1"/>
  <c r="B25" i="7"/>
  <c r="B26" i="7" s="1"/>
  <c r="I24" i="18"/>
  <c r="I25" i="18" s="1"/>
  <c r="I26" i="18" s="1"/>
  <c r="B15" i="19"/>
  <c r="C17" i="20" s="1"/>
  <c r="C18" i="20" s="1"/>
  <c r="B21" i="19" s="1"/>
  <c r="J25" i="7"/>
  <c r="J26" i="7" s="1"/>
  <c r="G26" i="12"/>
  <c r="M9" i="18"/>
  <c r="M10" i="18" s="1"/>
  <c r="Q9" i="7"/>
  <c r="Q10" i="7" s="1"/>
  <c r="E19" i="5"/>
  <c r="E32" i="5" s="1"/>
  <c r="C15" i="16"/>
  <c r="D17" i="17" s="1"/>
  <c r="D18" i="17" s="1"/>
  <c r="C15" i="11"/>
  <c r="D17" i="6" s="1"/>
  <c r="D18" i="6" s="1"/>
  <c r="D22" i="19"/>
  <c r="L25" i="18"/>
  <c r="L26" i="18" s="1"/>
  <c r="N12" i="18"/>
  <c r="N9" i="18"/>
  <c r="G9" i="20"/>
  <c r="F14" i="19" s="1"/>
  <c r="F15" i="19" s="1"/>
  <c r="G17" i="20" s="1"/>
  <c r="S8" i="18"/>
  <c r="U8" i="18"/>
  <c r="T8" i="18"/>
  <c r="R8" i="18"/>
  <c r="E14" i="19"/>
  <c r="G14" i="19"/>
  <c r="J24" i="18"/>
  <c r="M12" i="18"/>
  <c r="E14" i="20" s="1"/>
  <c r="E18" i="20" s="1"/>
  <c r="D21" i="19" s="1"/>
  <c r="O9" i="18"/>
  <c r="O12" i="18"/>
  <c r="O24" i="18" s="1"/>
  <c r="O25" i="18" s="1"/>
  <c r="O26" i="18" s="1"/>
  <c r="P12" i="18"/>
  <c r="P24" i="18" s="1"/>
  <c r="P25" i="18" s="1"/>
  <c r="P26" i="18" s="1"/>
  <c r="P9" i="18"/>
  <c r="B25" i="15"/>
  <c r="B26" i="15" s="1"/>
  <c r="E24" i="15"/>
  <c r="D15" i="16"/>
  <c r="E17" i="17" s="1"/>
  <c r="D22" i="16"/>
  <c r="M9" i="15"/>
  <c r="M10" i="15" s="1"/>
  <c r="C22" i="19"/>
  <c r="C15" i="19"/>
  <c r="D17" i="20" s="1"/>
  <c r="D18" i="20" s="1"/>
  <c r="K25" i="15"/>
  <c r="K26" i="15" s="1"/>
  <c r="B5" i="11"/>
  <c r="B15" i="11" s="1"/>
  <c r="C17" i="6" s="1"/>
  <c r="C18" i="6" s="1"/>
  <c r="N24" i="7"/>
  <c r="Q12" i="7"/>
  <c r="F14" i="6" s="1"/>
  <c r="E68" i="2"/>
  <c r="O25" i="7"/>
  <c r="O26" i="7" s="1"/>
  <c r="F25" i="7"/>
  <c r="F26" i="7" s="1"/>
  <c r="I24" i="7"/>
  <c r="T9" i="7"/>
  <c r="T12" i="7"/>
  <c r="T24" i="7" s="1"/>
  <c r="L25" i="12"/>
  <c r="L26" i="12" s="1"/>
  <c r="D22" i="11"/>
  <c r="D15" i="11"/>
  <c r="E17" i="6" s="1"/>
  <c r="E18" i="6" s="1"/>
  <c r="G14" i="16"/>
  <c r="E14" i="16"/>
  <c r="C68" i="2"/>
  <c r="E10" i="13"/>
  <c r="G10" i="13"/>
  <c r="F22" i="19"/>
  <c r="K25" i="12"/>
  <c r="K26" i="12" s="1"/>
  <c r="F22" i="16"/>
  <c r="N12" i="15"/>
  <c r="N9" i="15"/>
  <c r="I24" i="15"/>
  <c r="F25" i="15"/>
  <c r="F26" i="15" s="1"/>
  <c r="O12" i="12"/>
  <c r="O24" i="12" s="1"/>
  <c r="O9" i="12"/>
  <c r="P9" i="12"/>
  <c r="P12" i="12"/>
  <c r="P24" i="12" s="1"/>
  <c r="L25" i="15"/>
  <c r="L26" i="15" s="1"/>
  <c r="M12" i="15"/>
  <c r="E14" i="17" s="1"/>
  <c r="J24" i="15"/>
  <c r="B15" i="16"/>
  <c r="C17" i="17" s="1"/>
  <c r="C18" i="17" s="1"/>
  <c r="I24" i="12"/>
  <c r="F25" i="12"/>
  <c r="F26" i="12" s="1"/>
  <c r="R12" i="7"/>
  <c r="R9" i="7"/>
  <c r="S12" i="7"/>
  <c r="S24" i="7" s="1"/>
  <c r="S9" i="7"/>
  <c r="B15" i="13"/>
  <c r="C17" i="14" s="1"/>
  <c r="C18" i="14" s="1"/>
  <c r="R8" i="15"/>
  <c r="T8" i="15"/>
  <c r="S8" i="15"/>
  <c r="U8" i="15"/>
  <c r="G9" i="17"/>
  <c r="F14" i="16" s="1"/>
  <c r="F15" i="16" s="1"/>
  <c r="G17" i="17" s="1"/>
  <c r="P25" i="7"/>
  <c r="P26" i="7" s="1"/>
  <c r="U8" i="12"/>
  <c r="T8" i="12"/>
  <c r="G9" i="14"/>
  <c r="F14" i="13" s="1"/>
  <c r="F15" i="13" s="1"/>
  <c r="G17" i="14" s="1"/>
  <c r="S8" i="12"/>
  <c r="R8" i="12"/>
  <c r="E25" i="7"/>
  <c r="E26" i="7" s="1"/>
  <c r="G10" i="11"/>
  <c r="E10" i="11"/>
  <c r="G10" i="19"/>
  <c r="E10" i="19"/>
  <c r="M9" i="12"/>
  <c r="M10" i="12" s="1"/>
  <c r="M12" i="12"/>
  <c r="E14" i="14" s="1"/>
  <c r="J24" i="12"/>
  <c r="P9" i="15"/>
  <c r="P12" i="15"/>
  <c r="P24" i="15" s="1"/>
  <c r="E14" i="13"/>
  <c r="G14" i="13"/>
  <c r="E25" i="12"/>
  <c r="E26" i="12" s="1"/>
  <c r="E10" i="16"/>
  <c r="G10" i="16"/>
  <c r="E25" i="18"/>
  <c r="E26" i="18" s="1"/>
  <c r="C53" i="5"/>
  <c r="D53" i="5" s="1"/>
  <c r="E53" i="5" s="1"/>
  <c r="F53" i="5" s="1"/>
  <c r="G53" i="5" s="1"/>
  <c r="O12" i="15"/>
  <c r="O24" i="15" s="1"/>
  <c r="O9" i="15"/>
  <c r="N9" i="12"/>
  <c r="N12" i="12"/>
  <c r="D15" i="13"/>
  <c r="E17" i="14" s="1"/>
  <c r="C72" i="20" l="1"/>
  <c r="B20" i="19"/>
  <c r="B24" i="19" s="1"/>
  <c r="C28" i="20" s="1"/>
  <c r="C29" i="20" s="1"/>
  <c r="C30" i="20" s="1"/>
  <c r="C62" i="20" s="1"/>
  <c r="C63" i="20" s="1"/>
  <c r="C71" i="20"/>
  <c r="C73" i="20"/>
  <c r="C20" i="11"/>
  <c r="T12" i="5"/>
  <c r="X12" i="5"/>
  <c r="Q12" i="5"/>
  <c r="U12" i="5"/>
  <c r="S12" i="5"/>
  <c r="D71" i="6"/>
  <c r="D72" i="17"/>
  <c r="D71" i="17"/>
  <c r="C20" i="16"/>
  <c r="C21" i="16"/>
  <c r="D73" i="17"/>
  <c r="C59" i="2"/>
  <c r="Y12" i="5"/>
  <c r="R12" i="5"/>
  <c r="V12" i="5"/>
  <c r="O12" i="5"/>
  <c r="P12" i="5"/>
  <c r="C21" i="11"/>
  <c r="D72" i="6"/>
  <c r="W12" i="5"/>
  <c r="D73" i="6"/>
  <c r="E18" i="17"/>
  <c r="E73" i="17" s="1"/>
  <c r="N12" i="5"/>
  <c r="Q9" i="18"/>
  <c r="Q10" i="18" s="1"/>
  <c r="Q9" i="12"/>
  <c r="Q10" i="12" s="1"/>
  <c r="E73" i="20"/>
  <c r="T12" i="18"/>
  <c r="T24" i="18" s="1"/>
  <c r="T9" i="18"/>
  <c r="E71" i="20"/>
  <c r="E72" i="20"/>
  <c r="R9" i="18"/>
  <c r="R12" i="18"/>
  <c r="S12" i="18"/>
  <c r="S24" i="18" s="1"/>
  <c r="S9" i="18"/>
  <c r="Q12" i="18"/>
  <c r="F14" i="20" s="1"/>
  <c r="N24" i="18"/>
  <c r="D20" i="19"/>
  <c r="D24" i="19" s="1"/>
  <c r="E28" i="20" s="1"/>
  <c r="E29" i="20" s="1"/>
  <c r="E30" i="20" s="1"/>
  <c r="M24" i="18"/>
  <c r="M25" i="18" s="1"/>
  <c r="M26" i="18" s="1"/>
  <c r="J25" i="18"/>
  <c r="J26" i="18" s="1"/>
  <c r="B20" i="11"/>
  <c r="C73" i="6"/>
  <c r="B21" i="11"/>
  <c r="C71" i="6"/>
  <c r="I12" i="5"/>
  <c r="J12" i="5"/>
  <c r="H12" i="5"/>
  <c r="M12" i="5"/>
  <c r="K12" i="5"/>
  <c r="L12" i="5"/>
  <c r="C72" i="6"/>
  <c r="E73" i="6"/>
  <c r="D21" i="11"/>
  <c r="AE12" i="5"/>
  <c r="AD12" i="5"/>
  <c r="AG12" i="5"/>
  <c r="AC12" i="5"/>
  <c r="D20" i="11"/>
  <c r="E72" i="6"/>
  <c r="AJ12" i="5"/>
  <c r="AK12" i="5"/>
  <c r="AI12" i="5"/>
  <c r="AH12" i="5"/>
  <c r="AA12" i="5"/>
  <c r="AB12" i="5"/>
  <c r="E71" i="6"/>
  <c r="Z12" i="5"/>
  <c r="AF12" i="5"/>
  <c r="N25" i="7"/>
  <c r="N26" i="7" s="1"/>
  <c r="Q24" i="7"/>
  <c r="B20" i="16"/>
  <c r="C73" i="17"/>
  <c r="B21" i="16"/>
  <c r="C58" i="2"/>
  <c r="C71" i="17"/>
  <c r="C72" i="17"/>
  <c r="T25" i="7"/>
  <c r="T26" i="7" s="1"/>
  <c r="P25" i="15"/>
  <c r="P26" i="15" s="1"/>
  <c r="C20" i="19"/>
  <c r="D73" i="20"/>
  <c r="C21" i="19"/>
  <c r="D71" i="20"/>
  <c r="D72" i="20"/>
  <c r="S12" i="15"/>
  <c r="S24" i="15" s="1"/>
  <c r="S9" i="15"/>
  <c r="I25" i="7"/>
  <c r="I26" i="7" s="1"/>
  <c r="E22" i="13"/>
  <c r="E15" i="13"/>
  <c r="F17" i="14" s="1"/>
  <c r="G15" i="13"/>
  <c r="G22" i="13"/>
  <c r="M24" i="12"/>
  <c r="J25" i="12"/>
  <c r="J26" i="12" s="1"/>
  <c r="T9" i="15"/>
  <c r="T12" i="15"/>
  <c r="T24" i="15" s="1"/>
  <c r="E18" i="14"/>
  <c r="R9" i="15"/>
  <c r="R12" i="15"/>
  <c r="P25" i="12"/>
  <c r="P26" i="12" s="1"/>
  <c r="E15" i="16"/>
  <c r="F17" i="17" s="1"/>
  <c r="G15" i="16"/>
  <c r="E22" i="16"/>
  <c r="G22" i="16"/>
  <c r="N24" i="12"/>
  <c r="Q12" i="12"/>
  <c r="F14" i="14" s="1"/>
  <c r="E25" i="15"/>
  <c r="E26" i="15" s="1"/>
  <c r="S25" i="7"/>
  <c r="S26" i="7" s="1"/>
  <c r="R24" i="7"/>
  <c r="U12" i="7"/>
  <c r="O25" i="15"/>
  <c r="O26" i="15" s="1"/>
  <c r="Q9" i="15"/>
  <c r="Q10" i="15" s="1"/>
  <c r="U9" i="7"/>
  <c r="U10" i="7" s="1"/>
  <c r="D68" i="2"/>
  <c r="I25" i="12"/>
  <c r="I26" i="12" s="1"/>
  <c r="E15" i="19"/>
  <c r="F17" i="20" s="1"/>
  <c r="G15" i="19"/>
  <c r="G22" i="19"/>
  <c r="E22" i="19"/>
  <c r="I25" i="15"/>
  <c r="I26" i="15" s="1"/>
  <c r="R12" i="12"/>
  <c r="R9" i="12"/>
  <c r="C38" i="5"/>
  <c r="B39" i="5"/>
  <c r="J25" i="15"/>
  <c r="J26" i="15" s="1"/>
  <c r="M24" i="15"/>
  <c r="C73" i="14"/>
  <c r="B21" i="13"/>
  <c r="B20" i="13"/>
  <c r="C71" i="14"/>
  <c r="C72" i="14"/>
  <c r="G22" i="11"/>
  <c r="E22" i="11"/>
  <c r="E15" i="11"/>
  <c r="F17" i="6" s="1"/>
  <c r="F18" i="6" s="1"/>
  <c r="G15" i="11"/>
  <c r="O25" i="12"/>
  <c r="O26" i="12" s="1"/>
  <c r="S9" i="12"/>
  <c r="S12" i="12"/>
  <c r="S24" i="12" s="1"/>
  <c r="Q12" i="15"/>
  <c r="F14" i="17" s="1"/>
  <c r="N24" i="15"/>
  <c r="T9" i="12"/>
  <c r="T12" i="12"/>
  <c r="T24" i="12" s="1"/>
  <c r="D73" i="14"/>
  <c r="C21" i="13"/>
  <c r="C20" i="13"/>
  <c r="D71" i="14"/>
  <c r="D72" i="14"/>
  <c r="C24" i="11" l="1"/>
  <c r="D28" i="6" s="1"/>
  <c r="D29" i="6" s="1"/>
  <c r="P13" i="5" s="1"/>
  <c r="P14" i="5" s="1"/>
  <c r="P19" i="5" s="1"/>
  <c r="P32" i="5" s="1"/>
  <c r="B24" i="11"/>
  <c r="C28" i="6" s="1"/>
  <c r="C29" i="6" s="1"/>
  <c r="C30" i="6" s="1"/>
  <c r="C61" i="6" s="1"/>
  <c r="E72" i="17"/>
  <c r="E71" i="17"/>
  <c r="C60" i="2"/>
  <c r="C24" i="16"/>
  <c r="D28" i="17" s="1"/>
  <c r="D29" i="17" s="1"/>
  <c r="D30" i="17" s="1"/>
  <c r="C31" i="20"/>
  <c r="C74" i="20" s="1"/>
  <c r="D21" i="16"/>
  <c r="C61" i="20"/>
  <c r="D20" i="16"/>
  <c r="H54" i="5"/>
  <c r="I54" i="5" s="1"/>
  <c r="J54" i="5" s="1"/>
  <c r="K54" i="5" s="1"/>
  <c r="L54" i="5" s="1"/>
  <c r="M54" i="5" s="1"/>
  <c r="U9" i="18"/>
  <c r="U10" i="18" s="1"/>
  <c r="E61" i="20"/>
  <c r="E62" i="20"/>
  <c r="E31" i="20"/>
  <c r="E74" i="20" s="1"/>
  <c r="U9" i="12"/>
  <c r="U10" i="12" s="1"/>
  <c r="N25" i="18"/>
  <c r="N26" i="18" s="1"/>
  <c r="Q24" i="18"/>
  <c r="Q25" i="18" s="1"/>
  <c r="Q26" i="18" s="1"/>
  <c r="S25" i="18"/>
  <c r="S26" i="18" s="1"/>
  <c r="T25" i="18"/>
  <c r="T26" i="18" s="1"/>
  <c r="U12" i="18"/>
  <c r="G14" i="20" s="1"/>
  <c r="G18" i="20" s="1"/>
  <c r="F21" i="19" s="1"/>
  <c r="R24" i="18"/>
  <c r="B24" i="13"/>
  <c r="C28" i="14" s="1"/>
  <c r="C29" i="14" s="1"/>
  <c r="U9" i="15"/>
  <c r="U10" i="15" s="1"/>
  <c r="U12" i="15"/>
  <c r="G14" i="17" s="1"/>
  <c r="G18" i="17" s="1"/>
  <c r="R24" i="15"/>
  <c r="G21" i="11"/>
  <c r="E21" i="11"/>
  <c r="E20" i="11"/>
  <c r="G20" i="11"/>
  <c r="AM12" i="5"/>
  <c r="AU12" i="5"/>
  <c r="F73" i="6"/>
  <c r="AT12" i="5"/>
  <c r="AO12" i="5"/>
  <c r="F71" i="6"/>
  <c r="AS12" i="5"/>
  <c r="AR12" i="5"/>
  <c r="AL12" i="5"/>
  <c r="AQ12" i="5"/>
  <c r="AP12" i="5"/>
  <c r="AV12" i="5"/>
  <c r="AW12" i="5"/>
  <c r="AN12" i="5"/>
  <c r="F72" i="6"/>
  <c r="T25" i="15"/>
  <c r="T26" i="15" s="1"/>
  <c r="C24" i="13"/>
  <c r="D28" i="14" s="1"/>
  <c r="D29" i="14" s="1"/>
  <c r="D30" i="14" s="1"/>
  <c r="H18" i="14"/>
  <c r="F18" i="14"/>
  <c r="F18" i="20"/>
  <c r="H18" i="20"/>
  <c r="U24" i="7"/>
  <c r="R25" i="7"/>
  <c r="R26" i="7" s="1"/>
  <c r="Q25" i="7"/>
  <c r="Q26" i="7" s="1"/>
  <c r="T25" i="12"/>
  <c r="T26" i="12" s="1"/>
  <c r="N25" i="15"/>
  <c r="N26" i="15" s="1"/>
  <c r="Q24" i="15"/>
  <c r="D38" i="5"/>
  <c r="C39" i="5"/>
  <c r="M25" i="15"/>
  <c r="M26" i="15" s="1"/>
  <c r="Q24" i="12"/>
  <c r="N25" i="12"/>
  <c r="N26" i="12" s="1"/>
  <c r="B24" i="16"/>
  <c r="C28" i="17" s="1"/>
  <c r="C29" i="17" s="1"/>
  <c r="H18" i="17"/>
  <c r="F18" i="17"/>
  <c r="E73" i="14"/>
  <c r="D21" i="13"/>
  <c r="D20" i="13"/>
  <c r="T15" i="2"/>
  <c r="U15" i="2" s="1"/>
  <c r="E72" i="14"/>
  <c r="E71" i="14"/>
  <c r="C24" i="19"/>
  <c r="D28" i="20" s="1"/>
  <c r="D29" i="20" s="1"/>
  <c r="D30" i="20" s="1"/>
  <c r="G14" i="6"/>
  <c r="G18" i="6" s="1"/>
  <c r="T19" i="2"/>
  <c r="U19" i="2" s="1"/>
  <c r="M25" i="12"/>
  <c r="M26" i="12" s="1"/>
  <c r="S25" i="12"/>
  <c r="S26" i="12" s="1"/>
  <c r="S25" i="15"/>
  <c r="S26" i="15" s="1"/>
  <c r="R24" i="12"/>
  <c r="U12" i="12"/>
  <c r="G14" i="14" s="1"/>
  <c r="G18" i="14" s="1"/>
  <c r="C64" i="20"/>
  <c r="C66" i="20" s="1"/>
  <c r="D24" i="11"/>
  <c r="E28" i="6" s="1"/>
  <c r="E29" i="6" s="1"/>
  <c r="D30" i="6" l="1"/>
  <c r="D31" i="6" s="1"/>
  <c r="D74" i="6" s="1"/>
  <c r="U13" i="5"/>
  <c r="U14" i="5" s="1"/>
  <c r="U19" i="5" s="1"/>
  <c r="U32" i="5" s="1"/>
  <c r="X13" i="5"/>
  <c r="X14" i="5" s="1"/>
  <c r="X19" i="5" s="1"/>
  <c r="X32" i="5" s="1"/>
  <c r="Q13" i="5"/>
  <c r="Q14" i="5" s="1"/>
  <c r="Q19" i="5" s="1"/>
  <c r="Q32" i="5" s="1"/>
  <c r="W13" i="5"/>
  <c r="W14" i="5" s="1"/>
  <c r="W19" i="5" s="1"/>
  <c r="W32" i="5" s="1"/>
  <c r="V13" i="5"/>
  <c r="V14" i="5" s="1"/>
  <c r="V19" i="5" s="1"/>
  <c r="V32" i="5" s="1"/>
  <c r="S13" i="5"/>
  <c r="S14" i="5" s="1"/>
  <c r="S19" i="5" s="1"/>
  <c r="S32" i="5" s="1"/>
  <c r="R13" i="5"/>
  <c r="R14" i="5" s="1"/>
  <c r="R19" i="5" s="1"/>
  <c r="R32" i="5" s="1"/>
  <c r="T13" i="5"/>
  <c r="T14" i="5" s="1"/>
  <c r="T19" i="5" s="1"/>
  <c r="T32" i="5" s="1"/>
  <c r="Y13" i="5"/>
  <c r="Y14" i="5" s="1"/>
  <c r="Y19" i="5" s="1"/>
  <c r="Y32" i="5" s="1"/>
  <c r="O13" i="5"/>
  <c r="O14" i="5" s="1"/>
  <c r="O19" i="5" s="1"/>
  <c r="O32" i="5" s="1"/>
  <c r="N13" i="5"/>
  <c r="N14" i="5" s="1"/>
  <c r="N19" i="5" s="1"/>
  <c r="G72" i="20"/>
  <c r="D24" i="16"/>
  <c r="E28" i="17" s="1"/>
  <c r="E29" i="17" s="1"/>
  <c r="E30" i="17" s="1"/>
  <c r="E31" i="17" s="1"/>
  <c r="E74" i="17" s="1"/>
  <c r="G73" i="20"/>
  <c r="D24" i="13"/>
  <c r="E28" i="14" s="1"/>
  <c r="E29" i="14" s="1"/>
  <c r="E30" i="14" s="1"/>
  <c r="E31" i="14" s="1"/>
  <c r="E74" i="14" s="1"/>
  <c r="L13" i="5"/>
  <c r="L14" i="5" s="1"/>
  <c r="L19" i="5" s="1"/>
  <c r="L32" i="5" s="1"/>
  <c r="I13" i="5"/>
  <c r="I14" i="5" s="1"/>
  <c r="I19" i="5" s="1"/>
  <c r="I32" i="5" s="1"/>
  <c r="M13" i="5"/>
  <c r="M14" i="5" s="1"/>
  <c r="M19" i="5" s="1"/>
  <c r="M32" i="5" s="1"/>
  <c r="C62" i="6"/>
  <c r="C63" i="6" s="1"/>
  <c r="C64" i="6" s="1"/>
  <c r="C66" i="6" s="1"/>
  <c r="B26" i="5" s="1"/>
  <c r="B28" i="5" s="1"/>
  <c r="B32" i="5" s="1"/>
  <c r="B33" i="5" s="1"/>
  <c r="H13" i="5"/>
  <c r="H14" i="5" s="1"/>
  <c r="H19" i="5" s="1"/>
  <c r="H32" i="5" s="1"/>
  <c r="K13" i="5"/>
  <c r="K14" i="5" s="1"/>
  <c r="K19" i="5" s="1"/>
  <c r="K32" i="5" s="1"/>
  <c r="G71" i="20"/>
  <c r="C31" i="6"/>
  <c r="C74" i="6" s="1"/>
  <c r="J13" i="5"/>
  <c r="J14" i="5" s="1"/>
  <c r="J19" i="5" s="1"/>
  <c r="J32" i="5" s="1"/>
  <c r="F20" i="19"/>
  <c r="F24" i="19" s="1"/>
  <c r="G28" i="20" s="1"/>
  <c r="G29" i="20" s="1"/>
  <c r="G30" i="20" s="1"/>
  <c r="D31" i="17"/>
  <c r="D74" i="17" s="1"/>
  <c r="D61" i="17"/>
  <c r="D59" i="2" s="1"/>
  <c r="D62" i="17"/>
  <c r="R25" i="18"/>
  <c r="R26" i="18" s="1"/>
  <c r="U24" i="18"/>
  <c r="U25" i="18" s="1"/>
  <c r="U26" i="18" s="1"/>
  <c r="H52" i="5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C30" i="14"/>
  <c r="N54" i="5"/>
  <c r="O54" i="5" s="1"/>
  <c r="P54" i="5" s="1"/>
  <c r="Q54" i="5" s="1"/>
  <c r="R54" i="5" s="1"/>
  <c r="S54" i="5" s="1"/>
  <c r="E69" i="2"/>
  <c r="G20" i="16"/>
  <c r="G21" i="16"/>
  <c r="E20" i="16"/>
  <c r="E21" i="16"/>
  <c r="F73" i="17"/>
  <c r="C61" i="2"/>
  <c r="F71" i="17"/>
  <c r="F72" i="17"/>
  <c r="Q25" i="12"/>
  <c r="Q26" i="12" s="1"/>
  <c r="R25" i="12"/>
  <c r="R26" i="12" s="1"/>
  <c r="U24" i="12"/>
  <c r="G21" i="13"/>
  <c r="E20" i="13"/>
  <c r="G20" i="13"/>
  <c r="E21" i="13"/>
  <c r="F71" i="14"/>
  <c r="F73" i="14"/>
  <c r="F72" i="14"/>
  <c r="E24" i="11"/>
  <c r="F28" i="6" s="1"/>
  <c r="F29" i="6" s="1"/>
  <c r="G24" i="11"/>
  <c r="C30" i="17"/>
  <c r="H53" i="5"/>
  <c r="G73" i="6"/>
  <c r="F21" i="11"/>
  <c r="BI12" i="5"/>
  <c r="BA12" i="5"/>
  <c r="BC12" i="5"/>
  <c r="BB12" i="5"/>
  <c r="F20" i="11"/>
  <c r="BF12" i="5"/>
  <c r="BE12" i="5"/>
  <c r="BD12" i="5"/>
  <c r="BG12" i="5"/>
  <c r="AY12" i="5"/>
  <c r="BH12" i="5"/>
  <c r="AZ12" i="5"/>
  <c r="G71" i="6"/>
  <c r="AX12" i="5"/>
  <c r="G72" i="6"/>
  <c r="F21" i="16"/>
  <c r="F20" i="16"/>
  <c r="C62" i="2"/>
  <c r="G73" i="17"/>
  <c r="K10" i="2"/>
  <c r="G72" i="17"/>
  <c r="G71" i="17"/>
  <c r="F20" i="13"/>
  <c r="G71" i="14"/>
  <c r="G73" i="14"/>
  <c r="G72" i="14"/>
  <c r="F21" i="13"/>
  <c r="R25" i="15"/>
  <c r="R26" i="15" s="1"/>
  <c r="U24" i="15"/>
  <c r="D61" i="20"/>
  <c r="E47" i="5" s="1"/>
  <c r="D62" i="20"/>
  <c r="D63" i="20" s="1"/>
  <c r="D31" i="20"/>
  <c r="D74" i="20" s="1"/>
  <c r="E21" i="19"/>
  <c r="F73" i="20"/>
  <c r="E20" i="19"/>
  <c r="G20" i="19"/>
  <c r="G21" i="19"/>
  <c r="F71" i="20"/>
  <c r="F72" i="20"/>
  <c r="U25" i="7"/>
  <c r="U26" i="7" s="1"/>
  <c r="D39" i="5"/>
  <c r="E38" i="5"/>
  <c r="D62" i="14"/>
  <c r="D61" i="14"/>
  <c r="D31" i="14"/>
  <c r="D74" i="14" s="1"/>
  <c r="AH13" i="5"/>
  <c r="AH14" i="5" s="1"/>
  <c r="AH19" i="5" s="1"/>
  <c r="AH32" i="5" s="1"/>
  <c r="AG13" i="5"/>
  <c r="AG14" i="5" s="1"/>
  <c r="AG19" i="5" s="1"/>
  <c r="AG32" i="5" s="1"/>
  <c r="AI13" i="5"/>
  <c r="AI14" i="5" s="1"/>
  <c r="AI19" i="5" s="1"/>
  <c r="AI32" i="5" s="1"/>
  <c r="AF13" i="5"/>
  <c r="AF14" i="5" s="1"/>
  <c r="AF19" i="5" s="1"/>
  <c r="AF32" i="5" s="1"/>
  <c r="AA13" i="5"/>
  <c r="AA14" i="5" s="1"/>
  <c r="AA19" i="5" s="1"/>
  <c r="AA32" i="5" s="1"/>
  <c r="Z13" i="5"/>
  <c r="Z14" i="5" s="1"/>
  <c r="Z19" i="5" s="1"/>
  <c r="AD13" i="5"/>
  <c r="AD14" i="5" s="1"/>
  <c r="AD19" i="5" s="1"/>
  <c r="AD32" i="5" s="1"/>
  <c r="AK13" i="5"/>
  <c r="AK14" i="5" s="1"/>
  <c r="AK19" i="5" s="1"/>
  <c r="AK32" i="5" s="1"/>
  <c r="AE13" i="5"/>
  <c r="AE14" i="5" s="1"/>
  <c r="AE19" i="5" s="1"/>
  <c r="AE32" i="5" s="1"/>
  <c r="AJ13" i="5"/>
  <c r="AJ14" i="5" s="1"/>
  <c r="AJ19" i="5" s="1"/>
  <c r="AJ32" i="5" s="1"/>
  <c r="AB13" i="5"/>
  <c r="AB14" i="5" s="1"/>
  <c r="AB19" i="5" s="1"/>
  <c r="AB32" i="5" s="1"/>
  <c r="AC13" i="5"/>
  <c r="AC14" i="5" s="1"/>
  <c r="AC19" i="5" s="1"/>
  <c r="AC32" i="5" s="1"/>
  <c r="E30" i="6"/>
  <c r="Q25" i="15"/>
  <c r="Q26" i="15" s="1"/>
  <c r="D61" i="6" l="1"/>
  <c r="D62" i="6"/>
  <c r="D63" i="6" s="1"/>
  <c r="D64" i="6" s="1"/>
  <c r="D66" i="6" s="1"/>
  <c r="N26" i="5" s="1"/>
  <c r="N28" i="5" s="1"/>
  <c r="N32" i="5" s="1"/>
  <c r="E61" i="17"/>
  <c r="D60" i="2" s="1"/>
  <c r="E62" i="17"/>
  <c r="E62" i="14"/>
  <c r="E61" i="14"/>
  <c r="F24" i="16"/>
  <c r="G28" i="17" s="1"/>
  <c r="G29" i="17" s="1"/>
  <c r="G30" i="17" s="1"/>
  <c r="G62" i="17" s="1"/>
  <c r="C69" i="2"/>
  <c r="C31" i="14"/>
  <c r="C74" i="14" s="1"/>
  <c r="C61" i="14"/>
  <c r="C62" i="14"/>
  <c r="C63" i="14" s="1"/>
  <c r="U25" i="12"/>
  <c r="U26" i="12" s="1"/>
  <c r="G62" i="20"/>
  <c r="G61" i="20"/>
  <c r="G31" i="20"/>
  <c r="G74" i="20" s="1"/>
  <c r="E63" i="20"/>
  <c r="E64" i="20" s="1"/>
  <c r="E66" i="20" s="1"/>
  <c r="D64" i="20"/>
  <c r="D66" i="20" s="1"/>
  <c r="B40" i="5"/>
  <c r="B35" i="5"/>
  <c r="C31" i="5"/>
  <c r="C33" i="5" s="1"/>
  <c r="AV13" i="5"/>
  <c r="AV14" i="5" s="1"/>
  <c r="AV19" i="5" s="1"/>
  <c r="AV32" i="5" s="1"/>
  <c r="AN13" i="5"/>
  <c r="AN14" i="5" s="1"/>
  <c r="AN19" i="5" s="1"/>
  <c r="AN32" i="5" s="1"/>
  <c r="AT13" i="5"/>
  <c r="AT14" i="5" s="1"/>
  <c r="AT19" i="5" s="1"/>
  <c r="AT32" i="5" s="1"/>
  <c r="AU13" i="5"/>
  <c r="AU14" i="5" s="1"/>
  <c r="AU19" i="5" s="1"/>
  <c r="AU32" i="5" s="1"/>
  <c r="AL13" i="5"/>
  <c r="AL14" i="5" s="1"/>
  <c r="AL19" i="5" s="1"/>
  <c r="AM13" i="5"/>
  <c r="AM14" i="5" s="1"/>
  <c r="AM19" i="5" s="1"/>
  <c r="AM32" i="5" s="1"/>
  <c r="AR13" i="5"/>
  <c r="AR14" i="5" s="1"/>
  <c r="AR19" i="5" s="1"/>
  <c r="AR32" i="5" s="1"/>
  <c r="AW13" i="5"/>
  <c r="AW14" i="5" s="1"/>
  <c r="AW19" i="5" s="1"/>
  <c r="AW32" i="5" s="1"/>
  <c r="AQ13" i="5"/>
  <c r="AQ14" i="5" s="1"/>
  <c r="AQ19" i="5" s="1"/>
  <c r="AQ32" i="5" s="1"/>
  <c r="AP13" i="5"/>
  <c r="AP14" i="5" s="1"/>
  <c r="AP19" i="5" s="1"/>
  <c r="AP32" i="5" s="1"/>
  <c r="AS13" i="5"/>
  <c r="AS14" i="5" s="1"/>
  <c r="AS19" i="5" s="1"/>
  <c r="AS32" i="5" s="1"/>
  <c r="AO13" i="5"/>
  <c r="AO14" i="5" s="1"/>
  <c r="AO19" i="5" s="1"/>
  <c r="AO32" i="5" s="1"/>
  <c r="F30" i="6"/>
  <c r="F24" i="11"/>
  <c r="G28" i="6" s="1"/>
  <c r="G29" i="6" s="1"/>
  <c r="I53" i="5"/>
  <c r="J53" i="5" s="1"/>
  <c r="K53" i="5" s="1"/>
  <c r="L53" i="5" s="1"/>
  <c r="M53" i="5" s="1"/>
  <c r="U25" i="15"/>
  <c r="U26" i="15" s="1"/>
  <c r="C70" i="2"/>
  <c r="T52" i="5"/>
  <c r="E70" i="2"/>
  <c r="T54" i="5"/>
  <c r="C62" i="17"/>
  <c r="C63" i="17" s="1"/>
  <c r="C61" i="17"/>
  <c r="C31" i="17"/>
  <c r="F24" i="13"/>
  <c r="G28" i="14" s="1"/>
  <c r="G29" i="14" s="1"/>
  <c r="G30" i="14" s="1"/>
  <c r="E24" i="16"/>
  <c r="F28" i="17" s="1"/>
  <c r="G24" i="16"/>
  <c r="F38" i="5"/>
  <c r="E39" i="5"/>
  <c r="E24" i="13"/>
  <c r="F28" i="14" s="1"/>
  <c r="G24" i="13"/>
  <c r="E62" i="6"/>
  <c r="E61" i="6"/>
  <c r="E31" i="6"/>
  <c r="E74" i="6" s="1"/>
  <c r="E24" i="19"/>
  <c r="F28" i="20" s="1"/>
  <c r="G24" i="19"/>
  <c r="E63" i="6" l="1"/>
  <c r="E64" i="6" s="1"/>
  <c r="E66" i="6" s="1"/>
  <c r="Z26" i="5" s="1"/>
  <c r="Z28" i="5" s="1"/>
  <c r="Z32" i="5" s="1"/>
  <c r="G61" i="17"/>
  <c r="D62" i="2" s="1"/>
  <c r="G31" i="17"/>
  <c r="G74" i="17" s="1"/>
  <c r="D63" i="14"/>
  <c r="D64" i="14" s="1"/>
  <c r="D66" i="14" s="1"/>
  <c r="C64" i="14"/>
  <c r="C66" i="14" s="1"/>
  <c r="N53" i="5"/>
  <c r="O53" i="5" s="1"/>
  <c r="P53" i="5" s="1"/>
  <c r="Q53" i="5" s="1"/>
  <c r="R53" i="5" s="1"/>
  <c r="S53" i="5" s="1"/>
  <c r="D69" i="2"/>
  <c r="F29" i="14"/>
  <c r="H29" i="14"/>
  <c r="BF13" i="5"/>
  <c r="BF14" i="5" s="1"/>
  <c r="BF19" i="5" s="1"/>
  <c r="BF32" i="5" s="1"/>
  <c r="BC13" i="5"/>
  <c r="BC14" i="5" s="1"/>
  <c r="BC19" i="5" s="1"/>
  <c r="BC32" i="5" s="1"/>
  <c r="BE13" i="5"/>
  <c r="BE14" i="5" s="1"/>
  <c r="BE19" i="5" s="1"/>
  <c r="BE32" i="5" s="1"/>
  <c r="BD13" i="5"/>
  <c r="BD14" i="5" s="1"/>
  <c r="BD19" i="5" s="1"/>
  <c r="BD32" i="5" s="1"/>
  <c r="BB13" i="5"/>
  <c r="BB14" i="5" s="1"/>
  <c r="BB19" i="5" s="1"/>
  <c r="BB32" i="5" s="1"/>
  <c r="BA13" i="5"/>
  <c r="BA14" i="5" s="1"/>
  <c r="BA19" i="5" s="1"/>
  <c r="BA32" i="5" s="1"/>
  <c r="AX13" i="5"/>
  <c r="AX14" i="5" s="1"/>
  <c r="AX19" i="5" s="1"/>
  <c r="BI13" i="5"/>
  <c r="BI14" i="5" s="1"/>
  <c r="BI19" i="5" s="1"/>
  <c r="BI32" i="5" s="1"/>
  <c r="AZ13" i="5"/>
  <c r="AZ14" i="5" s="1"/>
  <c r="AZ19" i="5" s="1"/>
  <c r="AZ32" i="5" s="1"/>
  <c r="BG13" i="5"/>
  <c r="BG14" i="5" s="1"/>
  <c r="BG19" i="5" s="1"/>
  <c r="BG32" i="5" s="1"/>
  <c r="AY13" i="5"/>
  <c r="AY14" i="5" s="1"/>
  <c r="AY19" i="5" s="1"/>
  <c r="AY32" i="5" s="1"/>
  <c r="BH13" i="5"/>
  <c r="BH14" i="5" s="1"/>
  <c r="BH19" i="5" s="1"/>
  <c r="BH32" i="5" s="1"/>
  <c r="G30" i="6"/>
  <c r="C64" i="17"/>
  <c r="C66" i="17" s="1"/>
  <c r="D63" i="17"/>
  <c r="E63" i="17" s="1"/>
  <c r="F29" i="20"/>
  <c r="H29" i="20"/>
  <c r="U52" i="5"/>
  <c r="V52" i="5" s="1"/>
  <c r="W52" i="5" s="1"/>
  <c r="X52" i="5" s="1"/>
  <c r="Y52" i="5" s="1"/>
  <c r="F61" i="6"/>
  <c r="F62" i="6"/>
  <c r="F31" i="6"/>
  <c r="F74" i="6" s="1"/>
  <c r="D31" i="5"/>
  <c r="D33" i="5" s="1"/>
  <c r="C35" i="5"/>
  <c r="C40" i="5"/>
  <c r="F29" i="17"/>
  <c r="H29" i="17"/>
  <c r="U54" i="5"/>
  <c r="V54" i="5" s="1"/>
  <c r="W54" i="5" s="1"/>
  <c r="X54" i="5" s="1"/>
  <c r="Y54" i="5" s="1"/>
  <c r="G38" i="5"/>
  <c r="F39" i="5"/>
  <c r="G61" i="14"/>
  <c r="G62" i="14"/>
  <c r="G31" i="14"/>
  <c r="G74" i="14" s="1"/>
  <c r="C74" i="17"/>
  <c r="T12" i="2"/>
  <c r="U12" i="2" s="1"/>
  <c r="E46" i="5"/>
  <c r="D58" i="2"/>
  <c r="F63" i="6" l="1"/>
  <c r="E63" i="14"/>
  <c r="E64" i="14" s="1"/>
  <c r="E66" i="14" s="1"/>
  <c r="F64" i="6"/>
  <c r="F66" i="6" s="1"/>
  <c r="AL26" i="5" s="1"/>
  <c r="AL28" i="5" s="1"/>
  <c r="AL32" i="5" s="1"/>
  <c r="C71" i="2"/>
  <c r="Z52" i="5"/>
  <c r="AA52" i="5" s="1"/>
  <c r="AB52" i="5" s="1"/>
  <c r="AC52" i="5" s="1"/>
  <c r="AD52" i="5" s="1"/>
  <c r="AE52" i="5" s="1"/>
  <c r="G61" i="6"/>
  <c r="G62" i="6"/>
  <c r="G63" i="6" s="1"/>
  <c r="G64" i="6" s="1"/>
  <c r="G66" i="6" s="1"/>
  <c r="G31" i="6"/>
  <c r="G74" i="6" s="1"/>
  <c r="F30" i="17"/>
  <c r="H30" i="17"/>
  <c r="Z54" i="5"/>
  <c r="AA54" i="5" s="1"/>
  <c r="AB54" i="5" s="1"/>
  <c r="AC54" i="5" s="1"/>
  <c r="AD54" i="5" s="1"/>
  <c r="AE54" i="5" s="1"/>
  <c r="E71" i="2"/>
  <c r="D35" i="5"/>
  <c r="E31" i="5"/>
  <c r="E33" i="5" s="1"/>
  <c r="D40" i="5"/>
  <c r="H30" i="14"/>
  <c r="F30" i="14"/>
  <c r="F30" i="20"/>
  <c r="H30" i="20"/>
  <c r="H38" i="5"/>
  <c r="G39" i="5"/>
  <c r="T53" i="5"/>
  <c r="D70" i="2"/>
  <c r="D64" i="17"/>
  <c r="D66" i="17" s="1"/>
  <c r="E64" i="17"/>
  <c r="E66" i="17" s="1"/>
  <c r="AX26" i="5" l="1"/>
  <c r="AX28" i="5" s="1"/>
  <c r="AX32" i="5" s="1"/>
  <c r="AF54" i="5"/>
  <c r="AG54" i="5" s="1"/>
  <c r="AH54" i="5" s="1"/>
  <c r="AI54" i="5" s="1"/>
  <c r="AJ54" i="5" s="1"/>
  <c r="AK54" i="5" s="1"/>
  <c r="E72" i="2"/>
  <c r="U53" i="5"/>
  <c r="V53" i="5" s="1"/>
  <c r="W53" i="5" s="1"/>
  <c r="X53" i="5" s="1"/>
  <c r="Y53" i="5" s="1"/>
  <c r="H62" i="17"/>
  <c r="F62" i="17"/>
  <c r="F63" i="17" s="1"/>
  <c r="F61" i="17"/>
  <c r="D61" i="2" s="1"/>
  <c r="H31" i="17"/>
  <c r="F31" i="17"/>
  <c r="F74" i="17" s="1"/>
  <c r="AF52" i="5"/>
  <c r="AG52" i="5" s="1"/>
  <c r="AH52" i="5" s="1"/>
  <c r="AI52" i="5" s="1"/>
  <c r="AJ52" i="5" s="1"/>
  <c r="AK52" i="5" s="1"/>
  <c r="C72" i="2"/>
  <c r="F61" i="14"/>
  <c r="E45" i="5" s="1"/>
  <c r="H62" i="14"/>
  <c r="F62" i="14"/>
  <c r="F63" i="14" s="1"/>
  <c r="H31" i="14"/>
  <c r="F31" i="14"/>
  <c r="F74" i="14" s="1"/>
  <c r="H39" i="5"/>
  <c r="I38" i="5"/>
  <c r="H62" i="20"/>
  <c r="F62" i="20"/>
  <c r="F63" i="20" s="1"/>
  <c r="F61" i="20"/>
  <c r="F31" i="20"/>
  <c r="F74" i="20" s="1"/>
  <c r="H31" i="20"/>
  <c r="E35" i="5"/>
  <c r="F31" i="5"/>
  <c r="F33" i="5" s="1"/>
  <c r="E40" i="5"/>
  <c r="C73" i="2" l="1"/>
  <c r="AL52" i="5"/>
  <c r="AM52" i="5" s="1"/>
  <c r="AN52" i="5" s="1"/>
  <c r="AO52" i="5" s="1"/>
  <c r="AP52" i="5" s="1"/>
  <c r="AQ52" i="5" s="1"/>
  <c r="G63" i="14"/>
  <c r="G64" i="14" s="1"/>
  <c r="G66" i="14" s="1"/>
  <c r="F64" i="14"/>
  <c r="F66" i="14" s="1"/>
  <c r="G63" i="17"/>
  <c r="G64" i="17" s="1"/>
  <c r="G66" i="17" s="1"/>
  <c r="F64" i="17"/>
  <c r="F66" i="17" s="1"/>
  <c r="Z53" i="5"/>
  <c r="AA53" i="5" s="1"/>
  <c r="AB53" i="5" s="1"/>
  <c r="AC53" i="5" s="1"/>
  <c r="AD53" i="5" s="1"/>
  <c r="AE53" i="5" s="1"/>
  <c r="D71" i="2"/>
  <c r="G63" i="20"/>
  <c r="G64" i="20" s="1"/>
  <c r="G66" i="20" s="1"/>
  <c r="F64" i="20"/>
  <c r="F66" i="20" s="1"/>
  <c r="F40" i="5"/>
  <c r="G31" i="5"/>
  <c r="G33" i="5" s="1"/>
  <c r="F35" i="5"/>
  <c r="AL54" i="5"/>
  <c r="AM54" i="5" s="1"/>
  <c r="AN54" i="5" s="1"/>
  <c r="AO54" i="5" s="1"/>
  <c r="AP54" i="5" s="1"/>
  <c r="AQ54" i="5" s="1"/>
  <c r="E73" i="2"/>
  <c r="I39" i="5"/>
  <c r="J38" i="5"/>
  <c r="F45" i="5" l="1"/>
  <c r="N38" i="2" s="1"/>
  <c r="J39" i="5"/>
  <c r="K38" i="5"/>
  <c r="G40" i="5"/>
  <c r="G35" i="5"/>
  <c r="H31" i="5"/>
  <c r="H33" i="5" s="1"/>
  <c r="E74" i="2"/>
  <c r="AR54" i="5"/>
  <c r="AS54" i="5" s="1"/>
  <c r="AT54" i="5" s="1"/>
  <c r="AU54" i="5" s="1"/>
  <c r="AV54" i="5" s="1"/>
  <c r="AW54" i="5" s="1"/>
  <c r="F47" i="5"/>
  <c r="N40" i="2" s="1"/>
  <c r="AR52" i="5"/>
  <c r="AS52" i="5" s="1"/>
  <c r="AT52" i="5" s="1"/>
  <c r="AU52" i="5" s="1"/>
  <c r="AV52" i="5" s="1"/>
  <c r="AW52" i="5" s="1"/>
  <c r="C74" i="2"/>
  <c r="AF53" i="5"/>
  <c r="AG53" i="5" s="1"/>
  <c r="AH53" i="5" s="1"/>
  <c r="AI53" i="5" s="1"/>
  <c r="AJ53" i="5" s="1"/>
  <c r="AK53" i="5" s="1"/>
  <c r="D72" i="2"/>
  <c r="G62" i="2"/>
  <c r="T26" i="2" s="1"/>
  <c r="U26" i="2" s="1"/>
  <c r="C10" i="2"/>
  <c r="G61" i="2"/>
  <c r="T25" i="2" s="1"/>
  <c r="U25" i="2" s="1"/>
  <c r="F46" i="5"/>
  <c r="G58" i="2"/>
  <c r="T22" i="2" s="1"/>
  <c r="U22" i="2" s="1"/>
  <c r="T21" i="2"/>
  <c r="U21" i="2" s="1"/>
  <c r="G59" i="2"/>
  <c r="T23" i="2" s="1"/>
  <c r="U23" i="2" s="1"/>
  <c r="G60" i="2"/>
  <c r="T24" i="2" s="1"/>
  <c r="U24" i="2" s="1"/>
  <c r="AL53" i="5" l="1"/>
  <c r="AM53" i="5" s="1"/>
  <c r="AN53" i="5" s="1"/>
  <c r="AO53" i="5" s="1"/>
  <c r="AP53" i="5" s="1"/>
  <c r="AQ53" i="5" s="1"/>
  <c r="D73" i="2"/>
  <c r="T18" i="2"/>
  <c r="U18" i="2" s="1"/>
  <c r="N39" i="2"/>
  <c r="AX54" i="5"/>
  <c r="AY54" i="5" s="1"/>
  <c r="AZ54" i="5" s="1"/>
  <c r="BA54" i="5" s="1"/>
  <c r="BB54" i="5" s="1"/>
  <c r="BC54" i="5" s="1"/>
  <c r="E75" i="2"/>
  <c r="H40" i="5"/>
  <c r="H35" i="5"/>
  <c r="I31" i="5"/>
  <c r="I33" i="5" s="1"/>
  <c r="K39" i="5"/>
  <c r="L38" i="5"/>
  <c r="AX52" i="5"/>
  <c r="AY52" i="5" s="1"/>
  <c r="AZ52" i="5" s="1"/>
  <c r="BA52" i="5" s="1"/>
  <c r="BB52" i="5" s="1"/>
  <c r="BC52" i="5" s="1"/>
  <c r="C75" i="2"/>
  <c r="BD54" i="5" l="1"/>
  <c r="BE54" i="5" s="1"/>
  <c r="BF54" i="5" s="1"/>
  <c r="BG54" i="5" s="1"/>
  <c r="BH54" i="5" s="1"/>
  <c r="BI54" i="5" s="1"/>
  <c r="E76" i="2"/>
  <c r="BD52" i="5"/>
  <c r="BE52" i="5" s="1"/>
  <c r="BF52" i="5" s="1"/>
  <c r="BG52" i="5" s="1"/>
  <c r="BH52" i="5" s="1"/>
  <c r="BI52" i="5" s="1"/>
  <c r="C76" i="2"/>
  <c r="L39" i="5"/>
  <c r="M38" i="5"/>
  <c r="J31" i="5"/>
  <c r="J33" i="5" s="1"/>
  <c r="I40" i="5"/>
  <c r="I35" i="5"/>
  <c r="AR53" i="5"/>
  <c r="AS53" i="5" s="1"/>
  <c r="AT53" i="5" s="1"/>
  <c r="AU53" i="5" s="1"/>
  <c r="AV53" i="5" s="1"/>
  <c r="AW53" i="5" s="1"/>
  <c r="D74" i="2"/>
  <c r="E77" i="2" l="1"/>
  <c r="D47" i="5"/>
  <c r="M40" i="2" s="1"/>
  <c r="B47" i="5"/>
  <c r="K40" i="2" s="1"/>
  <c r="C47" i="5"/>
  <c r="L40" i="2" s="1"/>
  <c r="D45" i="5"/>
  <c r="M38" i="2" s="1"/>
  <c r="C77" i="2"/>
  <c r="B45" i="5"/>
  <c r="C45" i="5"/>
  <c r="L38" i="2" s="1"/>
  <c r="AX53" i="5"/>
  <c r="AY53" i="5" s="1"/>
  <c r="AZ53" i="5" s="1"/>
  <c r="BA53" i="5" s="1"/>
  <c r="BB53" i="5" s="1"/>
  <c r="BC53" i="5" s="1"/>
  <c r="D75" i="2"/>
  <c r="K31" i="5"/>
  <c r="K33" i="5" s="1"/>
  <c r="J40" i="5"/>
  <c r="J35" i="5"/>
  <c r="N38" i="5"/>
  <c r="M39" i="5"/>
  <c r="BD53" i="5" l="1"/>
  <c r="BE53" i="5" s="1"/>
  <c r="BF53" i="5" s="1"/>
  <c r="BG53" i="5" s="1"/>
  <c r="BH53" i="5" s="1"/>
  <c r="BI53" i="5" s="1"/>
  <c r="D76" i="2"/>
  <c r="O38" i="5"/>
  <c r="N39" i="5"/>
  <c r="K35" i="5"/>
  <c r="K40" i="5"/>
  <c r="L31" i="5"/>
  <c r="L33" i="5" s="1"/>
  <c r="K38" i="2"/>
  <c r="P38" i="5" l="1"/>
  <c r="O39" i="5"/>
  <c r="M31" i="5"/>
  <c r="M33" i="5" s="1"/>
  <c r="L35" i="5"/>
  <c r="L40" i="5"/>
  <c r="D77" i="2"/>
  <c r="D46" i="5"/>
  <c r="C46" i="5"/>
  <c r="L39" i="2" s="1"/>
  <c r="B46" i="5"/>
  <c r="M39" i="2" l="1"/>
  <c r="K44" i="2"/>
  <c r="M35" i="5"/>
  <c r="M40" i="5"/>
  <c r="N31" i="5"/>
  <c r="N33" i="5" s="1"/>
  <c r="K43" i="2"/>
  <c r="K39" i="2"/>
  <c r="T17" i="2"/>
  <c r="U17" i="2" s="1"/>
  <c r="G10" i="2"/>
  <c r="Q38" i="5"/>
  <c r="P39" i="5"/>
  <c r="N40" i="5" l="1"/>
  <c r="O31" i="5"/>
  <c r="O33" i="5" s="1"/>
  <c r="N35" i="5"/>
  <c r="R38" i="5"/>
  <c r="Q39" i="5"/>
  <c r="S38" i="5" l="1"/>
  <c r="R39" i="5"/>
  <c r="O35" i="5"/>
  <c r="P31" i="5"/>
  <c r="P33" i="5" s="1"/>
  <c r="O40" i="5"/>
  <c r="T38" i="5" l="1"/>
  <c r="S39" i="5"/>
  <c r="P40" i="5"/>
  <c r="Q31" i="5"/>
  <c r="Q33" i="5" s="1"/>
  <c r="P35" i="5"/>
  <c r="U38" i="5" l="1"/>
  <c r="T39" i="5"/>
  <c r="Q40" i="5"/>
  <c r="R31" i="5"/>
  <c r="R33" i="5" s="1"/>
  <c r="Q35" i="5"/>
  <c r="U39" i="5" l="1"/>
  <c r="V38" i="5"/>
  <c r="R40" i="5"/>
  <c r="S31" i="5"/>
  <c r="S33" i="5" s="1"/>
  <c r="R35" i="5"/>
  <c r="S40" i="5" l="1"/>
  <c r="T31" i="5"/>
  <c r="T33" i="5" s="1"/>
  <c r="S35" i="5"/>
  <c r="W38" i="5"/>
  <c r="V39" i="5"/>
  <c r="X38" i="5" l="1"/>
  <c r="W39" i="5"/>
  <c r="T40" i="5"/>
  <c r="U31" i="5"/>
  <c r="U33" i="5" s="1"/>
  <c r="T35" i="5"/>
  <c r="X39" i="5" l="1"/>
  <c r="Y38" i="5"/>
  <c r="U40" i="5"/>
  <c r="V31" i="5"/>
  <c r="V33" i="5" s="1"/>
  <c r="U35" i="5"/>
  <c r="V40" i="5" l="1"/>
  <c r="V35" i="5"/>
  <c r="W31" i="5"/>
  <c r="W33" i="5" s="1"/>
  <c r="Y39" i="5"/>
  <c r="Z38" i="5"/>
  <c r="AA38" i="5" l="1"/>
  <c r="Z39" i="5"/>
  <c r="W40" i="5"/>
  <c r="W35" i="5"/>
  <c r="X31" i="5"/>
  <c r="X33" i="5" s="1"/>
  <c r="X40" i="5" l="1"/>
  <c r="X35" i="5"/>
  <c r="Y31" i="5"/>
  <c r="Y33" i="5" s="1"/>
  <c r="AB38" i="5"/>
  <c r="AA39" i="5"/>
  <c r="AC38" i="5" l="1"/>
  <c r="AB39" i="5"/>
  <c r="Y35" i="5"/>
  <c r="Y40" i="5"/>
  <c r="Z31" i="5"/>
  <c r="Z33" i="5" s="1"/>
  <c r="Z40" i="5" l="1"/>
  <c r="Z35" i="5"/>
  <c r="AA31" i="5"/>
  <c r="AA33" i="5" s="1"/>
  <c r="AD38" i="5"/>
  <c r="AC39" i="5"/>
  <c r="AE38" i="5" l="1"/>
  <c r="AD39" i="5"/>
  <c r="AA40" i="5"/>
  <c r="AA35" i="5"/>
  <c r="AB31" i="5"/>
  <c r="AB33" i="5" s="1"/>
  <c r="AB35" i="5" l="1"/>
  <c r="AB40" i="5"/>
  <c r="AC31" i="5"/>
  <c r="AC33" i="5" s="1"/>
  <c r="AF38" i="5"/>
  <c r="AE39" i="5"/>
  <c r="AG38" i="5" l="1"/>
  <c r="AF39" i="5"/>
  <c r="AC35" i="5"/>
  <c r="AC40" i="5"/>
  <c r="AD31" i="5"/>
  <c r="AD33" i="5" s="1"/>
  <c r="AE31" i="5" l="1"/>
  <c r="AE33" i="5" s="1"/>
  <c r="AD40" i="5"/>
  <c r="AD35" i="5"/>
  <c r="AG39" i="5"/>
  <c r="AH38" i="5"/>
  <c r="AH39" i="5" l="1"/>
  <c r="AI38" i="5"/>
  <c r="AE35" i="5"/>
  <c r="AE40" i="5"/>
  <c r="AF31" i="5"/>
  <c r="AF33" i="5" s="1"/>
  <c r="AF40" i="5" l="1"/>
  <c r="AF35" i="5"/>
  <c r="AG31" i="5"/>
  <c r="AG33" i="5" s="1"/>
  <c r="AI39" i="5"/>
  <c r="AJ38" i="5"/>
  <c r="AH31" i="5" l="1"/>
  <c r="AH33" i="5" s="1"/>
  <c r="AG40" i="5"/>
  <c r="AG35" i="5"/>
  <c r="AJ39" i="5"/>
  <c r="AK38" i="5"/>
  <c r="AK39" i="5" l="1"/>
  <c r="AL38" i="5"/>
  <c r="AI31" i="5"/>
  <c r="AI33" i="5" s="1"/>
  <c r="AH35" i="5"/>
  <c r="AH40" i="5"/>
  <c r="AI35" i="5" l="1"/>
  <c r="AJ31" i="5"/>
  <c r="AJ33" i="5" s="1"/>
  <c r="AI40" i="5"/>
  <c r="AL39" i="5"/>
  <c r="AM38" i="5"/>
  <c r="AK31" i="5" l="1"/>
  <c r="AK33" i="5" s="1"/>
  <c r="AJ35" i="5"/>
  <c r="AJ40" i="5"/>
  <c r="AM39" i="5"/>
  <c r="AN38" i="5"/>
  <c r="AO38" i="5" l="1"/>
  <c r="AN39" i="5"/>
  <c r="AK35" i="5"/>
  <c r="AL31" i="5"/>
  <c r="AL33" i="5" s="1"/>
  <c r="AK40" i="5"/>
  <c r="AL35" i="5" l="1"/>
  <c r="AM31" i="5"/>
  <c r="AM33" i="5" s="1"/>
  <c r="AL40" i="5"/>
  <c r="AO39" i="5"/>
  <c r="AP38" i="5"/>
  <c r="AP39" i="5" l="1"/>
  <c r="AQ38" i="5"/>
  <c r="AM35" i="5"/>
  <c r="AN31" i="5"/>
  <c r="AN33" i="5" s="1"/>
  <c r="AM40" i="5"/>
  <c r="AN35" i="5" l="1"/>
  <c r="AN40" i="5"/>
  <c r="AO31" i="5"/>
  <c r="AO33" i="5" s="1"/>
  <c r="AR38" i="5"/>
  <c r="AQ39" i="5"/>
  <c r="AO40" i="5" l="1"/>
  <c r="AP31" i="5"/>
  <c r="AP33" i="5" s="1"/>
  <c r="AO35" i="5"/>
  <c r="AS38" i="5"/>
  <c r="AR39" i="5"/>
  <c r="AT38" i="5" l="1"/>
  <c r="AS39" i="5"/>
  <c r="AQ31" i="5"/>
  <c r="AQ33" i="5" s="1"/>
  <c r="AP40" i="5"/>
  <c r="AP35" i="5"/>
  <c r="AQ40" i="5" l="1"/>
  <c r="AR31" i="5"/>
  <c r="AR33" i="5" s="1"/>
  <c r="AQ35" i="5"/>
  <c r="AU38" i="5"/>
  <c r="AT39" i="5"/>
  <c r="AV38" i="5" l="1"/>
  <c r="AU39" i="5"/>
  <c r="AR35" i="5"/>
  <c r="AS31" i="5"/>
  <c r="AS33" i="5" s="1"/>
  <c r="AR40" i="5"/>
  <c r="AS40" i="5" l="1"/>
  <c r="AT31" i="5"/>
  <c r="AT33" i="5" s="1"/>
  <c r="AS35" i="5"/>
  <c r="AV39" i="5"/>
  <c r="AW38" i="5"/>
  <c r="AT40" i="5" l="1"/>
  <c r="AU31" i="5"/>
  <c r="AU33" i="5" s="1"/>
  <c r="AT35" i="5"/>
  <c r="AX38" i="5"/>
  <c r="AW39" i="5"/>
  <c r="AX39" i="5" l="1"/>
  <c r="AY38" i="5"/>
  <c r="AU40" i="5"/>
  <c r="AU35" i="5"/>
  <c r="AV31" i="5"/>
  <c r="AV33" i="5" s="1"/>
  <c r="AV40" i="5" l="1"/>
  <c r="AW31" i="5"/>
  <c r="AW33" i="5" s="1"/>
  <c r="AV35" i="5"/>
  <c r="AZ38" i="5"/>
  <c r="AY39" i="5"/>
  <c r="BA38" i="5" l="1"/>
  <c r="AZ39" i="5"/>
  <c r="AX31" i="5"/>
  <c r="AX33" i="5" s="1"/>
  <c r="AW40" i="5"/>
  <c r="AW35" i="5"/>
  <c r="AX35" i="5" l="1"/>
  <c r="AY31" i="5"/>
  <c r="AY33" i="5" s="1"/>
  <c r="AX40" i="5"/>
  <c r="BA39" i="5"/>
  <c r="BB38" i="5"/>
  <c r="BC38" i="5" l="1"/>
  <c r="BB39" i="5"/>
  <c r="AY35" i="5"/>
  <c r="AZ31" i="5"/>
  <c r="AZ33" i="5" s="1"/>
  <c r="AY40" i="5"/>
  <c r="AZ35" i="5" l="1"/>
  <c r="BA31" i="5"/>
  <c r="BA33" i="5" s="1"/>
  <c r="AZ40" i="5"/>
  <c r="BD38" i="5"/>
  <c r="BC39" i="5"/>
  <c r="BE38" i="5" l="1"/>
  <c r="BD39" i="5"/>
  <c r="BA35" i="5"/>
  <c r="BA40" i="5"/>
  <c r="BB31" i="5"/>
  <c r="BB33" i="5" s="1"/>
  <c r="BB40" i="5" l="1"/>
  <c r="BC31" i="5"/>
  <c r="BC33" i="5" s="1"/>
  <c r="BB35" i="5"/>
  <c r="BF38" i="5"/>
  <c r="BE39" i="5"/>
  <c r="BG38" i="5" l="1"/>
  <c r="BF39" i="5"/>
  <c r="BC40" i="5"/>
  <c r="BD31" i="5"/>
  <c r="BD33" i="5" s="1"/>
  <c r="BC35" i="5"/>
  <c r="BD40" i="5" l="1"/>
  <c r="BE31" i="5"/>
  <c r="BE33" i="5" s="1"/>
  <c r="BD35" i="5"/>
  <c r="BG39" i="5"/>
  <c r="BH38" i="5"/>
  <c r="BH39" i="5" l="1"/>
  <c r="BI38" i="5"/>
  <c r="BF31" i="5"/>
  <c r="BF33" i="5" s="1"/>
  <c r="BE35" i="5"/>
  <c r="BE40" i="5"/>
  <c r="BG31" i="5" l="1"/>
  <c r="BG33" i="5" s="1"/>
  <c r="BF40" i="5"/>
  <c r="BF35" i="5"/>
  <c r="K4" i="5"/>
  <c r="BI39" i="5"/>
  <c r="E4" i="5"/>
  <c r="H4" i="5"/>
  <c r="BG35" i="5" l="1"/>
  <c r="BH31" i="5"/>
  <c r="BH33" i="5" s="1"/>
  <c r="BG40" i="5"/>
  <c r="BH35" i="5" l="1"/>
  <c r="BI31" i="5"/>
  <c r="BI33" i="5" s="1"/>
  <c r="BH40" i="5"/>
  <c r="BI35" i="5" l="1"/>
  <c r="BI40" i="5"/>
</calcChain>
</file>

<file path=xl/sharedStrings.xml><?xml version="1.0" encoding="utf-8"?>
<sst xmlns="http://schemas.openxmlformats.org/spreadsheetml/2006/main" count="2677" uniqueCount="1201">
  <si>
    <t>■  INVESTOR DASHBOARD</t>
  </si>
  <si>
    <t>The base case works if repeat usage compounds before overhead does.</t>
  </si>
  <si>
    <t>Slide-ready view of the current model: base-case path to EBITDA, monthly cash-flow break-even, funding use, and the downside/base/upside runway spread.</t>
  </si>
  <si>
    <t>Pitch deck metrics linked to model</t>
  </si>
  <si>
    <t>Slide</t>
  </si>
  <si>
    <t>Metric</t>
  </si>
  <si>
    <t>Model value</t>
  </si>
  <si>
    <t>Pitch-copy output</t>
  </si>
  <si>
    <t>Source / model link</t>
  </si>
  <si>
    <t>Deck slot</t>
  </si>
  <si>
    <t>Base funding ask</t>
  </si>
  <si>
    <t>Base monthly break-even</t>
  </si>
  <si>
    <t>Y5 annual revenue</t>
  </si>
  <si>
    <t>Y5 active customers</t>
  </si>
  <si>
    <t>7</t>
  </si>
  <si>
    <t>Settlement fee range</t>
  </si>
  <si>
    <t>Assumptions!F73:F75</t>
  </si>
  <si>
    <t>Business model card A</t>
  </si>
  <si>
    <t>peak cash need incl. contingency</t>
  </si>
  <si>
    <t>cumulative operating cash before financing</t>
  </si>
  <si>
    <t>base case; escrow + document fees</t>
  </si>
  <si>
    <t>implied repeat-usage customer base</t>
  </si>
  <si>
    <t>Blended gross margin</t>
  </si>
  <si>
    <t>Scenario_Base_PL!C31:G31</t>
  </si>
  <si>
    <t>Bottom KPI</t>
  </si>
  <si>
    <t>Average ticket</t>
  </si>
  <si>
    <t>Scenario_Base_PL!C8:G8</t>
  </si>
  <si>
    <t>Processed deals</t>
  </si>
  <si>
    <t>Scenario_Base_PL!C7:E7</t>
  </si>
  <si>
    <t>11</t>
  </si>
  <si>
    <t>Y3 annual revenue range</t>
  </si>
  <si>
    <t>Scenario_*_PL!E18</t>
  </si>
  <si>
    <t>Top KPI card</t>
  </si>
  <si>
    <t>Y3 active customers range</t>
  </si>
  <si>
    <t>Scenario_*_PL!E70</t>
  </si>
  <si>
    <t>Base path to profitability (£m)</t>
  </si>
  <si>
    <t>Use of funds from Base ask</t>
  </si>
  <si>
    <t>Monthly cash-flow breakeven</t>
  </si>
  <si>
    <t>Cash_Flow_Statement!B45:B47</t>
  </si>
  <si>
    <t>Revenue and EBITDA in GBP millions, by fiscal year.</t>
  </si>
  <si>
    <t>Revenue scales before the payroll/opex curve catches up.</t>
  </si>
  <si>
    <t>Use of funds in GBP millions, tied to the modelled funding requirement.</t>
  </si>
  <si>
    <t>Allocation is tied to the modelled peak funding requirement.</t>
  </si>
  <si>
    <t>Seed ask / funding need</t>
  </si>
  <si>
    <t>Cash_Flow_Statement!F45:F47</t>
  </si>
  <si>
    <t>Blended escrow take rate</t>
  </si>
  <si>
    <t>Tier_Economics total escrow fee / GMV</t>
  </si>
  <si>
    <t>Key assumptions</t>
  </si>
  <si>
    <t>Tier A adoption</t>
  </si>
  <si>
    <t>Assumptions!D64,D160</t>
  </si>
  <si>
    <t>13</t>
  </si>
  <si>
    <t>Total seed raise</t>
  </si>
  <si>
    <t>MAX(Scenario_Base_PL!C66:G66)</t>
  </si>
  <si>
    <t>Engineering &amp; product</t>
  </si>
  <si>
    <t>Dashboard!G58:H58</t>
  </si>
  <si>
    <t>Use of funds</t>
  </si>
  <si>
    <t>Ops, people &amp; G&amp;A</t>
  </si>
  <si>
    <t>Dashboard!G59:H59</t>
  </si>
  <si>
    <t>Compliance, legal &amp; regulatory</t>
  </si>
  <si>
    <t>Dashboard!G60:H60</t>
  </si>
  <si>
    <t>GTM &amp; acquisition</t>
  </si>
  <si>
    <t>Dashboard!G61:H61</t>
  </si>
  <si>
    <t>Working capital + contingency</t>
  </si>
  <si>
    <t>Dashboard!G62:H62</t>
  </si>
  <si>
    <t>Monthly cumulative operating cash (£m)</t>
  </si>
  <si>
    <t>Scenario readout</t>
  </si>
  <si>
    <t>Ending cash balance in GBP millions at 6-month checkpoints.</t>
  </si>
  <si>
    <t>Six-month checkpoints avoid unreadable 60-label charts.</t>
  </si>
  <si>
    <t>Break-even timing and funding gap by scenario.</t>
  </si>
  <si>
    <t>Break-even timing and funding gap by case.</t>
  </si>
  <si>
    <t>Case</t>
  </si>
  <si>
    <t>Monthly BE</t>
  </si>
  <si>
    <t>Peak gap</t>
  </si>
  <si>
    <t>M60 cash</t>
  </si>
  <si>
    <t>Funding ask</t>
  </si>
  <si>
    <t>Low</t>
  </si>
  <si>
    <t>Base</t>
  </si>
  <si>
    <t>High</t>
  </si>
  <si>
    <t>• No lending spread, FX trading revenue, or balance-sheet credit risk is modelled.</t>
  </si>
  <si>
    <t>• Tier C paper collection is a priced fallback, not the strategic scale path.</t>
  </si>
  <si>
    <t>Base path helper</t>
  </si>
  <si>
    <t>Use of funds helper</t>
  </si>
  <si>
    <t>Year</t>
  </si>
  <si>
    <t>Revenue</t>
  </si>
  <si>
    <t>EBITDA</t>
  </si>
  <si>
    <t>Category</t>
  </si>
  <si>
    <t>Amount</t>
  </si>
  <si>
    <t>%</t>
  </si>
  <si>
    <t>Y1</t>
  </si>
  <si>
    <t>Engineering/product</t>
  </si>
  <si>
    <t>Y2</t>
  </si>
  <si>
    <t>Ops/people/G&amp;A</t>
  </si>
  <si>
    <t>Y3</t>
  </si>
  <si>
    <t>Compliance/legal</t>
  </si>
  <si>
    <t>Y4</t>
  </si>
  <si>
    <t>GTM/acquisition</t>
  </si>
  <si>
    <t>Y5</t>
  </si>
  <si>
    <t>Contingency</t>
  </si>
  <si>
    <t>Cash runway helper</t>
  </si>
  <si>
    <t>Checkpoint</t>
  </si>
  <si>
    <t>Blockmediary - 5-Year Financial Model &amp; Assumptions Pack</t>
  </si>
  <si>
    <t>Programmable documentary escrow layer for SME cross-border trade (UK / EU / Middle East). Built June 2026.</t>
  </si>
  <si>
    <t>SCOPE</t>
  </si>
  <si>
    <t>Blockmediary is a documentary escrow + document-verification SERVICE. It is NOT a lending / financing product.</t>
  </si>
  <si>
    <t>EXCLUDED by design: lending capital, credit losses, financing spread, invoice advances, FX trading revenue, balance-sheet funding costs.</t>
  </si>
  <si>
    <t>Buyer prefunds stablecoin into smart-contract escrow; funds release when document rules are satisfied. Blockmediary never takes balance-sheet credit risk.</t>
  </si>
  <si>
    <t>HOW TO USE</t>
  </si>
  <si>
    <t>1.  'Assumptions' is the single control sheet. Blue cells are inputs you change. Black cells are formulas.</t>
  </si>
  <si>
    <t>2.  The yellow 'Scenario' switch (Assumptions!C4) drives the whole model: 1=Low, 2=Base, 3=High.</t>
  </si>
  <si>
    <t>3.  'Startup_6mo' details the first 6 months one-off + ramp costs. 'P&amp;L_5yr' is the annual five-year P&amp;L and 'Cash_Flow_Statement' shows operating cash flow, financing, and break-even.</t>
  </si>
  <si>
    <t>4.  'Driver_Tables' holds every researched cost/revenue driver with Low/Base/High, source URL and source quality.</t>
  </si>
  <si>
    <t>5.  'Sensitivity' lists the 10 assumptions that move the model most. 'Risk_Register' flags items needing legal/regulatory sign-off.</t>
  </si>
  <si>
    <t>CURRENCY</t>
  </si>
  <si>
    <t>Model base currency = GBP (£). USD-priced vendors (Anthropic, AWS, Vercel, KYC, gas) are converted at the FX rate in Assumptions (GBPUSD).</t>
  </si>
  <si>
    <t>Driver_Tables keeps each driver in its native quoted currency; the conversion happens where the driver feeds the P&amp;L.</t>
  </si>
  <si>
    <t>SOURCE QUALITY KEY</t>
  </si>
  <si>
    <t>official = government / regulator / primary (GOV.UK, Companies House, FCA, HMRC, Base docs).  vendor = vendor pricing page.</t>
  </si>
  <si>
    <t>benchmark = credible third-party benchmark / salary survey / market report.  estimate = informed estimate, NOT independently sourced — verify.</t>
  </si>
  <si>
    <t>HEALTH WARNING — READ BEFORE RELYING ON THIS</t>
  </si>
  <si>
    <t>• The UK crypto regime (FSMA (Cryptoassets) Regulations 2026) takes effect 25 Oct 2027; authorisation gateway opens 30 Sep 2026.</t>
  </si>
  <si>
    <t xml:space="preserve">  'Safeguarding qualifying cryptoassets' is a NEW regulated activity. A stablecoin escrow model may fall inside the perimeter.</t>
  </si>
  <si>
    <t xml:space="preserve">  Whether Blockmediary needs FCA authorisation is UNRESOLVED and must be confirmed by specialist counsel. This is the single biggest model risk.</t>
  </si>
  <si>
    <t>• All salary, audit, insurance and legal figures are ranges, not quotes. Treat as planning estimates until quoted.</t>
  </si>
  <si>
    <t>• Revenue take-rates for documentary escrow have no clean public comparable; they are reasoned estimates and are the largest revenue uncertainty.</t>
  </si>
  <si>
    <t>TIERED ECONOMICS UPDATE</t>
  </si>
  <si>
    <t>The model now routes revenue, COGS and risk through Tier_Economics: Tier A eBL, Tier B carrier/API-verified paper, Tier C paper collection/forensics.</t>
  </si>
  <si>
    <t>Tier mix is a core assumption because it changes take rate, document/review fees, manual cost, dispute risk, support cost and SLA.</t>
  </si>
  <si>
    <t>The formal release rules still come from the escrow spec / sale agreement; the tier determines how the documents are verified and priced.</t>
  </si>
  <si>
    <t>Tier C should be priced as a high-risk fallback, not treated as the strategic core volume.</t>
  </si>
  <si>
    <t>RISK / LIABILITY UPDATE</t>
  </si>
  <si>
    <t>The model now separates excluded goods-performance risk from retained Blockmediary risks.</t>
  </si>
  <si>
    <t>Delivery, quality and physical performance risk are set to zero reserve by design: Blockmediary releases against documents, not goods.</t>
  </si>
  <si>
    <t>Retained risks are still modelled: wrongful release/process error, document-source failure, Tier C paper/originals risk, compliance escalation, cyber/key security and partner outage fallback.</t>
  </si>
  <si>
    <t>Revenue_Risk_AddOns adds pass-through/offsetting revenue streams plus retained-risk variable, fixed and funding-only contingencies.</t>
  </si>
  <si>
    <t>Yield share remains an upside-only line and is disabled in the base case.</t>
  </si>
  <si>
    <t>Use P&amp;L_5yr row 66 for the funding ask including regulatory-delay contingency.</t>
  </si>
  <si>
    <t>MODEL CONTROL UPDATE</t>
  </si>
  <si>
    <t>All numeric Low/Base/High assumptions now flow through the scenario switch in Assumptions!C4.</t>
  </si>
  <si>
    <t>KYC/KYB onboarding revenue and cost now use new counterparties only, controlled by Assumptions!F73.</t>
  </si>
  <si>
    <t>Partner setup fees now use net-new partners: Yr2 partners in Assumptions!F24, Yr3 in F124, and Yr4/Yr5 in F175:F176.</t>
  </si>
  <si>
    <t>FIVE-YEAR CASH FLOW UPDATE</t>
  </si>
  <si>
    <t>Cash_Flow_Statement is now a monthly 60-month cash flow statement. It shows active-scenario cash receipts, operating cash burn, staged financing, restricted contingency reserve, runway, and Low/Base/High monthly cash-flow break-even timing.</t>
  </si>
  <si>
    <t>Dashboard is an investor-facing summary tab with redesigned, slide-readable visuals: base path to profitability, use of funds, scenario cash runway, and break-even readout.</t>
  </si>
  <si>
    <t>Model logic update: pricing, unit costs, salaries, fixed opex, and risk/cost assumptions now use one fixed value in Assumptions column F. Low/Base/High columns are reserved for adoption, tier mix, partner count, and repeat-usage drivers.</t>
  </si>
  <si>
    <t>Assumptions — Control Panel</t>
  </si>
  <si>
    <t>Scenario columns are only used for true adoption/mix drivers. Fixed inputs use one value in column F and flow through every downstream sheet.</t>
  </si>
  <si>
    <t>SCENARIO SWITCH (1/2/3)</t>
  </si>
  <si>
    <t>Assumption</t>
  </si>
  <si>
    <t>Low scenario</t>
  </si>
  <si>
    <t>Base scenario</t>
  </si>
  <si>
    <t>High scenario</t>
  </si>
  <si>
    <t>Active / fixed value</t>
  </si>
  <si>
    <t>Unit</t>
  </si>
  <si>
    <t>Notes / source quality</t>
  </si>
  <si>
    <t>-- GLOBAL --</t>
  </si>
  <si>
    <t>GBP:USD FX rate</t>
  </si>
  <si>
    <t>$/£</t>
  </si>
  <si>
    <t>Fixed input; not scenario-driven. Planning rate; verify at build time (estimate)</t>
  </si>
  <si>
    <t>Months modelled per year</t>
  </si>
  <si>
    <t>months</t>
  </si>
  <si>
    <t>Fixed input; not scenario-driven.</t>
  </si>
  <si>
    <t>-- DEAL VOLUME / CORE OPERATING DRIVERS --</t>
  </si>
  <si>
    <t>Year 1 deals (total)</t>
  </si>
  <si>
    <t>deals/yr</t>
  </si>
  <si>
    <t>Pilot→paid ramp. Pre-seed B2B fintech (estimate)</t>
  </si>
  <si>
    <t>Year 2 deals (total)</t>
  </si>
  <si>
    <t>estimate</t>
  </si>
  <si>
    <t>Year 3 deals (total)</t>
  </si>
  <si>
    <t>£/deal</t>
  </si>
  <si>
    <t>Fixed input; not scenario-driven. Avg SME cross-border invoice (estimate)</t>
  </si>
  <si>
    <t>Avg deal (trade) value growth (yearly)</t>
  </si>
  <si>
    <t>%/yr</t>
  </si>
  <si>
    <t>Fixed input; annual growth applied to avg deal value in active and scenario P&amp;L models.</t>
  </si>
  <si>
    <t>Avg counterparties / deal before repeat adjustment</t>
  </si>
  <si>
    <t>parties/deal</t>
  </si>
  <si>
    <t>Fixed input; not scenario-driven. Buyer + seller before repeat-customer onboarding adjustment</t>
  </si>
  <si>
    <t>Partner count Yr2</t>
  </si>
  <si>
    <t>partners</t>
  </si>
  <si>
    <t>API/platform partners live by Year 2</t>
  </si>
  <si>
    <t>-- TRANSACTION COGS --</t>
  </si>
  <si>
    <t>Claude API cost / document</t>
  </si>
  <si>
    <t>$/doc</t>
  </si>
  <si>
    <t>Fixed input; not scenario-driven. Haiku/Sonnet extraction. Anthropic $1/$5–$3/$15 MTok (vendor)</t>
  </si>
  <si>
    <t>KYB screening / business party</t>
  </si>
  <si>
    <t>$/party</t>
  </si>
  <si>
    <t>Fixed input; not scenario-driven. Didit fr $2, Sumsub tier (vendor)</t>
  </si>
  <si>
    <t>KYC/UBO+sanctions / person</t>
  </si>
  <si>
    <t>$/person</t>
  </si>
  <si>
    <t>Fixed input; not scenario-driven. Didit $0.30 / Sumsub $1.35 (vendor)</t>
  </si>
  <si>
    <t>Blockchain gas / deal (multi-tx)</t>
  </si>
  <si>
    <t>$/deal</t>
  </si>
  <si>
    <t>Fixed input; not scenario-driven. Base L2, several txns/deal (official: Base docs)</t>
  </si>
  <si>
    <t>RPC/node provider / deal</t>
  </si>
  <si>
    <t>Fixed input; not scenario-driven. Alchemy/QuickNode metered (vendor/estimate)</t>
  </si>
  <si>
    <t>Doc + audit-ledger storage / deal</t>
  </si>
  <si>
    <t>Fixed input; not scenario-driven. S3/object storage per deal (vendor/estimate)</t>
  </si>
  <si>
    <t>-- FIXED OPEX --</t>
  </si>
  <si>
    <t>Cloud hosting (Vercel/AWS)</t>
  </si>
  <si>
    <t>£/mo</t>
  </si>
  <si>
    <t>Fixed input; not scenario-driven. Vercel Pro $20/seat + AWS/usage (vendor)</t>
  </si>
  <si>
    <t>Database + object storage</t>
  </si>
  <si>
    <t>Fixed input; not scenario-driven. Managed Postgres + S3 (vendor/estimate)</t>
  </si>
  <si>
    <t>Monitoring/logging/security tools</t>
  </si>
  <si>
    <t>Fixed input; not scenario-driven. Sentry/Datadog/Snyk tiers (vendor/estimate)</t>
  </si>
  <si>
    <t>GitHub + dev SaaS</t>
  </si>
  <si>
    <t>Fixed input; not scenario-driven. GitHub $4–21/user (vendor)</t>
  </si>
  <si>
    <t>Google Workspace / collab</t>
  </si>
  <si>
    <t>Fixed input; not scenario-driven. ~£12/user Business Standard (vendor)</t>
  </si>
  <si>
    <t>CRM + BD tooling</t>
  </si>
  <si>
    <t>Fixed input; not scenario-driven. HubSpot/Pipedrive (vendor/estimate)</t>
  </si>
  <si>
    <t>Accounting/payroll/bookkeeping</t>
  </si>
  <si>
    <t>Fixed input; not scenario-driven. Outsourced (estimate)</t>
  </si>
  <si>
    <t>Legal retainer (ongoing)</t>
  </si>
  <si>
    <t>Fixed input; not scenario-driven. Commercial + regulatory queries (estimate)</t>
  </si>
  <si>
    <t>Compliance / MLRO support</t>
  </si>
  <si>
    <t>Fixed input; not scenario-driven. Fractional MLRO/consultant (benchmark/estimate)</t>
  </si>
  <si>
    <t>Marketing / conferences / partnerships</t>
  </si>
  <si>
    <t>Fixed input; not scenario-driven. Trade events, content (estimate)</t>
  </si>
  <si>
    <t>Office / coworking</t>
  </si>
  <si>
    <t>Fixed input; not scenario-driven. Hot-desk → small office (estimate)</t>
  </si>
  <si>
    <t>Insurance (PI+cyber+D&amp;O) / mo</t>
  </si>
  <si>
    <t>Fixed input; not scenario-driven. Annualised /12; fintech loading (benchmark/estimate)</t>
  </si>
  <si>
    <t>-- HEADCOUNT BASELINE --</t>
  </si>
  <si>
    <t>Founders (FTE)</t>
  </si>
  <si>
    <t>FTE</t>
  </si>
  <si>
    <t>Engineers Yr1 baseline</t>
  </si>
  <si>
    <t>FTE Yr1</t>
  </si>
  <si>
    <t>Fixed input; not scenario-driven. Scaled in P&amp;L by year (benchmark)</t>
  </si>
  <si>
    <t>Compliance/ops Yr1 baseline</t>
  </si>
  <si>
    <t>Fixed input; not scenario-driven. Compliance/ops baseline headcount starts at one FTE.</t>
  </si>
  <si>
    <t>Sales/BD + CS Yr1 baseline</t>
  </si>
  <si>
    <t>Fixed input; not scenario-driven. (benchmark)</t>
  </si>
  <si>
    <t>-- SALARIES --</t>
  </si>
  <si>
    <t>Founder salary</t>
  </si>
  <si>
    <t>£/yr</t>
  </si>
  <si>
    <t>Fixed input; not scenario-driven. Pre-seed founder (benchmark)</t>
  </si>
  <si>
    <t>Engineer salary</t>
  </si>
  <si>
    <t>Fixed input; not scenario-driven. UK fintech SWE (benchmark)</t>
  </si>
  <si>
    <t>Compliance/ops salary</t>
  </si>
  <si>
    <t>Fixed input; not scenario-driven. FS compliance officer (benchmark)</t>
  </si>
  <si>
    <t>Sales/BD/CS salary</t>
  </si>
  <si>
    <t>Employer NI rate</t>
  </si>
  <si>
    <t>% of pay &gt;£5k</t>
  </si>
  <si>
    <t>Fixed input; not scenario-driven. 15% above £5,000 ST 2026/27 (official: HMRC)</t>
  </si>
  <si>
    <t>Employer NI secondary threshold</t>
  </si>
  <si>
    <t>Fixed input; not scenario-driven. Frozen to 2030/31 (official)</t>
  </si>
  <si>
    <t>Employer pension contribution</t>
  </si>
  <si>
    <t>% of salary</t>
  </si>
  <si>
    <t>Fixed input; not scenario-driven. Auto-enrolment min 3% (official: TPR)</t>
  </si>
  <si>
    <t>Other employment on-costs</t>
  </si>
  <si>
    <t>Fixed input; not scenario-driven. Equipment, benefits, software/seat (estimate)</t>
  </si>
  <si>
    <t>-- CONTRACTOR DAY RATES --</t>
  </si>
  <si>
    <t>Smart-contract dev day rate</t>
  </si>
  <si>
    <t>£/day</t>
  </si>
  <si>
    <t>Fixed input; not scenario-driven. Specialist Solidity (benchmark/estimate)</t>
  </si>
  <si>
    <t>Full-stack dev day rate</t>
  </si>
  <si>
    <t>Compliance consultant day rate</t>
  </si>
  <si>
    <t>Fixed input; not scenario-driven. Crypto reg specialist (benchmark/estimate)</t>
  </si>
  <si>
    <t>UX/design day rate</t>
  </si>
  <si>
    <t>-- FUNDING / CASH FLOW --</t>
  </si>
  <si>
    <t>Cash buffer on peak deficit</t>
  </si>
  <si>
    <t>% buffer</t>
  </si>
  <si>
    <t>Fixed input; not scenario-driven. Applied to funding ask, linked into P&amp;L_5yr and Cash_Flow_Statement</t>
  </si>
  <si>
    <t>Pre-revenue/pilot months in Year 1</t>
  </si>
  <si>
    <t>Fixed input; not scenario-driven. Used to phase Yr1 revenue after startup build</t>
  </si>
  <si>
    <t>Employment allowance</t>
  </si>
  <si>
    <t>GBP/yr</t>
  </si>
  <si>
    <t>Fixed input; not scenario-driven. UK Employment Allowance 2026/27; confirm eligibility</t>
  </si>
  <si>
    <t>VAT registration threshold</t>
  </si>
  <si>
    <t>GBP revenue</t>
  </si>
  <si>
    <t>Fixed input; not scenario-driven. Flag threshold only; VAT cash timing not modelled in P&amp;L</t>
  </si>
  <si>
    <t>New counterparty onboarding share</t>
  </si>
  <si>
    <t>% screened parties</t>
  </si>
  <si>
    <t>Fixed input; not scenario-driven. Only this share gets fresh KYC/KYB onboarding; repeat checks assumed lower-touch/opex</t>
  </si>
  <si>
    <t>-- DOCUMENT INTAKE MIX + TIER PRICE BOOK --</t>
  </si>
  <si>
    <t>Tier A eBL mix Yr1</t>
  </si>
  <si>
    <t>% deals</t>
  </si>
  <si>
    <t>Lowest operational risk; source-of-truth digital document rail</t>
  </si>
  <si>
    <t>Tier B carrier/API mix Yr1</t>
  </si>
  <si>
    <t>Paper docs with DCSA/carrier/API verification</t>
  </si>
  <si>
    <t>Tier C paper collection mix Yr1</t>
  </si>
  <si>
    <t>Paper originals / manual collection / forensic fallback</t>
  </si>
  <si>
    <t>Tier A eBL mix Yr2</t>
  </si>
  <si>
    <t>Mix improves as eBL adoption grows</t>
  </si>
  <si>
    <t>Tier B carrier/API mix Yr2</t>
  </si>
  <si>
    <t>Core commercial tier</t>
  </si>
  <si>
    <t>Tier C paper collection mix Yr2</t>
  </si>
  <si>
    <t>Should shrink over time</t>
  </si>
  <si>
    <t>Tier A eBL mix Yr3</t>
  </si>
  <si>
    <t>Best-margin scaled tier</t>
  </si>
  <si>
    <t>Tier B carrier/API mix Yr3</t>
  </si>
  <si>
    <t>Carrier/API verified middle tier</t>
  </si>
  <si>
    <t>Tier C paper collection mix Yr3</t>
  </si>
  <si>
    <t>High-risk fallback, not strategic core</t>
  </si>
  <si>
    <t>Tier A escrow take rate</t>
  </si>
  <si>
    <t>% GMV</t>
  </si>
  <si>
    <t>Fixed input; not scenario-driven. Tier A eBL/source-of-truth rail: 0.30% GMV; below typical LC issuance economics.</t>
  </si>
  <si>
    <t>Tier B escrow take rate</t>
  </si>
  <si>
    <t>Fixed input; not scenario-driven. Tier B carrier/API-verified docs: 0.45% GMV; below many LC/corporate escrow all-in alternatives.</t>
  </si>
  <si>
    <t>Tier C escrow take rate</t>
  </si>
  <si>
    <t>Fixed input; not scenario-driven. Tier C paper/originals fallback: 0.70% GMV; priced for manual risk but still LC-competitive.</t>
  </si>
  <si>
    <t>Tier A minimum escrow fee</t>
  </si>
  <si>
    <t>GBP/deal</t>
  </si>
  <si>
    <t>Fixed input; not scenario-driven. Single price-book assumption repeated across Low/Base/High; scenarios now vary adoption/mix/risk, not customer pricing. Benchmarked as an LC-like service below typical bank LC all-in economics.</t>
  </si>
  <si>
    <t>Tier B minimum escrow fee</t>
  </si>
  <si>
    <t>Tier C minimum escrow fee</t>
  </si>
  <si>
    <t>Tier A document/review fee</t>
  </si>
  <si>
    <t>Fixed input; not scenario-driven. Tier A light document/release-rule review fee; familiar admin-fee style pricing.</t>
  </si>
  <si>
    <t>Tier B document/review fee</t>
  </si>
  <si>
    <t>Fixed input; not scenario-driven. Tier B API-assisted document review fee; below many bank discrepancy/amendment fee stacks.</t>
  </si>
  <si>
    <t>Tier C document/review fee</t>
  </si>
  <si>
    <t>Fixed input; not scenario-driven. Tier C manual/paper review fee; priced for higher work but still LC-competitive all-in.</t>
  </si>
  <si>
    <t>Tier A dispute/amendment fee</t>
  </si>
  <si>
    <t>GBP/event</t>
  </si>
  <si>
    <t>Fixed input; not scenario-driven. Dispute/amendment admin fee within familiar LC admin-fee range.</t>
  </si>
  <si>
    <t>Tier B dispute/amendment fee</t>
  </si>
  <si>
    <t>Tier C dispute/amendment fee</t>
  </si>
  <si>
    <t>Fixed input; not scenario-driven. Paper/originals discrepancy handling; premium manual workflow fee.</t>
  </si>
  <si>
    <t>Tier A eBL/API handling cost</t>
  </si>
  <si>
    <t>Fixed input; not scenario-driven. eBL platform/API/validation cost; quote-based</t>
  </si>
  <si>
    <t>Tier B carrier/API handling cost</t>
  </si>
  <si>
    <t>Fixed input; not scenario-driven. Carrier/DCSA/API lookup + reconciliation</t>
  </si>
  <si>
    <t>Tier C paper/forensics handling cost</t>
  </si>
  <si>
    <t>Fixed input; not scenario-driven. Courier/originals/forensics partner fallback</t>
  </si>
  <si>
    <t>Tier A human review cost</t>
  </si>
  <si>
    <t>Fixed input; not scenario-driven. AI-assisted light examiner time</t>
  </si>
  <si>
    <t>Tier B human review cost</t>
  </si>
  <si>
    <t>Fixed input; not scenario-driven. Examiner plus carrier-source check</t>
  </si>
  <si>
    <t>Tier C human review cost</t>
  </si>
  <si>
    <t>Fixed input; not scenario-driven. Manual examiner + paper workflow</t>
  </si>
  <si>
    <t>Tier A support cost</t>
  </si>
  <si>
    <t>Fixed input; not scenario-driven. Low-touch self-serve</t>
  </si>
  <si>
    <t>Tier B support cost</t>
  </si>
  <si>
    <t>Fixed input; not scenario-driven. Assisted verification</t>
  </si>
  <si>
    <t>Tier C support cost</t>
  </si>
  <si>
    <t>Fixed input; not scenario-driven. Manual coordination</t>
  </si>
  <si>
    <t>Tier A dispute rate</t>
  </si>
  <si>
    <t>Fixed input; not scenario-driven. Lower source-document risk</t>
  </si>
  <si>
    <t>Tier B dispute rate</t>
  </si>
  <si>
    <t>Fixed input; not scenario-driven. Medium mismatch risk</t>
  </si>
  <si>
    <t>Tier C dispute rate</t>
  </si>
  <si>
    <t>Fixed input; not scenario-driven. Paper/originals risk</t>
  </si>
  <si>
    <t>Tier A dispute handling cost</t>
  </si>
  <si>
    <t>Fixed input; not scenario-driven. Internal handling cost</t>
  </si>
  <si>
    <t>Tier B dispute handling cost</t>
  </si>
  <si>
    <t>Tier C dispute handling cost</t>
  </si>
  <si>
    <t>Tier A risk score</t>
  </si>
  <si>
    <t>1 low - 5 high</t>
  </si>
  <si>
    <t>Fixed input; not scenario-driven. Model score for risk narrative</t>
  </si>
  <si>
    <t>Tier B risk score</t>
  </si>
  <si>
    <t>Tier C risk score</t>
  </si>
  <si>
    <t>Tier A SLA days</t>
  </si>
  <si>
    <t>days</t>
  </si>
  <si>
    <t>Fixed input; not scenario-driven. Minutes to hours</t>
  </si>
  <si>
    <t>Tier B SLA days</t>
  </si>
  <si>
    <t>Fixed input; not scenario-driven. Same day to one day</t>
  </si>
  <si>
    <t>Tier C SLA days</t>
  </si>
  <si>
    <t>Fixed input; not scenario-driven. Courier/originals path</t>
  </si>
  <si>
    <t>Tier A docs/deal</t>
  </si>
  <si>
    <t>docs/deal</t>
  </si>
  <si>
    <t>Fixed input; not scenario-driven. Digital doc bundle</t>
  </si>
  <si>
    <t>Tier B docs/deal</t>
  </si>
  <si>
    <t>Fixed input; not scenario-driven. Carrier/API verified bundle</t>
  </si>
  <si>
    <t>Tier C docs/deal</t>
  </si>
  <si>
    <t>Fixed input; not scenario-driven. Paper/originals bundle</t>
  </si>
  <si>
    <t>-- CUSTOMER ACQUISITION CROSS-CHECK --</t>
  </si>
  <si>
    <t>Deals per active customer Yr1</t>
  </si>
  <si>
    <t>deals/customer/yr</t>
  </si>
  <si>
    <t>Commercial sanity check; P&amp;L remains driven by deal count</t>
  </si>
  <si>
    <t>Deals per active customer Yr2</t>
  </si>
  <si>
    <t>Commercial sanity check; should improve with repeat usage</t>
  </si>
  <si>
    <t>Deals per active customer Yr3</t>
  </si>
  <si>
    <t>Commercial sanity check; high case assumes repeat platform usage</t>
  </si>
  <si>
    <t>Partner count Yr3</t>
  </si>
  <si>
    <t>Total API/platform partners by Year 3; setup fee charges only net-new partners</t>
  </si>
  <si>
    <t>-- OPTIONAL FEES / ADD-ONS --</t>
  </si>
  <si>
    <t>First-deal discount rate</t>
  </si>
  <si>
    <t>% discount</t>
  </si>
  <si>
    <t>Fixed input; not scenario-driven. Commercial launch discount policy; repeated across scenarios.</t>
  </si>
  <si>
    <t>Tier B expedited review uptake</t>
  </si>
  <si>
    <t>% Tier B deals</t>
  </si>
  <si>
    <t>Fixed input; not scenario-driven. Scenario-driven customer uptake of optional expedited Tier B review; fee itself is fixed in row 129.</t>
  </si>
  <si>
    <t>Tier C expedited review uptake</t>
  </si>
  <si>
    <t>% Tier C deals</t>
  </si>
  <si>
    <t>Fixed input; not scenario-driven. Scenario-driven customer uptake of optional expedited Tier C review; fee itself is fixed in row 130.</t>
  </si>
  <si>
    <t>Tier B expedited review fee</t>
  </si>
  <si>
    <t>Fixed input; not scenario-driven. Optional expedited Tier B review; price-book assumption, not scenario sensitivity.</t>
  </si>
  <si>
    <t>Tier C expedited review fee</t>
  </si>
  <si>
    <t>Fixed input; not scenario-driven. Optional expedited Tier C paper/originals workflow; price-book assumption.</t>
  </si>
  <si>
    <t>KYC/KYB onboarding fee / counterparty</t>
  </si>
  <si>
    <t>GBP/party</t>
  </si>
  <si>
    <t>Fixed input; not scenario-driven. KYC/KYB onboarding admin fee; can be charged or bundled into first deal.</t>
  </si>
  <si>
    <t>Tier C forensics pass-through markup</t>
  </si>
  <si>
    <t>% over cost</t>
  </si>
  <si>
    <t>Fixed input; not scenario-driven. Pass-through markup on paper/forensics partner costs.</t>
  </si>
  <si>
    <t>Tier C courier/original handling fee</t>
  </si>
  <si>
    <t>Fixed input; not scenario-driven. Tier C courier/original handling admin fee.</t>
  </si>
  <si>
    <t>Discrepancy cure / waiver fee</t>
  </si>
  <si>
    <t>GBP/case</t>
  </si>
  <si>
    <t>Fixed input; not scenario-driven. Discrepancy cure/waiver fee in familiar LC admin-fee range.</t>
  </si>
  <si>
    <t>% disputed deals resolved as cure/waiver</t>
  </si>
  <si>
    <t>% disputed</t>
  </si>
  <si>
    <t>Fixed input; not scenario-driven. Scenario-driven share of disputed deals resolved through lighter cure/waiver workflow.</t>
  </si>
  <si>
    <t>Partner setup / integration fee</t>
  </si>
  <si>
    <t>GBP/new partner</t>
  </si>
  <si>
    <t>Fixed input; not scenario-driven. Forwarder/platform/API setup fee; price-book assumption.</t>
  </si>
  <si>
    <t>Monthly minimum / committed volume fee</t>
  </si>
  <si>
    <t>GBP/partner/mo</t>
  </si>
  <si>
    <t>Fixed input; not scenario-driven. Monthly minimum / committed-volume fee for API/platform partners.</t>
  </si>
  <si>
    <t>Archive / audit record fee</t>
  </si>
  <si>
    <t>Fixed input; not scenario-driven. Archive/audit record fee per deal.</t>
  </si>
  <si>
    <t>Yield share enabled?</t>
  </si>
  <si>
    <t>0/1 toggle</t>
  </si>
  <si>
    <t>Fixed input; not scenario-driven. Disabled in all scenarios: yield share is optional regulated upside outside the core price book.</t>
  </si>
  <si>
    <t>Yield share annual rate</t>
  </si>
  <si>
    <t>Fixed input; not scenario-driven. Disabled in core model; do not rely on regulated yield economics.</t>
  </si>
  <si>
    <t>Yield share retained by Blockmediary</t>
  </si>
  <si>
    <t>% yield</t>
  </si>
  <si>
    <t>-- RISK / CONTINGENCY COST OFFSETS --</t>
  </si>
  <si>
    <t>Carrier/eBL integration maintenance</t>
  </si>
  <si>
    <t>Fixed input; not scenario-driven. Ongoing partner integration, certification and API maintenance</t>
  </si>
  <si>
    <t>Forensics partner retainer</t>
  </si>
  <si>
    <t>Fixed input; not scenario-driven. Traydstream/Cleareye-style retainer or minimum commitment</t>
  </si>
  <si>
    <t>Fraud database build / governance Y1</t>
  </si>
  <si>
    <t>GBP Yr1</t>
  </si>
  <si>
    <t>Fixed input; not scenario-driven. BoL/document hash database; privacy/governance work</t>
  </si>
  <si>
    <t>Fraud database ongoing governance</t>
  </si>
  <si>
    <t>Fixed input; not scenario-driven. Hosting, governance and data-sharing overhead</t>
  </si>
  <si>
    <t>QA second-review rate</t>
  </si>
  <si>
    <t>Fixed input; not scenario-driven. Four-eyes check for high-risk or out-of-envelope decisions</t>
  </si>
  <si>
    <t>QA second-review cost</t>
  </si>
  <si>
    <t>GBP/review</t>
  </si>
  <si>
    <t>Fixed input; not scenario-driven. Examiner QA cost</t>
  </si>
  <si>
    <t>External dispute forum rate</t>
  </si>
  <si>
    <t>Fixed input; not scenario-driven. Expert determination / formal dispute escalation</t>
  </si>
  <si>
    <t>External dispute forum cost</t>
  </si>
  <si>
    <t>Fixed input; not scenario-driven. Should be passed through where possible</t>
  </si>
  <si>
    <t>Operational error / wrongful release reserve</t>
  </si>
  <si>
    <t>% revenue</t>
  </si>
  <si>
    <t>Fixed input; not scenario-driven. Retained process-error risk, not delivery risk</t>
  </si>
  <si>
    <t>Insurance deductible reserve</t>
  </si>
  <si>
    <t>Fixed input; not scenario-driven. Expected out-of-pocket claim/deductible buffer</t>
  </si>
  <si>
    <t>KMS / multisig / key security ops</t>
  </si>
  <si>
    <t>Fixed input; not scenario-driven. Custody/key-management tooling and monitoring</t>
  </si>
  <si>
    <t>Regulatory reporting ops</t>
  </si>
  <si>
    <t>Fixed input; not scenario-driven. SAR/escalation handling, ongoing screening ops</t>
  </si>
  <si>
    <t>Partner/channel commission</t>
  </si>
  <si>
    <t>Fixed input; not scenario-driven. Forwarder/platform referral or revenue share</t>
  </si>
  <si>
    <t>Fee collection leakage</t>
  </si>
  <si>
    <t>% non-escrow fees</t>
  </si>
  <si>
    <t>Fixed input; not scenario-driven. Fees not always collected from escrow flow</t>
  </si>
  <si>
    <t>Partner/API outage manual fallback rate</t>
  </si>
  <si>
    <t>Fixed input; not scenario-driven. When carrier/API lookup fails</t>
  </si>
  <si>
    <t>Partner/API outage fallback cost</t>
  </si>
  <si>
    <t>Fixed input; not scenario-driven. Manual fallback cost</t>
  </si>
  <si>
    <t>Smart contract incident reserve</t>
  </si>
  <si>
    <t>Fixed input; not scenario-driven. Emergency audit, redeploy, legal response</t>
  </si>
  <si>
    <t>Regulatory delay contingency months</t>
  </si>
  <si>
    <t>Fixed input; not scenario-driven. Funding reserve only; not delivery/performance risk</t>
  </si>
  <si>
    <t>Monthly burn proxy for delay reserve</t>
  </si>
  <si>
    <t>GBP/mo</t>
  </si>
  <si>
    <t>Fixed input; not scenario-driven. Approx burn during regulatory delay</t>
  </si>
  <si>
    <t>Delivery/performance liability reserve</t>
  </si>
  <si>
    <t>GBP</t>
  </si>
  <si>
    <t>Fixed input; not scenario-driven. Set to zero by design: release is against documents, not goods delivery</t>
  </si>
  <si>
    <t>Liability wording legal review</t>
  </si>
  <si>
    <t>Fixed input; not scenario-driven. Drafting/confirming documents-not-goods liability boundary</t>
  </si>
  <si>
    <t>Document-source indemnity legal review</t>
  </si>
  <si>
    <t>Fixed input; not scenario-driven. Carrier/eBL/API/forensics contract risk allocation</t>
  </si>
  <si>
    <t>-- YEAR 4/5 GROWTH DRIVERS --</t>
  </si>
  <si>
    <t>Year 4 deals (total)</t>
  </si>
  <si>
    <t>Five-year continuation; linked into P&amp;L_5yr</t>
  </si>
  <si>
    <t>Year 5 deals (total)</t>
  </si>
  <si>
    <t>Five-year continuation; used to test cash-flow breakeven</t>
  </si>
  <si>
    <t>Tier A eBL mix Yr4</t>
  </si>
  <si>
    <t>Assumes continued migration toward eBL/source-of-truth rails</t>
  </si>
  <si>
    <t>Tier B carrier/API mix Yr4</t>
  </si>
  <si>
    <t>Tier C paper collection mix Yr4</t>
  </si>
  <si>
    <t>High-risk paper fallback shrinks with scale</t>
  </si>
  <si>
    <t>Tier A eBL mix Yr5</t>
  </si>
  <si>
    <t>Tier B carrier/API mix Yr5</t>
  </si>
  <si>
    <t>Tier C paper collection mix Yr5</t>
  </si>
  <si>
    <t>Paper fallback retained but not strategic core</t>
  </si>
  <si>
    <t>Partner count Yr4</t>
  </si>
  <si>
    <t>Total API/platform partners by Year 4</t>
  </si>
  <si>
    <t>Partner count Yr5</t>
  </si>
  <si>
    <t>Total API/platform partners by Year 5</t>
  </si>
  <si>
    <t>Deals per active customer Yr4</t>
  </si>
  <si>
    <t>Improves with repeat platform usage</t>
  </si>
  <si>
    <t>Deals per active customer Yr5</t>
  </si>
  <si>
    <t>Commercial sanity check for mature usage</t>
  </si>
  <si>
    <t>First 6 Months — Startup Costs (one-off + setup ramp)</t>
  </si>
  <si>
    <t>One-off costs incurred in months 0-6. Recurring opex/payroll lives in P&amp;L_5yr. Scenario-driven (Low/Base/High).</t>
  </si>
  <si>
    <t>Cost driver</t>
  </si>
  <si>
    <t>Active</t>
  </si>
  <si>
    <t>Cur</t>
  </si>
  <si>
    <t>COMPANY FORMATION &amp; FILINGS</t>
  </si>
  <si>
    <t>Companies House digital incorporation</t>
  </si>
  <si>
    <t>£</t>
  </si>
  <si>
    <t>£100 from 1 Feb 2026 (official: Companies House)</t>
  </si>
  <si>
    <t>Registered office / address service (6mo)</t>
  </si>
  <si>
    <t>Virtual office (vendor/estimate)</t>
  </si>
  <si>
    <t>Director ID verification / ACSP</t>
  </si>
  <si>
    <t>ACSP £63; One Login free (official)</t>
  </si>
  <si>
    <t>Confirmation statement (annual)</t>
  </si>
  <si>
    <t>£50 digital from Feb 2026 (official)</t>
  </si>
  <si>
    <t>LEGAL SETUP</t>
  </si>
  <si>
    <t>Shareholder agreement</t>
  </si>
  <si>
    <t>£375–£3,000 fixed-fee (benchmark)</t>
  </si>
  <si>
    <t>IP assignment (founders/contractors)</t>
  </si>
  <si>
    <t>Assign IP into company (estimate)</t>
  </si>
  <si>
    <t>Articles / cap table / SAFE setup</t>
  </si>
  <si>
    <t>SAFE/ASA template + review (estimate)</t>
  </si>
  <si>
    <t>Website terms + privacy policy</t>
  </si>
  <si>
    <t>Bespoke for fintech (estimate)</t>
  </si>
  <si>
    <t>Trade Escrow Agreement template (bespoke)</t>
  </si>
  <si>
    <t>Core product contract; bespoke drafting (estimate)</t>
  </si>
  <si>
    <t>REGULATORY &amp; COMPLIANCE SETUP</t>
  </si>
  <si>
    <t>Regulatory perimeter advice (crypto/stablecoin escrow)</t>
  </si>
  <si>
    <t>HIGH RISK. FCA crypto regime 2027; safeguarding may be in-scope (estimate)</t>
  </si>
  <si>
    <t>AML/KYC/sanctions policy + procedures</t>
  </si>
  <si>
    <t>MLR 2017 policy pack + MLRO setup (estimate)</t>
  </si>
  <si>
    <t>Data protection / GDPR setup (DPIA, ROPA)</t>
  </si>
  <si>
    <t>ICO registration £40–60 + advice (official+estimate)</t>
  </si>
  <si>
    <t>ICO data protection fee</t>
  </si>
  <si>
    <t>ICO annual fee tier (official: ICO)</t>
  </si>
  <si>
    <t>SECURITY</t>
  </si>
  <si>
    <t>Smart-contract audit / security review</t>
  </si>
  <si>
    <t>Moderate-complexity escrow contracts (benchmark)</t>
  </si>
  <si>
    <t>Penetration test (web app)</t>
  </si>
  <si>
    <t>Pre-launch pentest (vendor/estimate)</t>
  </si>
  <si>
    <t>PRODUCT BUILD (one-off, pre-revenue)</t>
  </si>
  <si>
    <t>Smart-contract development (contract)</t>
  </si>
  <si>
    <t>Solidity build; days × day-rate (estimate)</t>
  </si>
  <si>
    <t>Web app / full-stack build (contract)</t>
  </si>
  <si>
    <t>MVP build incl. integrations (estimate)</t>
  </si>
  <si>
    <t>UI/UX design</t>
  </si>
  <si>
    <t>(estimate)</t>
  </si>
  <si>
    <t>BRAND, DECK &amp; WEB</t>
  </si>
  <si>
    <t>Pitch deck + brand identity</t>
  </si>
  <si>
    <t>Marketing website</t>
  </si>
  <si>
    <t>Domain + email + initial SaaS</t>
  </si>
  <si>
    <t>Domain, Workspace setup (vendor)</t>
  </si>
  <si>
    <t>BUSINESS DEVELOPMENT (setup)</t>
  </si>
  <si>
    <t>Pilot outreach / travel (UK/EU/ME)</t>
  </si>
  <si>
    <t>ME travel pushes high end (estimate)</t>
  </si>
  <si>
    <t>Conferences / trade events (first 6mo)</t>
  </si>
  <si>
    <t>INSURANCE (first-year, paid upfront)</t>
  </si>
  <si>
    <t>Professional indemnity (annual)</t>
  </si>
  <si>
    <t>Prepaid first-year insurance; do not also include Year 1 monthly insurance in P&amp;L.</t>
  </si>
  <si>
    <t>Cyber insurance (annual)</t>
  </si>
  <si>
    <t>D&amp;O insurance (annual)</t>
  </si>
  <si>
    <t>CONTINGENCY</t>
  </si>
  <si>
    <t>Contingency on one-off costs</t>
  </si>
  <si>
    <t>Applied to subtotal (estimate)</t>
  </si>
  <si>
    <t>Subtotal one-off costs (ex-contingency)</t>
  </si>
  <si>
    <t>Contingency amount</t>
  </si>
  <si>
    <t>TOTAL FIRST-6-MONTHS ONE-OFF COSTS</t>
  </si>
  <si>
    <t>Cash Flow Statement - monthly 60-month projection</t>
  </si>
  <si>
    <t>Active scenario is controlled by Assumptions!C4. Year 1 revenue/COGS are phased after the pre-revenue months; startup costs are paid over months 1-6; financing is staged as the implied funding ask steps up.</t>
  </si>
  <si>
    <t>Peak cumulative operating deficit</t>
  </si>
  <si>
    <t>Month 60 operating cash</t>
  </si>
  <si>
    <t>Active scenario</t>
  </si>
  <si>
    <t>Cash-flow break-even month</t>
  </si>
  <si>
    <t>Month #</t>
  </si>
  <si>
    <t>Logic / note</t>
  </si>
  <si>
    <t>Model year</t>
  </si>
  <si>
    <t>Month in year</t>
  </si>
  <si>
    <t>Period</t>
  </si>
  <si>
    <t>CASH FLOWS FROM OPERATING ACTIVITIES</t>
  </si>
  <si>
    <t>Customer receipts</t>
  </si>
  <si>
    <t>Revenue receipts are phased after Year 1 pre-revenue months; Years 2-5 are straight-lined monthly.</t>
  </si>
  <si>
    <t>Variable COGS cash payments</t>
  </si>
  <si>
    <t>COGS follows the same revenue phasing.</t>
  </si>
  <si>
    <t>Gross operating cash margin</t>
  </si>
  <si>
    <t>Payroll cash payments</t>
  </si>
  <si>
    <t>Annual payroll from P&amp;L_5yr divided by 12.</t>
  </si>
  <si>
    <t>Fixed opex cash payments</t>
  </si>
  <si>
    <t>Annual fixed opex from P&amp;L_5yr divided by 12.</t>
  </si>
  <si>
    <t>Startup / one-off cash payments</t>
  </si>
  <si>
    <t>Startup_6mo / Year 1 one-off spend paid over months 1-6.</t>
  </si>
  <si>
    <t>Working capital / settlement float</t>
  </si>
  <si>
    <t>Client escrow funds remain restricted/off-balance-sheet; no settlement float benefit is modelled.</t>
  </si>
  <si>
    <t>Net cash from operating activities</t>
  </si>
  <si>
    <t>CASH FLOWS FROM INVESTING ACTIVITIES</t>
  </si>
  <si>
    <t>Capitalised development / capex</t>
  </si>
  <si>
    <t>Net cash from investing activities</t>
  </si>
  <si>
    <t>CASH FLOWS FROM FINANCING ACTIVITIES</t>
  </si>
  <si>
    <t>External funding raised</t>
  </si>
  <si>
    <t>Raised in month 1 of any year when the cumulative funding ask steps up.</t>
  </si>
  <si>
    <t>Restricted contingency reserve set aside</t>
  </si>
  <si>
    <t>Funding-only contingency reserve is separated from unrestricted operating cash.</t>
  </si>
  <si>
    <t>Net cash from financing activities</t>
  </si>
  <si>
    <t>CASH RECONCILIATION</t>
  </si>
  <si>
    <t>Opening unrestricted cash</t>
  </si>
  <si>
    <t>0</t>
  </si>
  <si>
    <t>Net change in unrestricted cash</t>
  </si>
  <si>
    <t>Closing unrestricted cash</t>
  </si>
  <si>
    <t>Restricted contingency reserve held</t>
  </si>
  <si>
    <t>Closing cash incl. restricted reserve</t>
  </si>
  <si>
    <t>BREAKEVEN / RUNWAY</t>
  </si>
  <si>
    <t>Operating cumulative cash flow before financing</t>
  </si>
  <si>
    <t>This is the monthly cash-flow break-even test before external financing.</t>
  </si>
  <si>
    <t>Cash-flow break-even status</t>
  </si>
  <si>
    <t>Runway warning</t>
  </si>
  <si>
    <t>Scenario comparison - monthly cash-flow break-even</t>
  </si>
  <si>
    <t>Scenario</t>
  </si>
  <si>
    <t>Month 60 cumulative operating cash</t>
  </si>
  <si>
    <t>EBITDA break-even</t>
  </si>
  <si>
    <t>Funding ask incl. contingency</t>
  </si>
  <si>
    <t>Scenario cumulative operating cash flow before financing - monthly</t>
  </si>
  <si>
    <t>5-Year P&amp;L (annual) - driven by Assumptions sheet</t>
  </si>
  <si>
    <t>All figures GBP. Revenue &amp; COGS scale with deal volume. Active scenario shown; change Assumptions!C4.</t>
  </si>
  <si>
    <t>Line item</t>
  </si>
  <si>
    <t>Year 1</t>
  </si>
  <si>
    <t>Year 2</t>
  </si>
  <si>
    <t>Year 3</t>
  </si>
  <si>
    <t>Year 4</t>
  </si>
  <si>
    <t>Year 5</t>
  </si>
  <si>
    <t>Unit / note</t>
  </si>
  <si>
    <t>VOLUME &amp; DRIVERS</t>
  </si>
  <si>
    <t>Deals processed</t>
  </si>
  <si>
    <t>From Assumptions</t>
  </si>
  <si>
    <t>Avg deal value (£)</t>
  </si>
  <si>
    <t>GMV per deal</t>
  </si>
  <si>
    <t>Gross trade value processed (GMV)</t>
  </si>
  <si>
    <t>Deals × avg value (NOT revenue)</t>
  </si>
  <si>
    <t>Documents processed</t>
  </si>
  <si>
    <t>Tier-weighted docs/deal from Tier_Economics</t>
  </si>
  <si>
    <t>New counterparties onboarded</t>
  </si>
  <si>
    <t>Deals x parties/deal x new-counterparty onboarding share</t>
  </si>
  <si>
    <t>Disputed/amended deals</t>
  </si>
  <si>
    <t>Tier-weighted dispute rates</t>
  </si>
  <si>
    <t>REVENUE</t>
  </si>
  <si>
    <t>Escrow transaction fees</t>
  </si>
  <si>
    <t>Tiered fee by A/B/C mix</t>
  </si>
  <si>
    <t>Document review fees</t>
  </si>
  <si>
    <t>Tiered document/review fee</t>
  </si>
  <si>
    <t>Dispute/amendment fees</t>
  </si>
  <si>
    <t>Tiered dispute/amendment fee</t>
  </si>
  <si>
    <t>Partner/API + add-on revenue streams</t>
  </si>
  <si>
    <t>SaaS/API, setup/minimums, KYC fees, archive, expedited, Tier C pass-through, less first-deal discount</t>
  </si>
  <si>
    <t>Total revenue</t>
  </si>
  <si>
    <t>Sum of revenue lines</t>
  </si>
  <si>
    <t>COGS / VARIABLE COSTS</t>
  </si>
  <si>
    <t>Claude API (doc extraction)</t>
  </si>
  <si>
    <t>USD→GBP</t>
  </si>
  <si>
    <t>KYB business onboarding</t>
  </si>
  <si>
    <t>Fresh KYB only for new counterparties</t>
  </si>
  <si>
    <t>KYC/UBO + sanctions onboarding</t>
  </si>
  <si>
    <t>Fresh KYC/KYB only for new counterparties</t>
  </si>
  <si>
    <t>Tiered document verification ops</t>
  </si>
  <si>
    <t>External eBL/API/paper + human examiner cost</t>
  </si>
  <si>
    <t>Blockchain gas</t>
  </si>
  <si>
    <t>Base L2 USD→GBP</t>
  </si>
  <si>
    <t>RPC / node provider</t>
  </si>
  <si>
    <t>Deals x RPC cost; USD to GBP</t>
  </si>
  <si>
    <t>Document / ledger storage</t>
  </si>
  <si>
    <t>Deals x storage cost; USD to GBP</t>
  </si>
  <si>
    <t>Customer support</t>
  </si>
  <si>
    <t>Tiered support load</t>
  </si>
  <si>
    <t>Dispute handling + retained-risk variable costs</t>
  </si>
  <si>
    <t>Dispute handling plus QA, forum, reserves, commissions, fallback, leakage</t>
  </si>
  <si>
    <t>Total COGS</t>
  </si>
  <si>
    <t>Sum of COGS lines</t>
  </si>
  <si>
    <t>Gross profit</t>
  </si>
  <si>
    <t>Total revenue minus total COGS</t>
  </si>
  <si>
    <t>Gross margin %</t>
  </si>
  <si>
    <t>Gross profit / revenue</t>
  </si>
  <si>
    <t>HEADCOUNT &amp; PAYROLL</t>
  </si>
  <si>
    <t>Founder headcount held flat</t>
  </si>
  <si>
    <t>Engineers (FTE)</t>
  </si>
  <si>
    <t>Ramp +1/yr</t>
  </si>
  <si>
    <t>Compliance/ops (FTE)</t>
  </si>
  <si>
    <t>Ramp</t>
  </si>
  <si>
    <t>Sales/BD/CS (FTE)</t>
  </si>
  <si>
    <t>Total FTE</t>
  </si>
  <si>
    <t>Founders + engineers + compliance/ops + sales/BD/CS</t>
  </si>
  <si>
    <t>Gross salaries</t>
  </si>
  <si>
    <t>FTE × salary</t>
  </si>
  <si>
    <t>Employer NI</t>
  </si>
  <si>
    <t>15% above threshold, less Employment Allowance; confirm eligibility</t>
  </si>
  <si>
    <t>Employer pension</t>
  </si>
  <si>
    <t>Gross salaries x pension contribution</t>
  </si>
  <si>
    <t>Gross salaries x other employment on-costs</t>
  </si>
  <si>
    <t>Total payroll cost</t>
  </si>
  <si>
    <t>Gross salaries + employer NI + pension + other on-costs</t>
  </si>
  <si>
    <t>FIXED OPERATING COSTS (annual = monthly ×12)</t>
  </si>
  <si>
    <t>Monthly base × scale factor</t>
  </si>
  <si>
    <t>Monthly base × FTE scale</t>
  </si>
  <si>
    <t>Monthly base × sales/BD scale</t>
  </si>
  <si>
    <t>Monthly base × complexity scale</t>
  </si>
  <si>
    <t>Compliance / MLRO + retained-risk infrastructure</t>
  </si>
  <si>
    <t>MLRO support plus carrier/eBL integration, forensics retainer, fraud DB, key security, reg ops, incident reserve</t>
  </si>
  <si>
    <t>Year 1 prepaid; Years 2–3 monthly ×12</t>
  </si>
  <si>
    <t>Total fixed opex</t>
  </si>
  <si>
    <t>Sum of fixed opex lines</t>
  </si>
  <si>
    <t>ONE-OFF &amp; STARTUP COSTS</t>
  </si>
  <si>
    <t>First-6-months one-off costs (Yr1)</t>
  </si>
  <si>
    <t>From Startup_6mo (Yr1 only)</t>
  </si>
  <si>
    <t>RESULT</t>
  </si>
  <si>
    <t>Total operating expenditure</t>
  </si>
  <si>
    <t>Payroll+opex+one-off</t>
  </si>
  <si>
    <t>EBITDA (pre one-off)</t>
  </si>
  <si>
    <t>Gross profit − payroll − opex</t>
  </si>
  <si>
    <t>Net profit / (loss) incl. one-off</t>
  </si>
  <si>
    <t>Gross profit minus total operating expenditure</t>
  </si>
  <si>
    <t>Cumulative net result</t>
  </si>
  <si>
    <t>Running total</t>
  </si>
  <si>
    <t>Implied cash needed (peak cumulative deficit + buffer)</t>
  </si>
  <si>
    <t>Peak cumulative deficit × linked buffer</t>
  </si>
  <si>
    <t>Funding-only contingency reserve</t>
  </si>
  <si>
    <t>Regulatory delay reserve + zero delivery-liability reserve</t>
  </si>
  <si>
    <t>Implied funding ask incl. contingency</t>
  </si>
  <si>
    <t>Cash need plus funding-only contingency</t>
  </si>
  <si>
    <t>CUSTOMER ACQUISITION CROSS-CHECK</t>
  </si>
  <si>
    <t>Deals / active customer / year</t>
  </si>
  <si>
    <t>Commercial sanity check from Assumptions</t>
  </si>
  <si>
    <t>Implied active customers</t>
  </si>
  <si>
    <t>Deals / deals per active customer</t>
  </si>
  <si>
    <t>Revenue / deal</t>
  </si>
  <si>
    <t>Total revenue / deals</t>
  </si>
  <si>
    <t>Revenue / active customer</t>
  </si>
  <si>
    <t>Total revenue / implied customers</t>
  </si>
  <si>
    <t>VAT registration flag</t>
  </si>
  <si>
    <t>Revenue &gt; threshold</t>
  </si>
  <si>
    <t>Gross margin sanity check</t>
  </si>
  <si>
    <t>Warn if &gt;90% and tiered document-verification COGS is nonzero</t>
  </si>
  <si>
    <t>Tier Economics - revenue, cost and risk by document-intake tier</t>
  </si>
  <si>
    <t>Tier A eBL Y1</t>
  </si>
  <si>
    <t>Tier B API Y1</t>
  </si>
  <si>
    <t>Tier C Paper Y1</t>
  </si>
  <si>
    <t>Total Y1</t>
  </si>
  <si>
    <t>Tier A eBL Y2</t>
  </si>
  <si>
    <t>Tier B API Y2</t>
  </si>
  <si>
    <t>Tier C Paper Y2</t>
  </si>
  <si>
    <t>Total Y2</t>
  </si>
  <si>
    <t>Tier A eBL Y3</t>
  </si>
  <si>
    <t>Tier B API Y3</t>
  </si>
  <si>
    <t>Tier C Paper Y3</t>
  </si>
  <si>
    <t>Total Y3</t>
  </si>
  <si>
    <t>Tier A eBL Y4</t>
  </si>
  <si>
    <t>Tier B API Y4</t>
  </si>
  <si>
    <t>Tier C Paper Y4</t>
  </si>
  <si>
    <t>Total Y4</t>
  </si>
  <si>
    <t>Tier A eBL Y5</t>
  </si>
  <si>
    <t>Tier B API Y5</t>
  </si>
  <si>
    <t>Tier C Paper Y5</t>
  </si>
  <si>
    <t>Total Y5</t>
  </si>
  <si>
    <t>Tier mix</t>
  </si>
  <si>
    <t>Deals</t>
  </si>
  <si>
    <t>Docs per deal</t>
  </si>
  <si>
    <t>Avg deal value</t>
  </si>
  <si>
    <t>GMV</t>
  </si>
  <si>
    <t>Escrow take rate</t>
  </si>
  <si>
    <t>Minimum escrow fee</t>
  </si>
  <si>
    <t>Escrow fee revenue</t>
  </si>
  <si>
    <t>Doc/review fee per deal</t>
  </si>
  <si>
    <t>Doc/review revenue</t>
  </si>
  <si>
    <t>Dispute rate</t>
  </si>
  <si>
    <t>Disputed deals</t>
  </si>
  <si>
    <t>Dispute/amendment fee</t>
  </si>
  <si>
    <t>Dispute/amendment revenue</t>
  </si>
  <si>
    <t>External eBL/API/paper cost</t>
  </si>
  <si>
    <t>Human review cost</t>
  </si>
  <si>
    <t>Support cost</t>
  </si>
  <si>
    <t>Dispute handling cost</t>
  </si>
  <si>
    <t>Total tier-specific COGS</t>
  </si>
  <si>
    <t>Tier revenue</t>
  </si>
  <si>
    <t>Gross profit before shared COGS</t>
  </si>
  <si>
    <t>Gross margin</t>
  </si>
  <si>
    <t>Weighted risk score</t>
  </si>
  <si>
    <t>SLA days</t>
  </si>
  <si>
    <t>Tier mix sums check</t>
  </si>
  <si>
    <t>Pricing / risk profile</t>
  </si>
  <si>
    <t>Fastest / lowest risk</t>
  </si>
  <si>
    <t>Core verified tier</t>
  </si>
  <si>
    <t>Highest cost / highest risk</t>
  </si>
  <si>
    <t>Portfolio blend</t>
  </si>
  <si>
    <t>Driver Tables — Researched Cost &amp; Revenue Assumptions</t>
  </si>
  <si>
    <t>Reference ranges in native quoted currency. The operating model itself is controlled from Assumptions: fixed inputs use Assumptions column F; scenario drivers use Low/Base/High.</t>
  </si>
  <si>
    <t>Cost/Revenue driver</t>
  </si>
  <si>
    <t>Reference low</t>
  </si>
  <si>
    <t>Model / reference base</t>
  </si>
  <si>
    <t>Reference high</t>
  </si>
  <si>
    <t>Currency</t>
  </si>
  <si>
    <t>Source quality</t>
  </si>
  <si>
    <t>Source URL / note</t>
  </si>
  <si>
    <t>Modelling note</t>
  </si>
  <si>
    <t>Model usage</t>
  </si>
  <si>
    <t>Escrow transaction fee (take rate)</t>
  </si>
  <si>
    <t>0.30%-0.70% by tier</t>
  </si>
  <si>
    <t>Single price book</t>
  </si>
  <si>
    <t>Below LC/corporate escrow comps</t>
  </si>
  <si>
    <t>Comparable frame: bank LCs often 0.5%-1.5% issuance plus admin/confirmation; corporate escrow can be ~0.25%-1.0%+.</t>
  </si>
  <si>
    <t>Model uses one fixed Assumptions value; Low/Base/High scenarios do not change pricing.</t>
  </si>
  <si>
    <t>Reference; model input in Assumptions</t>
  </si>
  <si>
    <t>A £150 / B £250 / C £500</t>
  </si>
  <si>
    <t>Protects small-deal margin</t>
  </si>
  <si>
    <t>Protects margin on small deals</t>
  </si>
  <si>
    <t>Document review fee</t>
  </si>
  <si>
    <t>A £25 / B £90 / C £300</t>
  </si>
  <si>
    <t>Below familiar LC discrepancy/admin fee burden</t>
  </si>
  <si>
    <t>Flat per-deal doc-check charge</t>
  </si>
  <si>
    <t>A £100 / B £200 / C £500</t>
  </si>
  <si>
    <t>Admin-fee comparable</t>
  </si>
  <si>
    <t>Charged only on disputed/amended deals</t>
  </si>
  <si>
    <t>SaaS/API partner fee</t>
  </si>
  <si>
    <t>White-label/API from Yr2</t>
  </si>
  <si>
    <t>× partners × 12</t>
  </si>
  <si>
    <t>Pilot→paid conversion</t>
  </si>
  <si>
    <t>benchmark</t>
  </si>
  <si>
    <t>B2B fintech pilots convert ~20–55%; feeds deal ramp</t>
  </si>
  <si>
    <t>Drives Yr1→Yr2 deal growth</t>
  </si>
  <si>
    <t>Scenario driver</t>
  </si>
  <si>
    <t>Companies House incorporation (digital)</t>
  </si>
  <si>
    <t>Startup cost</t>
  </si>
  <si>
    <t>official</t>
  </si>
  <si>
    <t>https://changestoukcompanylaw.campaign.gov.uk/changes-to-companies-house-fees/</t>
  </si>
  <si>
    <t>£100 from 1 Feb 2026</t>
  </si>
  <si>
    <t>Confirmation statement</t>
  </si>
  <si>
    <t>£50 digital</t>
  </si>
  <si>
    <t>ACSP registration / director ID</t>
  </si>
  <si>
    <t>https://www.icaew.com/ - CH fees 2026</t>
  </si>
  <si>
    <t>£63 ACSP; One Login free</t>
  </si>
  <si>
    <t>https://founderdocuments.co.uk / lawyersonline.co.uk</t>
  </si>
  <si>
    <t>Fixed-fee range</t>
  </si>
  <si>
    <t>IP assignment</t>
  </si>
  <si>
    <t>Founder/contractor IP into NewCo</t>
  </si>
  <si>
    <t>Terms + privacy policy</t>
  </si>
  <si>
    <t>Fintech-grade</t>
  </si>
  <si>
    <t>Trade Escrow Agreement (bespoke)</t>
  </si>
  <si>
    <t>Core product contract; bespoke</t>
  </si>
  <si>
    <t>HIGH uncertainty</t>
  </si>
  <si>
    <t>Regulatory perimeter advice (crypto)</t>
  </si>
  <si>
    <t>FCA crypto regime in force Oct 2027; gateway 30 Sep 2026</t>
  </si>
  <si>
    <t>HIGH RISK — verify scope</t>
  </si>
  <si>
    <t>AML/KYC/sanctions policy setup</t>
  </si>
  <si>
    <t>MLR 2017 + MLRO</t>
  </si>
  <si>
    <t>GDPR/data-protection setup</t>
  </si>
  <si>
    <t>DPIA, ROPA</t>
  </si>
  <si>
    <t>https://ico.org.uk - data protection fee</t>
  </si>
  <si>
    <t>Tiered £40–£60</t>
  </si>
  <si>
    <t>Smart-contract audit</t>
  </si>
  <si>
    <t>https://www.zealynx.io/blogs/audit-pricing-2026; sherlock.xyz</t>
  </si>
  <si>
    <t>Moderate-complexity escrow</t>
  </si>
  <si>
    <t>Penetration test</t>
  </si>
  <si>
    <t>Pre-launch web app pentest</t>
  </si>
  <si>
    <t>Smart-contract development</t>
  </si>
  <si>
    <t>Contract build (days×rate)</t>
  </si>
  <si>
    <t>Web/full-stack build</t>
  </si>
  <si>
    <t>MVP incl integrations</t>
  </si>
  <si>
    <t>Brand + pitch deck</t>
  </si>
  <si>
    <t>Marketing website + domain</t>
  </si>
  <si>
    <t>vendor/estimate</t>
  </si>
  <si>
    <t>Domain/Workspace vendor-priced</t>
  </si>
  <si>
    <t>667</t>
  </si>
  <si>
    <t>Business development</t>
  </si>
  <si>
    <t>ME travel raises high end</t>
  </si>
  <si>
    <t>Claude API per document</t>
  </si>
  <si>
    <t>COGS/variable cost</t>
  </si>
  <si>
    <t>$</t>
  </si>
  <si>
    <t>vendor</t>
  </si>
  <si>
    <t>https://docs.claude.com (Haiku $1/$5, Sonnet $3/$15 per MTok)</t>
  </si>
  <si>
    <t>Use Haiku+caching; batch −50%</t>
  </si>
  <si>
    <t>OCR alternative (AWS Textract etc.)</t>
  </si>
  <si>
    <t>AWS Textract ~$1.5/1000 pages forms-tier</t>
  </si>
  <si>
    <t>Fallback/complement to LLM</t>
  </si>
  <si>
    <t>KYB business verification</t>
  </si>
  <si>
    <t>https://didit.me (fr $2); https://sumsub.com/pricing</t>
  </si>
  <si>
    <t>Per entity</t>
  </si>
  <si>
    <t>KYC/UBO + sanctions</t>
  </si>
  <si>
    <t>https://sumsub.com/pricing ($1.35); Didit $0.30</t>
  </si>
  <si>
    <t>Per counterparty/UBO</t>
  </si>
  <si>
    <t>Human document review</t>
  </si>
  <si>
    <t>Human-in-loop; automate down over time</t>
  </si>
  <si>
    <t>Scales with volume</t>
  </si>
  <si>
    <t>Blockchain gas (Base L2)</t>
  </si>
  <si>
    <t>https://docs.base.org/.../network-fees (~$0.002/200k gas)</t>
  </si>
  <si>
    <t>Several txns/deal (deploy+release)</t>
  </si>
  <si>
    <t>RPC/node provider</t>
  </si>
  <si>
    <t>Alchemy/QuickNode metered compute units</t>
  </si>
  <si>
    <t>Doc + ledger storage</t>
  </si>
  <si>
    <t>S3 + Glacier audit ledger</t>
  </si>
  <si>
    <t>Blended</t>
  </si>
  <si>
    <t>Dispute handling</t>
  </si>
  <si>
    <t>Manual labour</t>
  </si>
  <si>
    <t>× disputed deals</t>
  </si>
  <si>
    <t>Fixed opex</t>
  </si>
  <si>
    <t>https://vercel.com/pricing ($20/seat) + AWS usage</t>
  </si>
  <si>
    <t>Watch usage overages</t>
  </si>
  <si>
    <t>Managed Postgres + S3</t>
  </si>
  <si>
    <t>Monitoring/logging/security</t>
  </si>
  <si>
    <t>Sentry/Datadog/Snyk</t>
  </si>
  <si>
    <t>GitHub $4–21/user</t>
  </si>
  <si>
    <t>Google Workspace</t>
  </si>
  <si>
    <t>~£12/user Business Standard</t>
  </si>
  <si>
    <t>HubSpot/Pipedrive</t>
  </si>
  <si>
    <t>Outsourced</t>
  </si>
  <si>
    <t>Legal retainer</t>
  </si>
  <si>
    <t>Ongoing commercial/reg</t>
  </si>
  <si>
    <t>benchmark/estimate</t>
  </si>
  <si>
    <t>Fractional MLRO/consultant</t>
  </si>
  <si>
    <t>Marketing / conferences</t>
  </si>
  <si>
    <t>Insurance PI+cyber+D&amp;O</t>
  </si>
  <si>
    <t>Superscript/Lockton fintech; PI+cyber+D&amp;O</t>
  </si>
  <si>
    <t>Annual /12; fintech loading</t>
  </si>
  <si>
    <t>HR</t>
  </si>
  <si>
    <t>Pre-seed founder norm</t>
  </si>
  <si>
    <t>Software engineer salary</t>
  </si>
  <si>
    <t>https://savingtool.co.uk; glassdoor UK fintech SWE</t>
  </si>
  <si>
    <t>https://live-digital.co.uk/blog/compliance-officer-salary</t>
  </si>
  <si>
    <t>FS compliance officer</t>
  </si>
  <si>
    <t>Morgan McKinley / market</t>
  </si>
  <si>
    <t>https://www.gov.uk - NI rates 2026/27</t>
  </si>
  <si>
    <t>15% above £5,000 ST</t>
  </si>
  <si>
    <t>The Pensions Regulator auto-enrolment</t>
  </si>
  <si>
    <t>Min 3% employer</t>
  </si>
  <si>
    <t>Specialist Solidity contractor</t>
  </si>
  <si>
    <t>Inside/outside IR35 varies</t>
  </si>
  <si>
    <t>Crypto reg specialist</t>
  </si>
  <si>
    <t>Pre-seed raise (UK/EU)</t>
  </si>
  <si>
    <t>Funding</t>
  </si>
  <si>
    <t>Carta/PitchBook; UK/EU pre-seed via SAFE</t>
  </si>
  <si>
    <t>SAFE common &lt;£4M-equiv</t>
  </si>
  <si>
    <t>Seed raise (UK/EU)</t>
  </si>
  <si>
    <t>Median seed $2.5–3.5M</t>
  </si>
  <si>
    <t>Priced round</t>
  </si>
  <si>
    <t>Seed raise (Middle East)</t>
  </si>
  <si>
    <t>ME avg seed ~$3.7M</t>
  </si>
  <si>
    <t>Higher dilution ~25%</t>
  </si>
  <si>
    <t>Pre-seed dilution</t>
  </si>
  <si>
    <t>Carta State of Pre-Seed</t>
  </si>
  <si>
    <t>Runway buffer (regulated fintech)</t>
  </si>
  <si>
    <t>Regulated fintech carries longer buffer</t>
  </si>
  <si>
    <t>Cash buffer guidance</t>
  </si>
  <si>
    <t>Tier A/B/C mix by year</t>
  </si>
  <si>
    <t>Revenue / risk</t>
  </si>
  <si>
    <t>See Assumptions rows 75-83</t>
  </si>
  <si>
    <t>Base: A 15%-&gt;30%-&gt;45%; B 45%-&gt;45%-&gt;40%; C 40%-&gt;25%-&gt;15%</t>
  </si>
  <si>
    <t>Upside shifts faster to eBL</t>
  </si>
  <si>
    <t>% of deals</t>
  </si>
  <si>
    <t>Derived from slide-09 six-layer verification stack and slide-10 tier mix</t>
  </si>
  <si>
    <t>Feeds Tier_Economics</t>
  </si>
  <si>
    <t>Tier A eBL take rate/min fee</t>
  </si>
  <si>
    <t>0.30% / GBP150</t>
  </si>
  <si>
    <t>% GMV / GBP</t>
  </si>
  <si>
    <t>Single price book; eBL/source-of-truth rail priced below typical LC issuance economics.</t>
  </si>
  <si>
    <t>Tier B carrier/API take rate/min fee</t>
  </si>
  <si>
    <t>0.45% / GBP250</t>
  </si>
  <si>
    <t>Single price book; carrier/API verification priced below many LC/escrow all-in alternatives.</t>
  </si>
  <si>
    <t>Tier C paper take rate/min fee</t>
  </si>
  <si>
    <t>0.70% / GBP500</t>
  </si>
  <si>
    <t>Single price book; paper/originals tier is priced up for risk but remains LC-competitive.</t>
  </si>
  <si>
    <t>estimate/quote-based</t>
  </si>
  <si>
    <t>eBL platform/API validation</t>
  </si>
  <si>
    <t>Model uses one fixed Assumptions value unless explicitly listed as a scenario driver.</t>
  </si>
  <si>
    <t>DCSA/carrier verification</t>
  </si>
  <si>
    <t>Courier/originals/forensics partner</t>
  </si>
  <si>
    <t>Light examiner time</t>
  </si>
  <si>
    <t>Examiner plus source check</t>
  </si>
  <si>
    <t>Paper/manual examiner workflow</t>
  </si>
  <si>
    <t>Risk</t>
  </si>
  <si>
    <t>2%</t>
  </si>
  <si>
    <t>4%</t>
  </si>
  <si>
    <t>7%</t>
  </si>
  <si>
    <t>Lower document-source risk</t>
  </si>
  <si>
    <t>6%</t>
  </si>
  <si>
    <t>10%</t>
  </si>
  <si>
    <t>15%</t>
  </si>
  <si>
    <t>Medium mismatch risk</t>
  </si>
  <si>
    <t>12%</t>
  </si>
  <si>
    <t>20%</t>
  </si>
  <si>
    <t>30%</t>
  </si>
  <si>
    <t>Paper/originals risk</t>
  </si>
  <si>
    <t>Tier A SLA</t>
  </si>
  <si>
    <t>Risk / ops</t>
  </si>
  <si>
    <t>0.02d</t>
  </si>
  <si>
    <t>0.05d</t>
  </si>
  <si>
    <t>0.1d</t>
  </si>
  <si>
    <t>Minutes to hours</t>
  </si>
  <si>
    <t>Tier B SLA</t>
  </si>
  <si>
    <t>0.25d</t>
  </si>
  <si>
    <t>0.5d</t>
  </si>
  <si>
    <t>1d</t>
  </si>
  <si>
    <t>Same day to one day</t>
  </si>
  <si>
    <t>Tier C SLA</t>
  </si>
  <si>
    <t>5d</t>
  </si>
  <si>
    <t>7d</t>
  </si>
  <si>
    <t>10d</t>
  </si>
  <si>
    <t>Physical originals path</t>
  </si>
  <si>
    <t>Tier A/B/C docs per deal</t>
  </si>
  <si>
    <t>A2/B4/C6</t>
  </si>
  <si>
    <t>A3/B6/C9</t>
  </si>
  <si>
    <t>A4/B8/C12</t>
  </si>
  <si>
    <t>Different intake methods imply different document packs</t>
  </si>
  <si>
    <t>Tier risk score</t>
  </si>
  <si>
    <t>A1/B2/C4</t>
  </si>
  <si>
    <t>A1/B3/C5</t>
  </si>
  <si>
    <t>A2/B3/C5</t>
  </si>
  <si>
    <t>Narrative risk score for finance/pitch</t>
  </si>
  <si>
    <t>Sensitivity Map</t>
  </si>
  <si>
    <t>Current 5-year model drivers, linked to the assumption rows that control each sensitivity.</t>
  </si>
  <si>
    <t>Use the links below to jump to the editable assumption. Scenario-driven rows use Low/Base/High; fixed rows use the active value in Assumptions column F.</t>
  </si>
  <si>
    <t>Rank</t>
  </si>
  <si>
    <t>Sensitivity lever</t>
  </si>
  <si>
    <t>Why it matters in this model</t>
  </si>
  <si>
    <t>Click to edit</t>
  </si>
  <si>
    <t>Related assumption rows</t>
  </si>
  <si>
    <t>Current model setting</t>
  </si>
  <si>
    <t>Outputs affected</t>
  </si>
  <si>
    <t>How to test it</t>
  </si>
  <si>
    <t>Deal volume</t>
  </si>
  <si>
    <t>Master adoption driver. Revenue, GMV, variable costs, onboarding activity, and cash-flow timing all scale from deal count.</t>
  </si>
  <si>
    <t>Assumptions!B11</t>
  </si>
  <si>
    <t>B11:B13; B155:B156</t>
  </si>
  <si>
    <t>Revenue, COGS, cash-flow break-even, funding ask</t>
  </si>
  <si>
    <t>Change deal counts by year or switch scenario in Assumptions!C4.</t>
  </si>
  <si>
    <t>Document intake mix</t>
  </si>
  <si>
    <t>Tier A/B/C mix controls pricing, direct costs, dispute rates, SLA, and risk profile.</t>
  </si>
  <si>
    <t>Assumptions!B64</t>
  </si>
  <si>
    <t>B64:B72; B157:B162</t>
  </si>
  <si>
    <t>Gross margin, risk costs, operations load</t>
  </si>
  <si>
    <t>Move volume away from Tier C over time to test automation / eBL adoption.</t>
  </si>
  <si>
    <t>Tier price book</t>
  </si>
  <si>
    <t>Core revenue is tier-specific now. The old generic escrow fee is retired.</t>
  </si>
  <si>
    <t>Assumptions!B73</t>
  </si>
  <si>
    <t>B73:B84</t>
  </si>
  <si>
    <t>Revenue per deal, gross margin, break-even timing</t>
  </si>
  <si>
    <t>Adjust tier take rates, minimum fees, document fees, and dispute fees.</t>
  </si>
  <si>
    <t>Average deal value</t>
  </si>
  <si>
    <t>Multiplies take-rate revenue and GMV without changing document count one-for-one.</t>
  </si>
  <si>
    <t>Assumptions!B15</t>
  </si>
  <si>
    <t>B14:B15</t>
  </si>
  <si>
    <t>GMV, escrow fee revenue, revenue/deal</t>
  </si>
  <si>
    <t>Test smaller SME transactions versus larger trade corridors.</t>
  </si>
  <si>
    <t>Partner commercialization</t>
  </si>
  <si>
    <t>Partner counts create setup revenue and monthly minimums, but also affect integration/operating complexity.</t>
  </si>
  <si>
    <t>Assumptions!B17</t>
  </si>
  <si>
    <t>B17; B113; B163:B164; B125:B126</t>
  </si>
  <si>
    <t>Add-on revenue, customer acquisition, cash runway</t>
  </si>
  <si>
    <t>Change partner count rows and setup/monthly minimum fees together.</t>
  </si>
  <si>
    <t>Repeat usage / active customers</t>
  </si>
  <si>
    <t>Converts deal targets into implied active customers and checks whether adoption assumptions are believable.</t>
  </si>
  <si>
    <t>Assumptions!B110</t>
  </si>
  <si>
    <t>B110:B112; B165:B166</t>
  </si>
  <si>
    <t>Active customers, revenue/customer, sales load</t>
  </si>
  <si>
    <t>Lower repeat usage if customers are mostly one-off shipments.</t>
  </si>
  <si>
    <t>KYC/KYB onboarding economics</t>
  </si>
  <si>
    <t>Repeat-counterparty treatment affects both onboarding revenue and screening cost.</t>
  </si>
  <si>
    <t>Assumptions!B62</t>
  </si>
  <si>
    <t>B62; B19:B20; B120</t>
  </si>
  <si>
    <t>COGS, add-on revenue, margin on repeat customers</t>
  </si>
  <si>
    <t>Stress whether repeat customers require fresh checks every deal.</t>
  </si>
  <si>
    <t>Tier C paper / forensics recovery</t>
  </si>
  <si>
    <t>Tier C is the high-risk fallback. Margin depends on passing through the expensive handling and forensics work.</t>
  </si>
  <si>
    <t>Assumptions!B87</t>
  </si>
  <si>
    <t>B87; B90; B93; B121:B122</t>
  </si>
  <si>
    <t>Tier C gross margin, ops burden, risk reserve</t>
  </si>
  <si>
    <t>Increase Tier C costs or reduce pass-through to test downside exposure.</t>
  </si>
  <si>
    <t>Disputes and retained-risk reserves</t>
  </si>
  <si>
    <t>Disputes drive service fees, human handling cost, external forum cost, and wrongful-release/process-error reserves.</t>
  </si>
  <si>
    <t>Assumptions!B94</t>
  </si>
  <si>
    <t>B94:B99; B136:B148; B151:B153</t>
  </si>
  <si>
    <t>Risk costs, funding ask, gross margin</t>
  </si>
  <si>
    <t>Test a bad-doc environment by increasing Tier C dispute rates and forum cost.</t>
  </si>
  <si>
    <t>Headcount and salaries</t>
  </si>
  <si>
    <t>Payroll is the dominant fixed cost and the biggest determinant of burn before scale.</t>
  </si>
  <si>
    <t>Assumptions!B39</t>
  </si>
  <si>
    <t>B39:B51</t>
  </si>
  <si>
    <t>EBITDA, burn, funding ask, break-even</t>
  </si>
  <si>
    <t>Delay hires or increase salary/on-cost assumptions to test runway.</t>
  </si>
  <si>
    <t>Fixed opex and compliance</t>
  </si>
  <si>
    <t>Ongoing legal, compliance, insurance, tooling, and infrastructure spend sets the monthly burn floor.</t>
  </si>
  <si>
    <t>Assumptions!B26</t>
  </si>
  <si>
    <t>B26:B37; B132:B135; B141:B143</t>
  </si>
  <si>
    <t>Operating burn, cash runway, funding ask</t>
  </si>
  <si>
    <t>Raise compliance/legal/insurance costs for regulated-market downside.</t>
  </si>
  <si>
    <t>Cash buffer and regulatory delay</t>
  </si>
  <si>
    <t>Funding requirement is driven by peak deficit plus buffer and delay contingency.</t>
  </si>
  <si>
    <t>Assumptions!B58</t>
  </si>
  <si>
    <t>B58:B59; B149:B150</t>
  </si>
  <si>
    <t>Funding ask, runway, contingency reserve</t>
  </si>
  <si>
    <t>Change the buffer and delay reserve to see how much extra seed capital is required.</t>
  </si>
  <si>
    <t>Accuracy check</t>
  </si>
  <si>
    <t>The old generic escrow-fee sensitivity is removed. Pricing sensitivity now points to tier-specific take rates, minimum fees, document/review fees, and dispute/amendment fees in Assumptions rows 72-83.</t>
  </si>
  <si>
    <t>Pilot-to-paid conversion is not a standalone model input. It is represented by deal volume, partner count, and repeat usage / active customer assumptions.</t>
  </si>
  <si>
    <t>Risk Register — High-Risk, Quote-Based &amp; Needs-Confirmation Items</t>
  </si>
  <si>
    <t>Items requiring legal/regulatory confirmation or a firm quote before the model can be relied on.</t>
  </si>
  <si>
    <t>Assumption / item</t>
  </si>
  <si>
    <t>Risk level</t>
  </si>
  <si>
    <t>Why it's high-risk / what to confirm</t>
  </si>
  <si>
    <t>Confirm with</t>
  </si>
  <si>
    <t>FCA regulatory perimeter (does Blockmediary need authorisation?)</t>
  </si>
  <si>
    <t>CRITICAL</t>
  </si>
  <si>
    <t>UK FSMA (Cryptoassets) Regs 2026 in force 25 Oct 2027; gateway opens 30 Sep 2026. 'Safeguarding qualifying cryptoassets' is a new regulated activity — a stablecoin escrow holding buyer funds may be in scope. Operating in-perimeter without authorisation risks criminal sanctions and unenforceable contracts.</t>
  </si>
  <si>
    <t>Specialist crypto regulatory counsel / FCA pre-app</t>
  </si>
  <si>
    <t>Stablecoin handling &amp; e-money / payments perimeter</t>
  </si>
  <si>
    <t>Even excluding lending, holding/transferring stablecoin for third parties can touch payments, e-money and safeguarding rules across UK/EU (MiCA) and ME jurisdictions. Cross-border use multiplies this.</t>
  </si>
  <si>
    <t>Crypto/payments counsel in each jurisdiction</t>
  </si>
  <si>
    <t>Escrow take rate &amp; revenue lines</t>
  </si>
  <si>
    <t>HIGH</t>
  </si>
  <si>
    <t>All revenue figures are 'estimate' quality — no clean public documentary-escrow comparable. The entire revenue model is a hypothesis until validated in paid pilots.</t>
  </si>
  <si>
    <t>Pilot pricing tests</t>
  </si>
  <si>
    <t>Trade Escrow Agreement enforceability</t>
  </si>
  <si>
    <t>Bespoke contract governing on-chain release of funds against off-chain documents; enforceability across buyer/seller jurisdictions is untested.</t>
  </si>
  <si>
    <t>Trade-finance + crypto counsel</t>
  </si>
  <si>
    <t>Smart-contract audit scope &amp; cost</t>
  </si>
  <si>
    <t>MEDIUM</t>
  </si>
  <si>
    <t>Audit cost depends on final contract complexity; a contract holding client funds warrants a top-tier audit and possibly re-audit after changes.</t>
  </si>
  <si>
    <t>Audit firm quote (scoped)</t>
  </si>
  <si>
    <t>AML/KYC obligations &amp; MLRO</t>
  </si>
  <si>
    <t>Cross-border SME trade with funds movement likely triggers MLR 2017 registration and an appointed MLRO; ME jurisdictions add local AML regimes.</t>
  </si>
  <si>
    <t>MLRO / compliance counsel</t>
  </si>
  <si>
    <t>Data protection across UK/EU/ME</t>
  </si>
  <si>
    <t>Handling trade documents (often containing personal data) across three regions engages UK GDPR, EU GDPR and local ME data laws; transfer mechanisms needed.</t>
  </si>
  <si>
    <t>Data-protection counsel</t>
  </si>
  <si>
    <t>Insurance availability &amp; loading</t>
  </si>
  <si>
    <t>Crypto/fintech PI, cyber and D&amp;O can be hard to place and carry heavy loadings or exclusions (e.g. crypto exclusions). Quotes will vary widely.</t>
  </si>
  <si>
    <t>Specialist fintech insurance broker</t>
  </si>
  <si>
    <t>Salary &amp; contractor benchmarks</t>
  </si>
  <si>
    <t>LOW</t>
  </si>
  <si>
    <t>Ranges are benchmark-quality, not offers; actual hires may sit outside the band, especially scarce crypto/compliance talent.</t>
  </si>
  <si>
    <t>Recruiter / live market data</t>
  </si>
  <si>
    <t>Funding size &amp; timing</t>
  </si>
  <si>
    <t>Round sizes are market benchmarks; regulated-fintech raises can be slower and require more proof of compliance readiness.</t>
  </si>
  <si>
    <t>Pre-seed/seed investors</t>
  </si>
  <si>
    <t>Goods delivery / quality / performance risk</t>
  </si>
  <si>
    <t>EXCLUDED</t>
  </si>
  <si>
    <t>Core premise: Blockmediary releases against documents, not actual delivery/condition. Must be drafted explicitly in TEA and customer terms.</t>
  </si>
  <si>
    <t>Trade finance counsel</t>
  </si>
  <si>
    <t>Wrongful release / process error</t>
  </si>
  <si>
    <t>Retained risk: if our rules engine, examiner, API integration or release workflow makes a bad decision, we may face claims.</t>
  </si>
  <si>
    <t>PI/E&amp;O insurer + counsel</t>
  </si>
  <si>
    <t>Document-source failure or outage</t>
  </si>
  <si>
    <t>Carrier/eBL/API source may be unavailable or wrong; model includes fallback and integration costs.</t>
  </si>
  <si>
    <t>Carrier/eBL partners</t>
  </si>
  <si>
    <t>Tier C paper/originals risk</t>
  </si>
  <si>
    <t>Manual paper, courier, originals and forensics create higher operational error and dispute risk.</t>
  </si>
  <si>
    <t>Forensics partner + ops lead</t>
  </si>
  <si>
    <t>Partner indemnities / pass-throughs</t>
  </si>
  <si>
    <t>Need contracts with eBL, carrier API, forensics, courier and KYC providers to push source failures and direct costs outward.</t>
  </si>
  <si>
    <t>Commercial counsel</t>
  </si>
  <si>
    <t>Operational error reserve adequacy</t>
  </si>
  <si>
    <t>Reserve is assumption-based, not actuarial. Must be revisited after pilot loss/dispute history.</t>
  </si>
  <si>
    <t>CFO + insurer</t>
  </si>
  <si>
    <t>Regulatory delay reserve</t>
  </si>
  <si>
    <t>Not a P&amp;L cost but a funding requirement if authorisation/legal sign-off delays launch.</t>
  </si>
  <si>
    <t>Regulatory counsel / investors</t>
  </si>
  <si>
    <t>Yield share upside</t>
  </si>
  <si>
    <t>Kept off in base case. Only use if regulated yield infrastructure and customer terms permit it.</t>
  </si>
  <si>
    <t>Crypto/payments counsel</t>
  </si>
  <si>
    <t>Revenue add-ons and retained-risk offsets</t>
  </si>
  <si>
    <t>REVENUE ADD-ONS</t>
  </si>
  <si>
    <t>First-deal discount drag</t>
  </si>
  <si>
    <t>Expedited review fees</t>
  </si>
  <si>
    <t>KYC/KYB onboarding fees</t>
  </si>
  <si>
    <t>Fresh onboarding only; repeat counterparties not recharged every deal</t>
  </si>
  <si>
    <t>Tier C forensics pass-through margin</t>
  </si>
  <si>
    <t>Tier C courier/original handling fees</t>
  </si>
  <si>
    <t>Discrepancy cure / waiver fees</t>
  </si>
  <si>
    <t>Partner setup / integration fees</t>
  </si>
  <si>
    <t>Setup fees charged on net-new partners only</t>
  </si>
  <si>
    <t>Monthly minimum / committed volume fees</t>
  </si>
  <si>
    <t>Monthly minimum uses live partner count by year</t>
  </si>
  <si>
    <t>Archive / audit record fees</t>
  </si>
  <si>
    <t>Total additional revenue</t>
  </si>
  <si>
    <t>RETAINED-RISK VARIABLE COSTS</t>
  </si>
  <si>
    <t>Operational error / wrongful-release reserve</t>
  </si>
  <si>
    <t>Partner/API outage fallback</t>
  </si>
  <si>
    <t>Total variable retained-risk costs</t>
  </si>
  <si>
    <t>RETAINED-RISK FIXED COSTS</t>
  </si>
  <si>
    <t>Fraud database build / governance</t>
  </si>
  <si>
    <t>Total fixed retained-risk costs</t>
  </si>
  <si>
    <t>FUNDING / CONTINGENCY ONLY</t>
  </si>
  <si>
    <t>Regulatory delay contingency</t>
  </si>
  <si>
    <t>Total funding-only contingency</t>
  </si>
  <si>
    <t>DOCUMENTS-NOT-GOODS POSITIONING</t>
  </si>
  <si>
    <t>Excluded reserve</t>
  </si>
  <si>
    <t>Excluded</t>
  </si>
  <si>
    <t>Documents-not-goods boundary; buyer/seller/carrier/insurer risk</t>
  </si>
  <si>
    <t>Document verification / wrongful release risk</t>
  </si>
  <si>
    <t>Retained and priced</t>
  </si>
  <si>
    <t>Retained</t>
  </si>
  <si>
    <t>Operational/process error reserve + insurance/deductible reserve</t>
  </si>
  <si>
    <t>Carrier/eBL/API source failure risk</t>
  </si>
  <si>
    <t>Retained operationally</t>
  </si>
  <si>
    <t>Partner contracts, uptime SLAs, manual fallback cost</t>
  </si>
  <si>
    <t>High-cost fallback</t>
  </si>
  <si>
    <t>Tier C priced up and margin-tested</t>
  </si>
  <si>
    <t>Contractual risk posture</t>
  </si>
  <si>
    <t>Against documents</t>
  </si>
  <si>
    <t>Core premise</t>
  </si>
  <si>
    <t>Mirrors LC logic; legal review still required</t>
  </si>
  <si>
    <t>(NOT FOR SUBMISSION) - current potential areas to adress:</t>
  </si>
  <si>
    <r>
      <t>Employer NI uses Employment Allowance (£10,500).</t>
    </r>
    <r>
      <rPr>
        <sz val="11"/>
        <color theme="1"/>
        <rFont val="Calibri"/>
        <family val="2"/>
      </rPr>
      <t xml:space="preserve"> Row 39 subtracts it. Worth confirming eligibility: a company whose only employee is a single director can't claim it. With 6 FTE including 2 founders that's probably fine, but it's a known trap.</t>
    </r>
  </si>
  <si>
    <r>
      <t>No revenue churn / failed-pilot attrition.</t>
    </r>
    <r>
      <rPr>
        <sz val="11"/>
        <color theme="1"/>
        <rFont val="Calibri"/>
        <family val="2"/>
      </rPr>
      <t xml:space="preserve"> The funnel only adds customers. A small churn assumption would make Years 3–5 more credible.</t>
    </r>
  </si>
  <si>
    <r>
      <t>Settlement/escrow float is set to zero in the cash flow (row 18).</t>
    </r>
    <r>
      <rPr>
        <sz val="11"/>
        <color theme="1"/>
        <rFont val="Calibri"/>
        <family val="2"/>
      </rPr>
      <t xml:space="preserve"> That's </t>
    </r>
    <r>
      <rPr>
        <i/>
        <sz val="11"/>
        <color theme="1"/>
        <rFont val="Calibri"/>
        <family val="2"/>
      </rPr>
      <t>conservative</t>
    </r>
    <r>
      <rPr>
        <sz val="11"/>
        <color theme="1"/>
        <rFont val="Calibri"/>
        <family val="2"/>
      </rPr>
      <t xml:space="preserve"> and correct for P&amp;L, but operationally you'll be holding large buyer prefunds in escrow. Even though that's client money (not yours, not income), it has real implications for safeguarding, banking, and the FCA perimeter — the model treats it as financially invisible, which is right for the accounts but shouldn't let the regulatory question fade.</t>
    </r>
  </si>
  <si>
    <r>
      <t>Funding arrives as a single lump in month 1, but the implied funding ask (</t>
    </r>
    <r>
      <rPr>
        <b/>
        <sz val="10"/>
        <color theme="1"/>
        <rFont val="Arial Unicode MS"/>
      </rPr>
      <t>P&amp;L!C66</t>
    </r>
    <r>
      <rPr>
        <b/>
        <sz val="11"/>
        <color theme="1"/>
        <rFont val="Calibri"/>
        <family val="2"/>
      </rPr>
      <t>) is a running MAX of the peak cumulative deficit.</t>
    </r>
    <r>
      <rPr>
        <sz val="11"/>
        <color theme="1"/>
        <rFont val="Calibri"/>
        <family val="2"/>
      </rPr>
      <t xml:space="preserve"> The financing formula in later years injects only the </t>
    </r>
    <r>
      <rPr>
        <i/>
        <sz val="11"/>
        <color theme="1"/>
        <rFont val="Calibri"/>
        <family val="2"/>
      </rPr>
      <t>incremental</t>
    </r>
    <r>
      <rPr>
        <sz val="11"/>
        <color theme="1"/>
        <rFont val="Calibri"/>
        <family val="2"/>
      </rPr>
      <t xml:space="preserve"> increase in the ask. Because the peak deficit occurs around month 24 (min unrestricted cash ≈ £82k), you're fine — but the buffer is thin. The model shows you bottoming out at ~£82k of unrestricted cash in month 24 on the base case. That's cutting it close; I'd either raise slightly more or phase the raise. It's not an error, but it's a fragility.</t>
    </r>
  </si>
  <si>
    <r>
      <t>Operating cash flow excludes any working-capital timing.</t>
    </r>
    <r>
      <rPr>
        <sz val="11"/>
        <color theme="1"/>
        <rFont val="Calibri"/>
        <family val="2"/>
      </rPr>
      <t xml:space="preserve"> Receipts are recognised in the month the annual revenue is smoothed into, with no lag between deal completion and fee collection. In reality there's a gap (and you model "fee collection leakage" at 1% but not timing). A 30–60 day receipts lag would deepen the month-24 trough. Given how thin that trough already is, I'd add even a crude lag to test it.</t>
    </r>
  </si>
  <si>
    <t>Avg intitial deal (trade) value (first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</si>
</sst>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\£#,##0;&quot;(£&quot;#,##0\);\-"/>
    <numFmt numFmtId="165" formatCode="0.0%"/>
    <numFmt numFmtId="166" formatCode="#,##0;\(#,##0\);\-"/>
    <numFmt numFmtId="167" formatCode="\£#,##0.0000;\-"/>
    <numFmt numFmtId="168" formatCode="#,##0.0"/>
    <numFmt numFmtId="169" formatCode="\£#,##0;[Red]\(\£#,##0\);\-"/>
    <numFmt numFmtId="170" formatCode="0.0"/>
    <numFmt numFmtId="171" formatCode="\£0.0"/>
    <numFmt numFmtId="172" formatCode="_-[$£-809]* #,##0.00_-;\-[$£-809]* #,##0.00_-;_-[$£-809]* &quot;-&quot;??_-;_-@_-"/>
    <numFmt numFmtId="173" formatCode="_-[$£-809]* #,##0_-;\-[$£-809]* #,##0_-;_-[$£-809]* &quot;-&quot;??_-;_-@_-"/>
    <numFmt numFmtId="174" formatCode="\$0.00"/>
    <numFmt numFmtId="175" formatCode="_(&quot;$&quot;* #,##0_);_(&quot;$&quot;* \(#,##0\);_(&quot;$&quot;* &quot;-&quot;??_);_(@_)"/>
    <numFmt numFmtId="176" formatCode="?#,##0"/>
    <numFmt numFmtId="177" formatCode="\£0.0&quot;M&quot;"/>
  </numFmts>
  <fonts count="67">
    <font>
      <sz val="11"/>
      <color theme="1"/>
      <name val="Calibri"/>
    </font>
    <font>
      <sz val="10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9"/>
      <color rgb="FF595959"/>
      <name val="Arial"/>
      <family val="2"/>
    </font>
    <font>
      <sz val="10"/>
      <color rgb="FF008000"/>
      <name val="Arial"/>
      <family val="2"/>
    </font>
    <font>
      <sz val="10"/>
      <name val="Arial"/>
      <family val="2"/>
    </font>
    <font>
      <b/>
      <sz val="9"/>
      <color rgb="FF833C00"/>
      <name val="Arial"/>
      <family val="2"/>
    </font>
    <font>
      <sz val="8"/>
      <color rgb="FF595959"/>
      <name val="Arial"/>
      <family val="2"/>
    </font>
    <font>
      <b/>
      <sz val="9"/>
      <color rgb="FF7F6000"/>
      <name val="Arial"/>
      <family val="2"/>
    </font>
    <font>
      <b/>
      <sz val="9"/>
      <color rgb="FF006100"/>
      <name val="Arial"/>
      <family val="2"/>
    </font>
    <font>
      <b/>
      <sz val="9"/>
      <color rgb="FF1F4E78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274E13"/>
      <name val="Calibri"/>
      <family val="2"/>
    </font>
    <font>
      <sz val="11"/>
      <color rgb="FF0000FF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rgb="FF0B1736"/>
      <name val="Aptos"/>
      <family val="2"/>
    </font>
    <font>
      <b/>
      <sz val="9"/>
      <color rgb="FF6B7280"/>
      <name val="Aptos"/>
      <family val="2"/>
    </font>
    <font>
      <b/>
      <sz val="24"/>
      <color rgb="FF0B1736"/>
      <name val="Aptos"/>
      <family val="2"/>
    </font>
    <font>
      <sz val="11"/>
      <color rgb="FF0B1736"/>
      <name val="Aptos"/>
      <family val="2"/>
    </font>
    <font>
      <b/>
      <sz val="18"/>
      <color rgb="FF0B1736"/>
      <name val="Aptos"/>
      <family val="2"/>
    </font>
    <font>
      <b/>
      <sz val="10"/>
      <color rgb="FF0B1736"/>
      <name val="Aptos"/>
      <family val="2"/>
    </font>
    <font>
      <sz val="9"/>
      <color rgb="FF6B7280"/>
      <name val="Aptos"/>
      <family val="2"/>
    </font>
    <font>
      <b/>
      <sz val="12"/>
      <color rgb="FF0B1736"/>
      <name val="Aptos"/>
      <family val="2"/>
    </font>
    <font>
      <b/>
      <sz val="9"/>
      <color rgb="FF0B1736"/>
      <name val="Aptos"/>
      <family val="2"/>
    </font>
    <font>
      <sz val="9"/>
      <color rgb="FF0B1736"/>
      <name val="Aptos"/>
      <family val="2"/>
    </font>
    <font>
      <sz val="8"/>
      <color rgb="FF808080"/>
      <name val="Aptos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name val="Aptos"/>
      <family val="2"/>
    </font>
    <font>
      <sz val="10"/>
      <color rgb="FF000000"/>
      <name val="Aptos"/>
      <family val="2"/>
    </font>
    <font>
      <b/>
      <sz val="18"/>
      <color rgb="FF17365D"/>
      <name val="Aptos Display"/>
      <family val="2"/>
    </font>
    <font>
      <i/>
      <sz val="10"/>
      <color rgb="FF666666"/>
      <name val="Aptos"/>
      <family val="2"/>
    </font>
    <font>
      <b/>
      <sz val="10"/>
      <color rgb="FF17365D"/>
      <name val="Aptos"/>
      <family val="2"/>
    </font>
    <font>
      <b/>
      <sz val="10"/>
      <color rgb="FFFFFFFF"/>
      <name val="Aptos"/>
      <family val="2"/>
    </font>
    <font>
      <i/>
      <sz val="10"/>
      <color rgb="FF1F4E78"/>
      <name val="Aptos"/>
      <family val="2"/>
    </font>
    <font>
      <b/>
      <sz val="11"/>
      <color rgb="FF00B0F0"/>
      <name val="Arial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8"/>
      <color rgb="FF17365D"/>
      <name val="Aptos Display"/>
      <family val="2"/>
    </font>
    <font>
      <i/>
      <sz val="10"/>
      <color rgb="FF666666"/>
      <name val="Aptos"/>
      <family val="2"/>
    </font>
    <font>
      <sz val="10"/>
      <color rgb="FF666666"/>
      <name val="Aptos"/>
      <family val="2"/>
    </font>
    <font>
      <b/>
      <sz val="10"/>
      <color rgb="FFFFFFFF"/>
      <name val="Aptos"/>
      <family val="2"/>
    </font>
    <font>
      <sz val="12"/>
      <color theme="10"/>
      <name val="Calibri"/>
      <family val="2"/>
      <scheme val="minor"/>
    </font>
    <font>
      <sz val="10"/>
      <color rgb="FF444444"/>
      <name val="Aptos"/>
      <family val="2"/>
    </font>
    <font>
      <u/>
      <sz val="10"/>
      <color rgb="FF0563C1"/>
      <name val="Aptos"/>
      <family val="2"/>
    </font>
    <font>
      <sz val="10"/>
      <color rgb="FF000000"/>
      <name val="Aptos"/>
      <family val="2"/>
    </font>
    <font>
      <b/>
      <sz val="12"/>
      <color rgb="FFFFFFFF"/>
      <name val="Aptos"/>
      <family val="2"/>
    </font>
    <font>
      <b/>
      <sz val="10"/>
      <color rgb="FFFFFFFF"/>
      <name val="Aptos"/>
      <family val="2"/>
    </font>
    <font>
      <sz val="9"/>
      <color rgb="FF000000"/>
      <name val="Aptos"/>
      <family val="2"/>
    </font>
    <font>
      <b/>
      <sz val="9"/>
      <color rgb="FF1F4E78"/>
      <name val="Aptos"/>
      <family val="2"/>
    </font>
    <font>
      <i/>
      <sz val="11"/>
      <color theme="1"/>
      <name val="Calibri"/>
      <family val="2"/>
    </font>
    <font>
      <b/>
      <sz val="10"/>
      <color theme="1"/>
      <name val="Arial Unicode MS"/>
    </font>
  </fonts>
  <fills count="63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D6DCE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BF9000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6365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4EF"/>
      </patternFill>
    </fill>
    <fill>
      <patternFill patternType="solid">
        <fgColor rgb="FFFFFFFF"/>
      </patternFill>
    </fill>
    <fill>
      <patternFill patternType="solid">
        <fgColor rgb="FF159586"/>
      </patternFill>
    </fill>
    <fill>
      <patternFill patternType="solid">
        <fgColor rgb="FF2C75B5"/>
      </patternFill>
    </fill>
    <fill>
      <patternFill patternType="solid">
        <fgColor rgb="FF5B50C8"/>
      </patternFill>
    </fill>
    <fill>
      <patternFill patternType="solid">
        <fgColor rgb="FFC98212"/>
      </patternFill>
    </fill>
    <fill>
      <patternFill patternType="solid">
        <fgColor rgb="FFEAE6D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2F3"/>
      </bottom>
      <diagonal/>
    </border>
    <border>
      <left style="thin">
        <color rgb="FFD9D4CC"/>
      </left>
      <right style="thin">
        <color rgb="FFD9D4CC"/>
      </right>
      <top style="thin">
        <color rgb="FFD9D4CC"/>
      </top>
      <bottom style="thin">
        <color rgb="FFD9D4CC"/>
      </bottom>
      <diagonal/>
    </border>
    <border>
      <left/>
      <right style="thin">
        <color rgb="FFD9D4CC"/>
      </right>
      <top style="thin">
        <color rgb="FFD9D4CC"/>
      </top>
      <bottom style="thin">
        <color rgb="FFD9D4CC"/>
      </bottom>
      <diagonal/>
    </border>
    <border>
      <left/>
      <right/>
      <top style="thin">
        <color rgb="FFD9D4CC"/>
      </top>
      <bottom style="thin">
        <color rgb="FFD9D4CC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medium">
        <color rgb="FF1F4E78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 style="thin">
        <color rgb="FFD9E2F3"/>
      </bottom>
      <diagonal/>
    </border>
    <border>
      <left/>
      <right/>
      <top style="thin">
        <color indexed="64"/>
      </top>
      <bottom style="thin">
        <color rgb="FFD9E2F3"/>
      </bottom>
      <diagonal/>
    </border>
    <border>
      <left/>
      <right style="thin">
        <color indexed="64"/>
      </right>
      <top style="thin">
        <color indexed="64"/>
      </top>
      <bottom style="thin">
        <color rgb="FFD9E2F3"/>
      </bottom>
      <diagonal/>
    </border>
    <border>
      <left style="thin">
        <color indexed="64"/>
      </left>
      <right/>
      <top/>
      <bottom style="thin">
        <color rgb="FFD9E2F3"/>
      </bottom>
      <diagonal/>
    </border>
    <border>
      <left/>
      <right style="thin">
        <color indexed="64"/>
      </right>
      <top/>
      <bottom style="thin">
        <color rgb="FFD9E2F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18"/>
    <xf numFmtId="9" fontId="42" fillId="0" borderId="18"/>
    <xf numFmtId="0" fontId="57" fillId="0" borderId="18"/>
  </cellStyleXfs>
  <cellXfs count="253">
    <xf numFmtId="0" fontId="0" fillId="0" borderId="0" xfId="0" applyBorder="1"/>
    <xf numFmtId="0" fontId="5" fillId="2" borderId="0" xfId="0" applyFont="1" applyFill="1" applyBorder="1" applyAlignment="1">
      <alignment horizontal="left"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4" fillId="0" borderId="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0" fontId="0" fillId="5" borderId="1" xfId="0" applyFill="1" applyBorder="1"/>
    <xf numFmtId="164" fontId="6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0" fontId="7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166" fontId="7" fillId="9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167" fontId="7" fillId="0" borderId="1" xfId="0" applyNumberFormat="1" applyFont="1" applyBorder="1" applyAlignment="1">
      <alignment horizontal="right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7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9" fillId="18" borderId="0" xfId="0" applyFont="1" applyFill="1" applyBorder="1"/>
    <xf numFmtId="0" fontId="20" fillId="0" borderId="0" xfId="0" applyFont="1" applyBorder="1"/>
    <xf numFmtId="0" fontId="0" fillId="0" borderId="0" xfId="0" applyBorder="1" applyAlignment="1">
      <alignment wrapText="1"/>
    </xf>
    <xf numFmtId="0" fontId="19" fillId="17" borderId="0" xfId="0" applyFont="1" applyFill="1" applyBorder="1"/>
    <xf numFmtId="0" fontId="8" fillId="18" borderId="1" xfId="0" applyFont="1" applyFill="1" applyBorder="1" applyAlignment="1">
      <alignment horizontal="center" vertical="center" wrapText="1"/>
    </xf>
    <xf numFmtId="0" fontId="19" fillId="20" borderId="0" xfId="0" applyFont="1" applyFill="1" applyBorder="1"/>
    <xf numFmtId="165" fontId="0" fillId="0" borderId="0" xfId="0" applyNumberFormat="1" applyBorder="1"/>
    <xf numFmtId="168" fontId="0" fillId="0" borderId="0" xfId="0" applyNumberFormat="1" applyBorder="1"/>
    <xf numFmtId="3" fontId="0" fillId="0" borderId="0" xfId="0" applyNumberFormat="1" applyBorder="1"/>
    <xf numFmtId="0" fontId="20" fillId="21" borderId="0" xfId="0" applyFont="1" applyFill="1" applyBorder="1" applyAlignment="1">
      <alignment wrapText="1"/>
    </xf>
    <xf numFmtId="0" fontId="20" fillId="26" borderId="0" xfId="0" applyFont="1" applyFill="1" applyBorder="1"/>
    <xf numFmtId="169" fontId="20" fillId="26" borderId="0" xfId="0" applyNumberFormat="1" applyFont="1" applyFill="1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19" fillId="23" borderId="0" xfId="0" applyFont="1" applyFill="1" applyBorder="1" applyAlignment="1">
      <alignment vertical="top"/>
    </xf>
    <xf numFmtId="169" fontId="0" fillId="0" borderId="0" xfId="0" applyNumberFormat="1" applyBorder="1" applyAlignment="1">
      <alignment vertical="top"/>
    </xf>
    <xf numFmtId="0" fontId="20" fillId="25" borderId="0" xfId="0" applyFont="1" applyFill="1" applyBorder="1" applyAlignment="1">
      <alignment vertical="top"/>
    </xf>
    <xf numFmtId="169" fontId="20" fillId="25" borderId="0" xfId="0" applyNumberFormat="1" applyFont="1" applyFill="1" applyBorder="1" applyAlignment="1">
      <alignment vertical="top"/>
    </xf>
    <xf numFmtId="0" fontId="20" fillId="26" borderId="0" xfId="0" applyFont="1" applyFill="1" applyBorder="1" applyAlignment="1">
      <alignment vertical="top"/>
    </xf>
    <xf numFmtId="169" fontId="20" fillId="26" borderId="0" xfId="0" applyNumberFormat="1" applyFont="1" applyFill="1" applyBorder="1" applyAlignment="1">
      <alignment vertical="top"/>
    </xf>
    <xf numFmtId="0" fontId="21" fillId="24" borderId="0" xfId="0" applyFont="1" applyFill="1" applyBorder="1" applyAlignment="1">
      <alignment vertical="top"/>
    </xf>
    <xf numFmtId="169" fontId="21" fillId="24" borderId="0" xfId="0" applyNumberFormat="1" applyFont="1" applyFill="1" applyBorder="1" applyAlignment="1">
      <alignment vertical="top"/>
    </xf>
    <xf numFmtId="0" fontId="20" fillId="0" borderId="0" xfId="0" applyFont="1" applyBorder="1" applyAlignment="1">
      <alignment vertical="top" wrapText="1"/>
    </xf>
    <xf numFmtId="0" fontId="22" fillId="25" borderId="0" xfId="0" applyFont="1" applyFill="1" applyBorder="1" applyAlignment="1">
      <alignment horizontal="center" vertical="center" wrapText="1"/>
    </xf>
    <xf numFmtId="0" fontId="19" fillId="27" borderId="0" xfId="0" applyFont="1" applyFill="1" applyBorder="1" applyAlignment="1">
      <alignment horizontal="center" vertical="center" wrapText="1"/>
    </xf>
    <xf numFmtId="0" fontId="19" fillId="28" borderId="0" xfId="0" applyFont="1" applyFill="1" applyBorder="1" applyAlignment="1">
      <alignment horizontal="center" vertical="center" wrapText="1"/>
    </xf>
    <xf numFmtId="0" fontId="19" fillId="29" borderId="0" xfId="0" applyFont="1" applyFill="1" applyBorder="1" applyAlignment="1">
      <alignment horizontal="center" vertical="center" wrapText="1"/>
    </xf>
    <xf numFmtId="0" fontId="0" fillId="0" borderId="2" xfId="0" applyBorder="1"/>
    <xf numFmtId="165" fontId="4" fillId="0" borderId="3" xfId="0" applyNumberFormat="1" applyFont="1" applyBorder="1" applyAlignment="1">
      <alignment horizontal="right" vertical="center"/>
    </xf>
    <xf numFmtId="165" fontId="0" fillId="0" borderId="2" xfId="0" applyNumberFormat="1" applyBorder="1"/>
    <xf numFmtId="168" fontId="0" fillId="0" borderId="2" xfId="0" applyNumberFormat="1" applyBorder="1"/>
    <xf numFmtId="3" fontId="0" fillId="0" borderId="2" xfId="0" applyNumberFormat="1" applyBorder="1"/>
    <xf numFmtId="0" fontId="0" fillId="0" borderId="2" xfId="0" applyBorder="1" applyAlignment="1">
      <alignment vertical="top"/>
    </xf>
    <xf numFmtId="169" fontId="0" fillId="0" borderId="2" xfId="0" applyNumberFormat="1" applyBorder="1" applyAlignment="1">
      <alignment vertical="top"/>
    </xf>
    <xf numFmtId="169" fontId="20" fillId="25" borderId="2" xfId="0" applyNumberFormat="1" applyFont="1" applyFill="1" applyBorder="1" applyAlignment="1">
      <alignment vertical="top"/>
    </xf>
    <xf numFmtId="0" fontId="4" fillId="31" borderId="1" xfId="0" applyFont="1" applyFill="1" applyBorder="1" applyAlignment="1">
      <alignment vertical="center"/>
    </xf>
    <xf numFmtId="169" fontId="0" fillId="0" borderId="0" xfId="0" applyNumberFormat="1" applyBorder="1" applyAlignment="1">
      <alignment vertical="top" wrapText="1"/>
    </xf>
    <xf numFmtId="169" fontId="0" fillId="0" borderId="2" xfId="0" applyNumberFormat="1" applyBorder="1" applyAlignment="1">
      <alignment vertical="top" wrapText="1"/>
    </xf>
    <xf numFmtId="168" fontId="10" fillId="0" borderId="1" xfId="0" applyNumberFormat="1" applyFont="1" applyBorder="1" applyAlignment="1">
      <alignment horizontal="right" vertical="center"/>
    </xf>
    <xf numFmtId="168" fontId="10" fillId="0" borderId="3" xfId="0" applyNumberFormat="1" applyFont="1" applyBorder="1" applyAlignment="1">
      <alignment horizontal="right" vertical="center"/>
    </xf>
    <xf numFmtId="169" fontId="10" fillId="0" borderId="1" xfId="0" applyNumberFormat="1" applyFont="1" applyBorder="1" applyAlignment="1">
      <alignment horizontal="right" vertical="center"/>
    </xf>
    <xf numFmtId="169" fontId="10" fillId="0" borderId="3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 vertical="center"/>
    </xf>
    <xf numFmtId="168" fontId="10" fillId="31" borderId="1" xfId="0" applyNumberFormat="1" applyFont="1" applyFill="1" applyBorder="1" applyAlignment="1">
      <alignment horizontal="right" vertical="center"/>
    </xf>
    <xf numFmtId="168" fontId="10" fillId="31" borderId="3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169" fontId="6" fillId="5" borderId="3" xfId="0" applyNumberFormat="1" applyFont="1" applyFill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69" fontId="6" fillId="0" borderId="3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8" fontId="6" fillId="0" borderId="3" xfId="0" applyNumberFormat="1" applyFont="1" applyBorder="1" applyAlignment="1">
      <alignment horizontal="right" vertical="center"/>
    </xf>
    <xf numFmtId="169" fontId="6" fillId="6" borderId="1" xfId="0" applyNumberFormat="1" applyFont="1" applyFill="1" applyBorder="1" applyAlignment="1">
      <alignment horizontal="right" vertical="center"/>
    </xf>
    <xf numFmtId="169" fontId="6" fillId="30" borderId="3" xfId="0" applyNumberFormat="1" applyFont="1" applyFill="1" applyBorder="1" applyAlignment="1">
      <alignment horizontal="right" vertical="center"/>
    </xf>
    <xf numFmtId="169" fontId="20" fillId="26" borderId="2" xfId="0" applyNumberFormat="1" applyFont="1" applyFill="1" applyBorder="1"/>
    <xf numFmtId="169" fontId="0" fillId="0" borderId="0" xfId="0" applyNumberFormat="1" applyBorder="1"/>
    <xf numFmtId="169" fontId="0" fillId="0" borderId="2" xfId="0" applyNumberFormat="1" applyBorder="1"/>
    <xf numFmtId="170" fontId="0" fillId="0" borderId="0" xfId="0" applyNumberFormat="1" applyBorder="1"/>
    <xf numFmtId="170" fontId="0" fillId="0" borderId="2" xfId="0" applyNumberFormat="1" applyBorder="1"/>
    <xf numFmtId="169" fontId="20" fillId="26" borderId="2" xfId="0" applyNumberFormat="1" applyFont="1" applyFill="1" applyBorder="1" applyAlignment="1">
      <alignment vertical="top"/>
    </xf>
    <xf numFmtId="169" fontId="21" fillId="31" borderId="2" xfId="0" applyNumberFormat="1" applyFont="1" applyFill="1" applyBorder="1" applyAlignment="1">
      <alignment vertical="top"/>
    </xf>
    <xf numFmtId="0" fontId="21" fillId="31" borderId="2" xfId="0" applyFont="1" applyFill="1" applyBorder="1" applyAlignment="1">
      <alignment vertical="top"/>
    </xf>
    <xf numFmtId="0" fontId="24" fillId="32" borderId="0" xfId="0" applyFont="1" applyFill="1" applyBorder="1" applyAlignment="1">
      <alignment vertical="center"/>
    </xf>
    <xf numFmtId="0" fontId="24" fillId="32" borderId="2" xfId="0" applyFont="1" applyFill="1" applyBorder="1" applyAlignment="1">
      <alignment vertical="center"/>
    </xf>
    <xf numFmtId="0" fontId="25" fillId="33" borderId="1" xfId="0" applyFont="1" applyFill="1" applyBorder="1" applyAlignment="1">
      <alignment horizontal="center" vertical="center" wrapText="1"/>
    </xf>
    <xf numFmtId="0" fontId="25" fillId="33" borderId="3" xfId="0" applyFont="1" applyFill="1" applyBorder="1" applyAlignment="1">
      <alignment horizontal="center" vertical="center" wrapText="1"/>
    </xf>
    <xf numFmtId="0" fontId="25" fillId="33" borderId="0" xfId="0" applyFont="1" applyFill="1" applyBorder="1" applyAlignment="1">
      <alignment horizontal="center" vertical="center" wrapText="1"/>
    </xf>
    <xf numFmtId="0" fontId="25" fillId="33" borderId="2" xfId="0" applyFont="1" applyFill="1" applyBorder="1" applyAlignment="1">
      <alignment horizontal="center" vertical="center" wrapText="1"/>
    </xf>
    <xf numFmtId="169" fontId="24" fillId="32" borderId="0" xfId="0" applyNumberFormat="1" applyFont="1" applyFill="1" applyBorder="1" applyAlignment="1">
      <alignment vertical="center"/>
    </xf>
    <xf numFmtId="169" fontId="24" fillId="32" borderId="2" xfId="0" applyNumberFormat="1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27" fillId="0" borderId="0" xfId="0" applyFont="1" applyBorder="1"/>
    <xf numFmtId="0" fontId="29" fillId="35" borderId="4" xfId="0" applyFont="1" applyFill="1" applyBorder="1" applyAlignment="1">
      <alignment vertical="center" wrapText="1"/>
    </xf>
    <xf numFmtId="0" fontId="29" fillId="35" borderId="0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7" fillId="36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169" fontId="0" fillId="0" borderId="4" xfId="0" applyNumberFormat="1" applyBorder="1" applyAlignment="1">
      <alignment vertical="center" wrapText="1"/>
    </xf>
    <xf numFmtId="0" fontId="30" fillId="37" borderId="0" xfId="0" applyFont="1" applyFill="1" applyBorder="1" applyAlignment="1">
      <alignment vertical="center"/>
    </xf>
    <xf numFmtId="0" fontId="30" fillId="39" borderId="5" xfId="0" applyFont="1" applyFill="1" applyBorder="1" applyAlignment="1">
      <alignment vertical="center"/>
    </xf>
    <xf numFmtId="0" fontId="30" fillId="38" borderId="5" xfId="0" applyFont="1" applyFill="1" applyBorder="1" applyAlignment="1">
      <alignment vertical="center"/>
    </xf>
    <xf numFmtId="0" fontId="30" fillId="40" borderId="5" xfId="0" applyFont="1" applyFill="1" applyBorder="1" applyAlignment="1">
      <alignment vertical="center"/>
    </xf>
    <xf numFmtId="0" fontId="30" fillId="41" borderId="5" xfId="0" applyFont="1" applyFill="1" applyBorder="1" applyAlignment="1">
      <alignment vertical="center"/>
    </xf>
    <xf numFmtId="0" fontId="30" fillId="42" borderId="5" xfId="0" applyFont="1" applyFill="1" applyBorder="1" applyAlignment="1">
      <alignment vertical="center"/>
    </xf>
    <xf numFmtId="0" fontId="38" fillId="43" borderId="5" xfId="0" applyFont="1" applyFill="1" applyBorder="1" applyAlignment="1">
      <alignment horizontal="center" vertical="center" wrapText="1"/>
    </xf>
    <xf numFmtId="0" fontId="35" fillId="38" borderId="5" xfId="0" applyFont="1" applyFill="1" applyBorder="1" applyAlignment="1">
      <alignment horizontal="center" vertical="center" wrapText="1"/>
    </xf>
    <xf numFmtId="0" fontId="30" fillId="38" borderId="5" xfId="0" applyFont="1" applyFill="1" applyBorder="1" applyAlignment="1">
      <alignment horizontal="center" vertical="center" wrapText="1"/>
    </xf>
    <xf numFmtId="171" fontId="30" fillId="38" borderId="5" xfId="0" applyNumberFormat="1" applyFont="1" applyFill="1" applyBorder="1" applyAlignment="1">
      <alignment horizontal="center" vertical="center" wrapText="1"/>
    </xf>
    <xf numFmtId="0" fontId="40" fillId="37" borderId="0" xfId="0" applyFont="1" applyFill="1" applyBorder="1" applyAlignment="1">
      <alignment vertical="center"/>
    </xf>
    <xf numFmtId="170" fontId="40" fillId="37" borderId="0" xfId="0" applyNumberFormat="1" applyFont="1" applyFill="1" applyBorder="1" applyAlignment="1">
      <alignment vertical="center"/>
    </xf>
    <xf numFmtId="0" fontId="35" fillId="38" borderId="5" xfId="0" applyFont="1" applyFill="1" applyBorder="1" applyAlignment="1">
      <alignment vertical="center"/>
    </xf>
    <xf numFmtId="172" fontId="35" fillId="38" borderId="5" xfId="0" applyNumberFormat="1" applyFont="1" applyFill="1" applyBorder="1" applyAlignment="1">
      <alignment vertical="center"/>
    </xf>
    <xf numFmtId="173" fontId="35" fillId="38" borderId="5" xfId="0" applyNumberFormat="1" applyFont="1" applyFill="1" applyBorder="1" applyAlignment="1">
      <alignment vertical="center"/>
    </xf>
    <xf numFmtId="10" fontId="35" fillId="38" borderId="5" xfId="1" applyNumberFormat="1" applyFont="1" applyFill="1" applyBorder="1" applyAlignment="1">
      <alignment vertical="center"/>
    </xf>
    <xf numFmtId="2" fontId="43" fillId="38" borderId="5" xfId="0" applyNumberFormat="1" applyFont="1" applyFill="1" applyBorder="1" applyAlignment="1">
      <alignment vertical="center"/>
    </xf>
    <xf numFmtId="0" fontId="45" fillId="0" borderId="0" xfId="0" applyFont="1" applyBorder="1"/>
    <xf numFmtId="0" fontId="46" fillId="0" borderId="0" xfId="0" applyFont="1" applyBorder="1"/>
    <xf numFmtId="0" fontId="47" fillId="0" borderId="0" xfId="0" applyFont="1" applyBorder="1" applyAlignment="1">
      <alignment vertical="center"/>
    </xf>
    <xf numFmtId="1" fontId="7" fillId="45" borderId="1" xfId="0" applyNumberFormat="1" applyFont="1" applyFill="1" applyBorder="1" applyAlignment="1">
      <alignment horizontal="right" vertical="center"/>
    </xf>
    <xf numFmtId="0" fontId="48" fillId="47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48" fillId="48" borderId="10" xfId="0" applyFont="1" applyFill="1" applyBorder="1" applyAlignment="1">
      <alignment horizontal="left" vertical="center"/>
    </xf>
    <xf numFmtId="0" fontId="48" fillId="48" borderId="10" xfId="0" applyFont="1" applyFill="1" applyBorder="1" applyAlignment="1">
      <alignment horizontal="center" vertical="center"/>
    </xf>
    <xf numFmtId="0" fontId="41" fillId="44" borderId="0" xfId="0" applyFont="1" applyFill="1" applyBorder="1" applyAlignment="1">
      <alignment vertical="top" wrapText="1"/>
    </xf>
    <xf numFmtId="0" fontId="44" fillId="49" borderId="11" xfId="0" applyFont="1" applyFill="1" applyBorder="1" applyAlignment="1">
      <alignment horizontal="left" vertical="center" wrapText="1"/>
    </xf>
    <xf numFmtId="165" fontId="44" fillId="50" borderId="11" xfId="0" applyNumberFormat="1" applyFont="1" applyFill="1" applyBorder="1" applyAlignment="1">
      <alignment horizontal="right" vertical="center"/>
    </xf>
    <xf numFmtId="165" fontId="44" fillId="45" borderId="11" xfId="0" applyNumberFormat="1" applyFont="1" applyFill="1" applyBorder="1" applyAlignment="1">
      <alignment horizontal="right" vertical="center"/>
    </xf>
    <xf numFmtId="0" fontId="44" fillId="49" borderId="11" xfId="0" applyFont="1" applyFill="1" applyBorder="1" applyAlignment="1">
      <alignment horizontal="right" vertical="center"/>
    </xf>
    <xf numFmtId="0" fontId="9" fillId="0" borderId="0" xfId="0" applyFont="1" applyBorder="1" applyAlignment="1">
      <alignment vertical="top" wrapText="1"/>
    </xf>
    <xf numFmtId="168" fontId="44" fillId="50" borderId="11" xfId="0" applyNumberFormat="1" applyFont="1" applyFill="1" applyBorder="1" applyAlignment="1">
      <alignment horizontal="right" vertical="center"/>
    </xf>
    <xf numFmtId="168" fontId="44" fillId="45" borderId="11" xfId="0" applyNumberFormat="1" applyFont="1" applyFill="1" applyBorder="1" applyAlignment="1">
      <alignment horizontal="right" vertical="center"/>
    </xf>
    <xf numFmtId="168" fontId="49" fillId="46" borderId="11" xfId="0" applyNumberFormat="1" applyFont="1" applyFill="1" applyBorder="1" applyAlignment="1">
      <alignment horizontal="right" vertical="center"/>
    </xf>
    <xf numFmtId="164" fontId="44" fillId="50" borderId="11" xfId="0" applyNumberFormat="1" applyFont="1" applyFill="1" applyBorder="1" applyAlignment="1">
      <alignment horizontal="right" vertical="center"/>
    </xf>
    <xf numFmtId="173" fontId="44" fillId="45" borderId="11" xfId="0" applyNumberFormat="1" applyFont="1" applyFill="1" applyBorder="1" applyAlignment="1">
      <alignment horizontal="right" vertical="center"/>
    </xf>
    <xf numFmtId="1" fontId="44" fillId="50" borderId="11" xfId="0" applyNumberFormat="1" applyFont="1" applyFill="1" applyBorder="1" applyAlignment="1">
      <alignment horizontal="right" vertical="center"/>
    </xf>
    <xf numFmtId="166" fontId="44" fillId="45" borderId="11" xfId="0" applyNumberFormat="1" applyFont="1" applyFill="1" applyBorder="1" applyAlignment="1">
      <alignment horizontal="right" vertical="center"/>
    </xf>
    <xf numFmtId="174" fontId="44" fillId="50" borderId="11" xfId="0" applyNumberFormat="1" applyFont="1" applyFill="1" applyBorder="1" applyAlignment="1">
      <alignment horizontal="right" vertical="center"/>
    </xf>
    <xf numFmtId="174" fontId="44" fillId="45" borderId="11" xfId="0" applyNumberFormat="1" applyFont="1" applyFill="1" applyBorder="1" applyAlignment="1">
      <alignment horizontal="right" vertical="center"/>
    </xf>
    <xf numFmtId="175" fontId="44" fillId="45" borderId="11" xfId="0" applyNumberFormat="1" applyFont="1" applyFill="1" applyBorder="1" applyAlignment="1">
      <alignment horizontal="right" vertical="center"/>
    </xf>
    <xf numFmtId="164" fontId="44" fillId="45" borderId="11" xfId="0" applyNumberFormat="1" applyFont="1" applyFill="1" applyBorder="1" applyAlignment="1">
      <alignment horizontal="right" vertical="center"/>
    </xf>
    <xf numFmtId="0" fontId="44" fillId="50" borderId="11" xfId="0" applyFont="1" applyFill="1" applyBorder="1" applyAlignment="1">
      <alignment horizontal="right" vertical="center"/>
    </xf>
    <xf numFmtId="176" fontId="44" fillId="50" borderId="11" xfId="0" applyNumberFormat="1" applyFont="1" applyFill="1" applyBorder="1" applyAlignment="1">
      <alignment horizontal="right" vertical="center"/>
    </xf>
    <xf numFmtId="176" fontId="44" fillId="45" borderId="11" xfId="0" applyNumberFormat="1" applyFont="1" applyFill="1" applyBorder="1" applyAlignment="1">
      <alignment horizontal="right" vertical="center"/>
    </xf>
    <xf numFmtId="0" fontId="23" fillId="30" borderId="0" xfId="0" applyFont="1" applyFill="1" applyBorder="1" applyAlignment="1">
      <alignment vertical="top" wrapText="1"/>
    </xf>
    <xf numFmtId="165" fontId="49" fillId="46" borderId="11" xfId="0" applyNumberFormat="1" applyFont="1" applyFill="1" applyBorder="1" applyAlignment="1">
      <alignment horizontal="right" vertical="center"/>
    </xf>
    <xf numFmtId="0" fontId="44" fillId="45" borderId="11" xfId="0" applyFont="1" applyFill="1" applyBorder="1" applyAlignment="1">
      <alignment horizontal="right" vertical="center"/>
    </xf>
    <xf numFmtId="0" fontId="41" fillId="44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50" fillId="46" borderId="0" xfId="0" applyFont="1" applyFill="1" applyBorder="1" applyAlignment="1">
      <alignment horizontal="right" vertical="center"/>
    </xf>
    <xf numFmtId="0" fontId="52" fillId="0" borderId="12" xfId="0" applyFont="1" applyBorder="1"/>
    <xf numFmtId="0" fontId="53" fillId="0" borderId="12" xfId="0" applyFont="1" applyBorder="1"/>
    <xf numFmtId="0" fontId="54" fillId="0" borderId="12" xfId="0" applyFont="1" applyBorder="1"/>
    <xf numFmtId="0" fontId="55" fillId="0" borderId="12" xfId="0" applyFont="1" applyBorder="1"/>
    <xf numFmtId="0" fontId="56" fillId="51" borderId="13" xfId="0" applyFont="1" applyFill="1" applyBorder="1" applyAlignment="1">
      <alignment horizontal="center" vertical="center" wrapText="1"/>
    </xf>
    <xf numFmtId="0" fontId="52" fillId="52" borderId="13" xfId="0" applyFont="1" applyFill="1" applyBorder="1" applyAlignment="1">
      <alignment horizontal="center" vertical="top" wrapText="1"/>
    </xf>
    <xf numFmtId="0" fontId="52" fillId="52" borderId="13" xfId="0" applyFont="1" applyFill="1" applyBorder="1" applyAlignment="1">
      <alignment horizontal="left" vertical="top" wrapText="1"/>
    </xf>
    <xf numFmtId="0" fontId="52" fillId="56" borderId="13" xfId="0" applyFont="1" applyFill="1" applyBorder="1" applyAlignment="1">
      <alignment horizontal="left" vertical="top" wrapText="1"/>
    </xf>
    <xf numFmtId="0" fontId="56" fillId="53" borderId="12" xfId="0" applyFont="1" applyFill="1" applyBorder="1" applyAlignment="1">
      <alignment horizontal="left"/>
    </xf>
    <xf numFmtId="0" fontId="52" fillId="53" borderId="14" xfId="0" applyFont="1" applyFill="1" applyBorder="1"/>
    <xf numFmtId="169" fontId="55" fillId="52" borderId="17" xfId="0" applyNumberFormat="1" applyFont="1" applyFill="1" applyBorder="1" applyAlignment="1">
      <alignment vertical="center" wrapText="1"/>
    </xf>
    <xf numFmtId="165" fontId="55" fillId="52" borderId="17" xfId="0" applyNumberFormat="1" applyFont="1" applyFill="1" applyBorder="1" applyAlignment="1">
      <alignment vertical="center" wrapText="1"/>
    </xf>
    <xf numFmtId="168" fontId="55" fillId="52" borderId="17" xfId="0" applyNumberFormat="1" applyFont="1" applyFill="1" applyBorder="1" applyAlignment="1">
      <alignment vertical="center" wrapText="1"/>
    </xf>
    <xf numFmtId="0" fontId="0" fillId="0" borderId="12" xfId="0" applyBorder="1"/>
    <xf numFmtId="0" fontId="44" fillId="49" borderId="17" xfId="0" applyFont="1" applyFill="1" applyBorder="1" applyAlignment="1">
      <alignment horizontal="left" vertical="center" wrapText="1"/>
    </xf>
    <xf numFmtId="164" fontId="44" fillId="50" borderId="17" xfId="0" applyNumberFormat="1" applyFont="1" applyFill="1" applyBorder="1" applyAlignment="1">
      <alignment horizontal="right" vertical="center"/>
    </xf>
    <xf numFmtId="0" fontId="44" fillId="49" borderId="17" xfId="0" applyFont="1" applyFill="1" applyBorder="1" applyAlignment="1">
      <alignment horizontal="right" vertical="center"/>
    </xf>
    <xf numFmtId="0" fontId="9" fillId="0" borderId="12" xfId="0" applyFont="1" applyBorder="1" applyAlignment="1">
      <alignment vertical="top" wrapText="1"/>
    </xf>
    <xf numFmtId="176" fontId="10" fillId="0" borderId="1" xfId="0" applyNumberFormat="1" applyFont="1" applyBorder="1" applyAlignment="1">
      <alignment horizontal="right" vertical="center"/>
    </xf>
    <xf numFmtId="0" fontId="59" fillId="55" borderId="8" xfId="2" applyFont="1" applyFill="1" applyBorder="1"/>
    <xf numFmtId="176" fontId="10" fillId="0" borderId="3" xfId="0" applyNumberFormat="1" applyFont="1" applyBorder="1" applyAlignment="1">
      <alignment horizontal="right" vertical="center"/>
    </xf>
    <xf numFmtId="0" fontId="60" fillId="0" borderId="18" xfId="0" applyFont="1"/>
    <xf numFmtId="0" fontId="62" fillId="58" borderId="19" xfId="0" applyFont="1" applyFill="1" applyBorder="1" applyAlignment="1">
      <alignment horizontal="center" vertical="center" wrapText="1"/>
    </xf>
    <xf numFmtId="0" fontId="64" fillId="60" borderId="20" xfId="0" applyFont="1" applyFill="1" applyBorder="1" applyAlignment="1">
      <alignment horizontal="left" vertical="top" wrapText="1"/>
    </xf>
    <xf numFmtId="0" fontId="63" fillId="59" borderId="20" xfId="0" applyFont="1" applyFill="1" applyBorder="1" applyAlignment="1">
      <alignment horizontal="left" vertical="top" wrapText="1"/>
    </xf>
    <xf numFmtId="0" fontId="63" fillId="61" borderId="20" xfId="0" applyFont="1" applyFill="1" applyBorder="1" applyAlignment="1">
      <alignment horizontal="left" vertical="top" wrapText="1"/>
    </xf>
    <xf numFmtId="0" fontId="63" fillId="62" borderId="20" xfId="0" applyFont="1" applyFill="1" applyBorder="1" applyAlignment="1">
      <alignment horizontal="left" vertical="top" wrapText="1"/>
    </xf>
    <xf numFmtId="0" fontId="64" fillId="60" borderId="19" xfId="0" applyFont="1" applyFill="1" applyBorder="1" applyAlignment="1">
      <alignment horizontal="left" vertical="top" wrapText="1"/>
    </xf>
    <xf numFmtId="0" fontId="63" fillId="59" borderId="19" xfId="0" applyFont="1" applyFill="1" applyBorder="1" applyAlignment="1">
      <alignment horizontal="left" vertical="top" wrapText="1"/>
    </xf>
    <xf numFmtId="0" fontId="63" fillId="61" borderId="19" xfId="0" applyFont="1" applyFill="1" applyBorder="1" applyAlignment="1">
      <alignment horizontal="left" vertical="top" wrapText="1"/>
    </xf>
    <xf numFmtId="0" fontId="63" fillId="62" borderId="19" xfId="0" applyFont="1" applyFill="1" applyBorder="1" applyAlignment="1">
      <alignment horizontal="left" vertical="top" wrapText="1"/>
    </xf>
    <xf numFmtId="0" fontId="42" fillId="0" borderId="0" xfId="0" applyFont="1" applyBorder="1"/>
    <xf numFmtId="0" fontId="44" fillId="49" borderId="18" xfId="0" applyFont="1" applyFill="1" applyAlignment="1">
      <alignment horizontal="left" vertical="center" wrapText="1"/>
    </xf>
    <xf numFmtId="165" fontId="44" fillId="45" borderId="18" xfId="0" applyNumberFormat="1" applyFont="1" applyFill="1" applyAlignment="1">
      <alignment horizontal="right" vertical="center"/>
    </xf>
    <xf numFmtId="165" fontId="49" fillId="46" borderId="18" xfId="0" applyNumberFormat="1" applyFont="1" applyFill="1" applyAlignment="1">
      <alignment horizontal="right" vertical="center"/>
    </xf>
    <xf numFmtId="0" fontId="51" fillId="49" borderId="21" xfId="0" applyFont="1" applyFill="1" applyBorder="1" applyAlignment="1">
      <alignment horizontal="left" vertical="center" wrapText="1"/>
    </xf>
    <xf numFmtId="165" fontId="44" fillId="50" borderId="22" xfId="0" applyNumberFormat="1" applyFont="1" applyFill="1" applyBorder="1" applyAlignment="1">
      <alignment horizontal="right" vertical="center"/>
    </xf>
    <xf numFmtId="10" fontId="51" fillId="45" borderId="23" xfId="0" applyNumberFormat="1" applyFont="1" applyFill="1" applyBorder="1" applyAlignment="1">
      <alignment horizontal="right" vertical="center"/>
    </xf>
    <xf numFmtId="0" fontId="51" fillId="49" borderId="24" xfId="0" applyFont="1" applyFill="1" applyBorder="1" applyAlignment="1">
      <alignment horizontal="left" vertical="center" wrapText="1"/>
    </xf>
    <xf numFmtId="165" fontId="44" fillId="50" borderId="17" xfId="0" applyNumberFormat="1" applyFont="1" applyFill="1" applyBorder="1" applyAlignment="1">
      <alignment horizontal="right" vertical="center"/>
    </xf>
    <xf numFmtId="10" fontId="51" fillId="45" borderId="25" xfId="0" applyNumberFormat="1" applyFont="1" applyFill="1" applyBorder="1" applyAlignment="1">
      <alignment horizontal="right" vertical="center"/>
    </xf>
    <xf numFmtId="0" fontId="51" fillId="49" borderId="26" xfId="0" applyFont="1" applyFill="1" applyBorder="1" applyAlignment="1">
      <alignment horizontal="left" vertical="center" wrapText="1"/>
    </xf>
    <xf numFmtId="165" fontId="44" fillId="50" borderId="27" xfId="0" applyNumberFormat="1" applyFont="1" applyFill="1" applyBorder="1" applyAlignment="1">
      <alignment horizontal="right" vertical="center"/>
    </xf>
    <xf numFmtId="10" fontId="51" fillId="45" borderId="28" xfId="0" applyNumberFormat="1" applyFont="1" applyFill="1" applyBorder="1" applyAlignment="1">
      <alignment horizontal="right" vertical="center"/>
    </xf>
    <xf numFmtId="0" fontId="61" fillId="57" borderId="18" xfId="0" applyFont="1" applyFill="1" applyAlignment="1">
      <alignment horizontal="left" vertical="center"/>
    </xf>
    <xf numFmtId="0" fontId="0" fillId="0" borderId="0" xfId="0" applyBorder="1"/>
    <xf numFmtId="0" fontId="36" fillId="38" borderId="5" xfId="0" applyFont="1" applyFill="1" applyBorder="1" applyAlignment="1">
      <alignment vertical="top" wrapText="1"/>
    </xf>
    <xf numFmtId="0" fontId="0" fillId="0" borderId="7" xfId="0" applyBorder="1"/>
    <xf numFmtId="0" fontId="0" fillId="0" borderId="6" xfId="0" applyBorder="1"/>
    <xf numFmtId="0" fontId="37" fillId="38" borderId="5" xfId="0" applyFont="1" applyFill="1" applyBorder="1" applyAlignment="1">
      <alignment vertical="center"/>
    </xf>
    <xf numFmtId="0" fontId="35" fillId="38" borderId="5" xfId="0" applyFont="1" applyFill="1" applyBorder="1" applyAlignment="1">
      <alignment vertical="center"/>
    </xf>
    <xf numFmtId="177" fontId="34" fillId="38" borderId="5" xfId="0" applyNumberFormat="1" applyFont="1" applyFill="1" applyBorder="1" applyAlignment="1">
      <alignment vertical="center"/>
    </xf>
    <xf numFmtId="0" fontId="39" fillId="38" borderId="5" xfId="0" applyFont="1" applyFill="1" applyBorder="1" applyAlignment="1">
      <alignment vertical="top" wrapText="1"/>
    </xf>
    <xf numFmtId="0" fontId="36" fillId="37" borderId="18" xfId="0" applyFont="1" applyFill="1" applyAlignment="1">
      <alignment vertical="center" wrapText="1"/>
    </xf>
    <xf numFmtId="0" fontId="31" fillId="37" borderId="18" xfId="0" applyFont="1" applyFill="1" applyAlignment="1">
      <alignment vertical="center"/>
    </xf>
    <xf numFmtId="3" fontId="34" fillId="38" borderId="5" xfId="0" applyNumberFormat="1" applyFont="1" applyFill="1" applyBorder="1" applyAlignment="1">
      <alignment vertical="center"/>
    </xf>
    <xf numFmtId="0" fontId="32" fillId="37" borderId="18" xfId="0" applyFont="1" applyFill="1" applyAlignment="1">
      <alignment vertical="center" wrapText="1"/>
    </xf>
    <xf numFmtId="49" fontId="34" fillId="38" borderId="5" xfId="0" applyNumberFormat="1" applyFont="1" applyFill="1" applyBorder="1" applyAlignment="1">
      <alignment vertical="center"/>
    </xf>
    <xf numFmtId="0" fontId="33" fillId="37" borderId="18" xfId="0" applyFont="1" applyFill="1" applyAlignment="1">
      <alignment vertical="top" wrapText="1"/>
    </xf>
    <xf numFmtId="0" fontId="26" fillId="34" borderId="17" xfId="0" applyFont="1" applyFill="1" applyBorder="1" applyAlignment="1">
      <alignment vertical="center" wrapText="1"/>
    </xf>
    <xf numFmtId="0" fontId="0" fillId="0" borderId="17" xfId="0" applyBorder="1"/>
    <xf numFmtId="0" fontId="26" fillId="34" borderId="18" xfId="0" applyFont="1" applyFill="1" applyAlignment="1">
      <alignment vertical="center" wrapText="1"/>
    </xf>
    <xf numFmtId="0" fontId="0" fillId="0" borderId="18" xfId="0" applyAlignment="1">
      <alignment wrapText="1"/>
    </xf>
    <xf numFmtId="0" fontId="18" fillId="19" borderId="18" xfId="0" applyFont="1" applyFill="1"/>
    <xf numFmtId="0" fontId="58" fillId="54" borderId="19" xfId="0" applyFont="1" applyFill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18" fillId="22" borderId="18" xfId="0" applyFont="1" applyFill="1" applyAlignment="1">
      <alignment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E1F2"/>
      <rgbColor rgb="FFF4B084"/>
      <rgbColor rgb="FFEDEDED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548235"/>
      <rgbColor rgb="FF006100"/>
      <rgbColor rgb="FF333300"/>
      <rgbColor rgb="FF833C00"/>
      <rgbColor rgb="FF993366"/>
      <rgbColor rgb="FF2E5496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 Path: Revenue vs EBITDA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6640038314176248E-2"/>
          <c:y val="4.8959027777777768E-2"/>
          <c:w val="0.89659750957854412"/>
          <c:h val="0.75178576388888885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w="26000">
              <a:solidFill>
                <a:srgbClr val="159586"/>
              </a:solidFill>
              <a:prstDash val="solid"/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0.0</c:formatCode>
                <c:ptCount val="5"/>
                <c:pt idx="0">
                  <c:v>0.107505</c:v>
                </c:pt>
                <c:pt idx="1">
                  <c:v>0.59877674999999997</c:v>
                </c:pt>
                <c:pt idx="2">
                  <c:v>1.95934875</c:v>
                </c:pt>
                <c:pt idx="3">
                  <c:v>5.2198545000000003</c:v>
                </c:pt>
                <c:pt idx="4">
                  <c:v>14.740254628125001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82-4FB4-80D1-D5EA1249F18A}"/>
            </c:ext>
          </c:extLst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w="26000">
              <a:solidFill>
                <a:srgbClr val="C98212"/>
              </a:solidFill>
              <a:prstDash val="solid"/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0.0</c:formatCode>
                <c:ptCount val="5"/>
                <c:pt idx="0">
                  <c:v>-0.57636505781250003</c:v>
                </c:pt>
                <c:pt idx="1">
                  <c:v>-0.45192455468749998</c:v>
                </c:pt>
                <c:pt idx="2">
                  <c:v>0.30703246875000001</c:v>
                </c:pt>
                <c:pt idx="3">
                  <c:v>2.6945588125</c:v>
                </c:pt>
                <c:pt idx="4">
                  <c:v>10.487946909375001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82-4FB4-80D1-D5EA1249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anchor="b" anchorCtr="1"/>
              <a:lstStyle/>
              <a:p>
                <a:pPr>
                  <a:defRPr/>
                </a:pPr>
                <a:r>
                  <a:rPr lang="en-US"/>
                  <a:t>Amount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Use of Funds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Dashboard!$G$57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159586"/>
            </a:solidFill>
            <a:ln>
              <a:solidFill>
                <a:srgbClr val="15958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Dashboard!$F$58:$F$62</c:f>
              <c:strCache>
                <c:ptCount val="5"/>
                <c:pt idx="0">
                  <c:v>Engineering/product</c:v>
                </c:pt>
                <c:pt idx="1">
                  <c:v>Ops/people/G&amp;A</c:v>
                </c:pt>
                <c:pt idx="2">
                  <c:v>Compliance/legal</c:v>
                </c:pt>
                <c:pt idx="3">
                  <c:v>GTM/acquisition</c:v>
                </c:pt>
                <c:pt idx="4">
                  <c:v>Contingency</c:v>
                </c:pt>
              </c:strCache>
            </c:strRef>
          </c:cat>
          <c:val>
            <c:numRef>
              <c:f>Dashboard!$G$58:$G$62</c:f>
              <c:numCache>
                <c:formatCode>0.0</c:formatCode>
                <c:ptCount val="5"/>
                <c:pt idx="0">
                  <c:v>0.66008920000000004</c:v>
                </c:pt>
                <c:pt idx="1">
                  <c:v>0.36304905999999998</c:v>
                </c:pt>
                <c:pt idx="2">
                  <c:v>0.29704014000000001</c:v>
                </c:pt>
                <c:pt idx="3">
                  <c:v>0.24753344999999999</c:v>
                </c:pt>
                <c:pt idx="4">
                  <c:v>8.2511150000000005E-2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5958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5E-47FC-B6D2-585A0923E6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Funding category</a:t>
                </a:r>
              </a:p>
            </c:rich>
          </c:tx>
          <c:overlay val="1"/>
        </c:title>
        <c:numFmt formatCode="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Runway by Scenario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w="26000">
              <a:solidFill>
                <a:srgbClr val="6B7280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0.0</c:formatCode>
                <c:ptCount val="10"/>
                <c:pt idx="0">
                  <c:v>-0.55981244999999991</c:v>
                </c:pt>
                <c:pt idx="1">
                  <c:v>-0.85604442343750009</c:v>
                </c:pt>
                <c:pt idx="2">
                  <c:v>-1.2057633726562502</c:v>
                </c:pt>
                <c:pt idx="3">
                  <c:v>-1.5554823218749996</c:v>
                </c:pt>
                <c:pt idx="4">
                  <c:v>-1.8472086343749992</c:v>
                </c:pt>
                <c:pt idx="5">
                  <c:v>-2.1389349468749992</c:v>
                </c:pt>
                <c:pt idx="6">
                  <c:v>-2.2147048296874998</c:v>
                </c:pt>
                <c:pt idx="7" formatCode="General">
                  <c:v>-2.2904747125000009</c:v>
                </c:pt>
                <c:pt idx="8" formatCode="General">
                  <c:v>-0.65356064843750072</c:v>
                </c:pt>
                <c:pt idx="9" formatCode="General">
                  <c:v>0.98335341562499901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50-4A8B-A0EE-28B88B404096}"/>
            </c:ext>
          </c:extLst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w="26000">
              <a:solidFill>
                <a:srgbClr val="2C75B5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0.0</c:formatCode>
                <c:ptCount val="10"/>
                <c:pt idx="0">
                  <c:v>-0.55981244999999991</c:v>
                </c:pt>
                <c:pt idx="1">
                  <c:v>-0.81747750781249973</c:v>
                </c:pt>
                <c:pt idx="2">
                  <c:v>-1.0434397851562496</c:v>
                </c:pt>
                <c:pt idx="3">
                  <c:v>-1.2694020625</c:v>
                </c:pt>
                <c:pt idx="4">
                  <c:v>-1.1158858281249999</c:v>
                </c:pt>
                <c:pt idx="5">
                  <c:v>-0.96236959374999997</c:v>
                </c:pt>
                <c:pt idx="6">
                  <c:v>0.38490981250000011</c:v>
                </c:pt>
                <c:pt idx="7" formatCode="General">
                  <c:v>1.7321892187500001</c:v>
                </c:pt>
                <c:pt idx="8" formatCode="General">
                  <c:v>6.9761626734375026</c:v>
                </c:pt>
                <c:pt idx="9" formatCode="General">
                  <c:v>12.220136128125004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50-4A8B-A0EE-28B88B404096}"/>
            </c:ext>
          </c:extLst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w="26000">
              <a:solidFill>
                <a:srgbClr val="2E7D32"/>
              </a:solidFill>
              <a:prstDash val="solid"/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0.0</c:formatCode>
                <c:ptCount val="10"/>
                <c:pt idx="0">
                  <c:v>-0.55981244999999991</c:v>
                </c:pt>
                <c:pt idx="1">
                  <c:v>-0.76667051249999996</c:v>
                </c:pt>
                <c:pt idx="2">
                  <c:v>-0.75960759843749992</c:v>
                </c:pt>
                <c:pt idx="3">
                  <c:v>-0.75254468437499999</c:v>
                </c:pt>
                <c:pt idx="4">
                  <c:v>0.30384381562500007</c:v>
                </c:pt>
                <c:pt idx="5">
                  <c:v>1.360232315625</c:v>
                </c:pt>
                <c:pt idx="6">
                  <c:v>5.0451440250000008</c:v>
                </c:pt>
                <c:pt idx="7" formatCode="General">
                  <c:v>8.7300557343749983</c:v>
                </c:pt>
                <c:pt idx="8" formatCode="General">
                  <c:v>20.273380478124999</c:v>
                </c:pt>
                <c:pt idx="9" formatCode="General">
                  <c:v>31.816705221874997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50-4A8B-A0EE-28B88B404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6-month checkpoint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Cash balance (GBP m)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17</xdr:row>
      <xdr:rowOff>7938</xdr:rowOff>
    </xdr:from>
    <xdr:ext cx="5267625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230186</xdr:rowOff>
    </xdr:from>
    <xdr:ext cx="5220000" cy="350043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6"/>
  <sheetViews>
    <sheetView showGridLines="0" topLeftCell="B1" workbookViewId="0">
      <selection activeCell="B53" sqref="B53"/>
    </sheetView>
  </sheetViews>
  <sheetFormatPr defaultColWidth="8.6328125" defaultRowHeight="14.5"/>
  <cols>
    <col min="1" max="1" width="3" customWidth="1"/>
    <col min="2" max="2" width="120" customWidth="1"/>
  </cols>
  <sheetData>
    <row r="2" spans="2:2" ht="17.25" customHeight="1">
      <c r="B2" s="2" t="s">
        <v>100</v>
      </c>
    </row>
    <row r="3" spans="2:2" ht="15" customHeight="1">
      <c r="B3" s="3" t="s">
        <v>101</v>
      </c>
    </row>
    <row r="4" spans="2:2" ht="15" customHeight="1">
      <c r="B4" s="4"/>
    </row>
    <row r="5" spans="2:2" ht="15" customHeight="1">
      <c r="B5" s="1" t="s">
        <v>102</v>
      </c>
    </row>
    <row r="6" spans="2:2" ht="15" customHeight="1">
      <c r="B6" s="4" t="s">
        <v>103</v>
      </c>
    </row>
    <row r="7" spans="2:2" ht="15" customHeight="1">
      <c r="B7" s="4" t="s">
        <v>104</v>
      </c>
    </row>
    <row r="8" spans="2:2" ht="15" customHeight="1">
      <c r="B8" s="4" t="s">
        <v>105</v>
      </c>
    </row>
    <row r="9" spans="2:2" ht="15" customHeight="1">
      <c r="B9" s="4"/>
    </row>
    <row r="10" spans="2:2" ht="15" customHeight="1">
      <c r="B10" s="1" t="s">
        <v>106</v>
      </c>
    </row>
    <row r="11" spans="2:2" ht="15" customHeight="1">
      <c r="B11" s="4" t="s">
        <v>107</v>
      </c>
    </row>
    <row r="12" spans="2:2" ht="15" customHeight="1">
      <c r="B12" s="4" t="s">
        <v>108</v>
      </c>
    </row>
    <row r="13" spans="2:2" ht="15" customHeight="1">
      <c r="B13" s="4" t="s">
        <v>109</v>
      </c>
    </row>
    <row r="14" spans="2:2" ht="15" customHeight="1">
      <c r="B14" s="4" t="s">
        <v>110</v>
      </c>
    </row>
    <row r="15" spans="2:2" ht="15" customHeight="1">
      <c r="B15" s="4" t="s">
        <v>111</v>
      </c>
    </row>
    <row r="16" spans="2:2" ht="15" customHeight="1">
      <c r="B16" s="4"/>
    </row>
    <row r="17" spans="2:2" ht="15" customHeight="1">
      <c r="B17" s="1" t="s">
        <v>112</v>
      </c>
    </row>
    <row r="18" spans="2:2" ht="15" customHeight="1">
      <c r="B18" s="4" t="s">
        <v>113</v>
      </c>
    </row>
    <row r="19" spans="2:2" ht="15" customHeight="1">
      <c r="B19" s="4" t="s">
        <v>114</v>
      </c>
    </row>
    <row r="20" spans="2:2" ht="15" customHeight="1">
      <c r="B20" s="4"/>
    </row>
    <row r="21" spans="2:2" ht="15" customHeight="1">
      <c r="B21" s="1" t="s">
        <v>115</v>
      </c>
    </row>
    <row r="22" spans="2:2" ht="15" customHeight="1">
      <c r="B22" s="4" t="s">
        <v>116</v>
      </c>
    </row>
    <row r="23" spans="2:2" ht="15" customHeight="1">
      <c r="B23" s="4" t="s">
        <v>117</v>
      </c>
    </row>
    <row r="24" spans="2:2" ht="15" customHeight="1">
      <c r="B24" s="4"/>
    </row>
    <row r="25" spans="2:2" ht="15" customHeight="1">
      <c r="B25" s="1" t="s">
        <v>118</v>
      </c>
    </row>
    <row r="26" spans="2:2" ht="15" customHeight="1">
      <c r="B26" s="4" t="s">
        <v>119</v>
      </c>
    </row>
    <row r="27" spans="2:2" ht="15" customHeight="1">
      <c r="B27" s="4" t="s">
        <v>120</v>
      </c>
    </row>
    <row r="28" spans="2:2" ht="15" customHeight="1">
      <c r="B28" s="4" t="s">
        <v>121</v>
      </c>
    </row>
    <row r="29" spans="2:2" ht="15" customHeight="1">
      <c r="B29" s="4" t="s">
        <v>122</v>
      </c>
    </row>
    <row r="30" spans="2:2" ht="15" customHeight="1">
      <c r="B30" s="4" t="s">
        <v>123</v>
      </c>
    </row>
    <row r="31" spans="2:2">
      <c r="B31" t="s">
        <v>124</v>
      </c>
    </row>
    <row r="32" spans="2:2">
      <c r="B32" t="s">
        <v>125</v>
      </c>
    </row>
    <row r="33" spans="2:2">
      <c r="B33" t="s">
        <v>126</v>
      </c>
    </row>
    <row r="34" spans="2:2">
      <c r="B34" t="s">
        <v>127</v>
      </c>
    </row>
    <row r="35" spans="2:2">
      <c r="B35" t="s">
        <v>128</v>
      </c>
    </row>
    <row r="37" spans="2:2">
      <c r="B37" t="s">
        <v>129</v>
      </c>
    </row>
    <row r="38" spans="2:2">
      <c r="B38" t="s">
        <v>130</v>
      </c>
    </row>
    <row r="39" spans="2:2">
      <c r="B39" t="s">
        <v>131</v>
      </c>
    </row>
    <row r="40" spans="2:2">
      <c r="B40" t="s">
        <v>132</v>
      </c>
    </row>
    <row r="41" spans="2:2">
      <c r="B41" t="s">
        <v>133</v>
      </c>
    </row>
    <row r="42" spans="2:2">
      <c r="B42" t="s">
        <v>134</v>
      </c>
    </row>
    <row r="43" spans="2:2">
      <c r="B43" t="s">
        <v>135</v>
      </c>
    </row>
    <row r="44" spans="2:2">
      <c r="B44" s="58" t="s">
        <v>136</v>
      </c>
    </row>
    <row r="45" spans="2:2">
      <c r="B45" s="58" t="s">
        <v>137</v>
      </c>
    </row>
    <row r="46" spans="2:2">
      <c r="B46" s="58" t="s">
        <v>138</v>
      </c>
    </row>
    <row r="47" spans="2:2">
      <c r="B47" s="58" t="s">
        <v>139</v>
      </c>
    </row>
    <row r="48" spans="2:2">
      <c r="B48" s="118" t="s">
        <v>140</v>
      </c>
    </row>
    <row r="49" spans="2:2">
      <c r="B49" t="s">
        <v>141</v>
      </c>
    </row>
    <row r="50" spans="2:2">
      <c r="B50" t="s">
        <v>142</v>
      </c>
    </row>
    <row r="51" spans="2:2">
      <c r="B51" t="s">
        <v>143</v>
      </c>
    </row>
    <row r="56" spans="2:2">
      <c r="B56" s="216" t="s">
        <v>1194</v>
      </c>
    </row>
    <row r="58" spans="2:2">
      <c r="B58" s="57" t="s">
        <v>1195</v>
      </c>
    </row>
    <row r="60" spans="2:2">
      <c r="B60" s="57" t="s">
        <v>1196</v>
      </c>
    </row>
    <row r="62" spans="2:2">
      <c r="B62" s="57" t="s">
        <v>1197</v>
      </c>
    </row>
    <row r="64" spans="2:2">
      <c r="B64" s="57" t="s">
        <v>1198</v>
      </c>
    </row>
    <row r="66" spans="2:2">
      <c r="B66" s="57" t="s">
        <v>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5"/>
  <sheetViews>
    <sheetView showGridLines="0" topLeftCell="A10" zoomScale="80" workbookViewId="0">
      <selection activeCell="S12" sqref="S12"/>
    </sheetView>
  </sheetViews>
  <sheetFormatPr defaultRowHeight="14.5"/>
  <cols>
    <col min="1" max="1" width="2.453125" customWidth="1"/>
    <col min="2" max="4" width="12" customWidth="1"/>
    <col min="5" max="5" width="2.453125" customWidth="1"/>
    <col min="6" max="6" width="12" customWidth="1"/>
    <col min="7" max="7" width="21.7265625" customWidth="1"/>
    <col min="8" max="8" width="2.90625" customWidth="1"/>
    <col min="9" max="9" width="2.453125" customWidth="1"/>
    <col min="10" max="12" width="12" customWidth="1"/>
    <col min="13" max="13" width="5.6328125" bestFit="1" customWidth="1"/>
    <col min="14" max="16" width="12" customWidth="1"/>
    <col min="17" max="17" width="2.453125" customWidth="1"/>
    <col min="18" max="18" width="10" customWidth="1"/>
    <col min="19" max="19" width="31" customWidth="1"/>
    <col min="20" max="20" width="24" customWidth="1"/>
    <col min="21" max="21" width="58" customWidth="1"/>
    <col min="22" max="22" width="34" customWidth="1"/>
    <col min="23" max="23" width="22" customWidth="1"/>
    <col min="24" max="45" width="58" customWidth="1"/>
  </cols>
  <sheetData>
    <row r="1" spans="1:27" ht="18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</row>
    <row r="2" spans="1:27" ht="18" customHeight="1">
      <c r="A2" s="134"/>
      <c r="B2" s="239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</row>
    <row r="3" spans="1:27" ht="18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spans="1:27" ht="18" customHeight="1">
      <c r="A4" s="134"/>
      <c r="B4" s="241" t="s">
        <v>1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 spans="1:27" ht="18" customHeight="1">
      <c r="A5" s="134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</row>
    <row r="6" spans="1:27">
      <c r="A6" s="134"/>
      <c r="B6" s="243" t="s">
        <v>2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</row>
    <row r="7" spans="1:27" ht="18" customHeight="1">
      <c r="A7" s="134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</row>
    <row r="8" spans="1:27" ht="18" customHeigh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</row>
    <row r="9" spans="1:27" ht="22" customHeight="1">
      <c r="A9" s="134"/>
      <c r="B9" s="135"/>
      <c r="C9" s="136"/>
      <c r="D9" s="136"/>
      <c r="E9" s="134"/>
      <c r="F9" s="137"/>
      <c r="G9" s="136"/>
      <c r="H9" s="136"/>
      <c r="I9" s="134"/>
      <c r="J9" s="138"/>
      <c r="K9" s="136"/>
      <c r="L9" s="136"/>
      <c r="M9" s="134"/>
      <c r="N9" s="139"/>
      <c r="O9" s="136"/>
      <c r="P9" s="136"/>
      <c r="Q9" s="134"/>
      <c r="R9" s="229" t="s">
        <v>3</v>
      </c>
      <c r="S9" s="230"/>
      <c r="T9" s="230"/>
      <c r="U9" s="230"/>
      <c r="V9" s="230"/>
      <c r="W9" s="230"/>
      <c r="X9" s="206"/>
      <c r="Y9" s="206"/>
      <c r="Z9" s="206"/>
      <c r="AA9" s="134"/>
    </row>
    <row r="10" spans="1:27" ht="28" customHeight="1">
      <c r="A10" s="134"/>
      <c r="B10" s="135"/>
      <c r="C10" s="236">
        <f>MAX(Scenario_Base_PL!C66:G66)/1000000</f>
        <v>1.650223</v>
      </c>
      <c r="D10" s="233"/>
      <c r="E10" s="134"/>
      <c r="F10" s="137"/>
      <c r="G10" s="242" t="str">
        <f>Cash_Flow_Statement!B46</f>
        <v>Y4 M5</v>
      </c>
      <c r="H10" s="233"/>
      <c r="I10" s="134"/>
      <c r="J10" s="138"/>
      <c r="K10" s="236">
        <f>Scenario_Base_PL!G18/1000000</f>
        <v>14.740254628125001</v>
      </c>
      <c r="L10" s="233"/>
      <c r="M10" s="134"/>
      <c r="N10" s="139"/>
      <c r="O10" s="240">
        <f>Scenario_Base_PL!G70</f>
        <v>1800</v>
      </c>
      <c r="P10" s="233"/>
      <c r="Q10" s="134"/>
      <c r="R10" s="207" t="s">
        <v>4</v>
      </c>
      <c r="S10" s="207" t="s">
        <v>5</v>
      </c>
      <c r="T10" s="207" t="s">
        <v>6</v>
      </c>
      <c r="U10" s="207" t="s">
        <v>7</v>
      </c>
      <c r="V10" s="207" t="s">
        <v>8</v>
      </c>
      <c r="W10" s="207" t="s">
        <v>9</v>
      </c>
      <c r="X10" s="206"/>
      <c r="Y10" s="206"/>
      <c r="Z10" s="206"/>
      <c r="AA10" s="134"/>
    </row>
    <row r="11" spans="1:27" ht="34" customHeight="1">
      <c r="A11" s="134"/>
      <c r="B11" s="135"/>
      <c r="C11" s="235" t="s">
        <v>10</v>
      </c>
      <c r="D11" s="233"/>
      <c r="E11" s="134"/>
      <c r="F11" s="137"/>
      <c r="G11" s="235" t="s">
        <v>11</v>
      </c>
      <c r="H11" s="233"/>
      <c r="I11" s="134"/>
      <c r="J11" s="138"/>
      <c r="K11" s="235" t="s">
        <v>12</v>
      </c>
      <c r="L11" s="233"/>
      <c r="M11" s="134"/>
      <c r="N11" s="139"/>
      <c r="O11" s="235" t="s">
        <v>13</v>
      </c>
      <c r="P11" s="233"/>
      <c r="Q11" s="134"/>
      <c r="R11" s="208" t="s">
        <v>14</v>
      </c>
      <c r="S11" s="209" t="s">
        <v>15</v>
      </c>
      <c r="T11" s="210" t="str">
        <f>ROUND(MIN(Assumptions!$F$73:$F$75)*100,1)&amp;"%-"&amp;ROUND(MAX(Assumptions!$F$73:$F$75)*100,1)&amp;"%"</f>
        <v>0.6%-1.5%</v>
      </c>
      <c r="U11" s="211" t="str">
        <f>T11&amp;" per trade, tier-dependent"</f>
        <v>0.6%-1.5% per trade, tier-dependent</v>
      </c>
      <c r="V11" s="209" t="s">
        <v>16</v>
      </c>
      <c r="W11" s="209" t="s">
        <v>17</v>
      </c>
      <c r="X11" s="206"/>
      <c r="Y11" s="206"/>
      <c r="Z11" s="206"/>
      <c r="AA11" s="134"/>
    </row>
    <row r="12" spans="1:27" ht="34" customHeight="1">
      <c r="A12" s="134"/>
      <c r="B12" s="135"/>
      <c r="C12" s="231" t="s">
        <v>18</v>
      </c>
      <c r="D12" s="233"/>
      <c r="E12" s="134"/>
      <c r="F12" s="137"/>
      <c r="G12" s="231" t="s">
        <v>19</v>
      </c>
      <c r="H12" s="233"/>
      <c r="I12" s="134"/>
      <c r="J12" s="138"/>
      <c r="K12" s="231" t="s">
        <v>20</v>
      </c>
      <c r="L12" s="233"/>
      <c r="M12" s="134"/>
      <c r="N12" s="139"/>
      <c r="O12" s="231" t="s">
        <v>21</v>
      </c>
      <c r="P12" s="233"/>
      <c r="Q12" s="134"/>
      <c r="R12" s="212" t="s">
        <v>14</v>
      </c>
      <c r="S12" s="213" t="s">
        <v>22</v>
      </c>
      <c r="T12" s="214" t="str">
        <f>ROUND(Scenario_Base_PL!$C$31*100,0)&amp;"%-"&amp;ROUND(Scenario_Base_PL!$G$31*100,0)&amp;"%"</f>
        <v>57%-83%</v>
      </c>
      <c r="U12" s="215" t="str">
        <f>T12&amp;" blended gross margin, base Y1-Y5"</f>
        <v>57%-83% blended gross margin, base Y1-Y5</v>
      </c>
      <c r="V12" s="213" t="s">
        <v>23</v>
      </c>
      <c r="W12" s="213" t="s">
        <v>24</v>
      </c>
      <c r="X12" s="206"/>
      <c r="Y12" s="206"/>
      <c r="Z12" s="206"/>
      <c r="AA12" s="134"/>
    </row>
    <row r="13" spans="1:27" ht="34" customHeight="1">
      <c r="A13" s="134"/>
      <c r="B13" s="135"/>
      <c r="C13" s="136"/>
      <c r="D13" s="136"/>
      <c r="E13" s="134"/>
      <c r="F13" s="137"/>
      <c r="G13" s="136"/>
      <c r="H13" s="136"/>
      <c r="I13" s="134"/>
      <c r="J13" s="138"/>
      <c r="K13" s="136"/>
      <c r="L13" s="136"/>
      <c r="M13" s="134"/>
      <c r="N13" s="139"/>
      <c r="O13" s="136"/>
      <c r="P13" s="136"/>
      <c r="Q13" s="134"/>
      <c r="R13" s="212" t="s">
        <v>14</v>
      </c>
      <c r="S13" s="213" t="s">
        <v>25</v>
      </c>
      <c r="T13" s="214" t="str">
        <f>"GBP "&amp;ROUND(Scenario_Base_PL!$C$8/1000,0)&amp;"K -&gt; GBP "&amp;ROUND(Scenario_Base_PL!$E$8/1000,0)&amp;"K"</f>
        <v>GBP 30K -&gt; GBP 55K</v>
      </c>
      <c r="U13" s="215" t="str">
        <f>T13&amp;" average ticket, Y1 to Y3; GBP "&amp;ROUND(Scenario_Base_PL!$G$8/1000,0)&amp;"K by Y5"</f>
        <v>GBP 30K -&gt; GBP 55K average ticket, Y1 to Y3; GBP 100K by Y5</v>
      </c>
      <c r="V13" s="213" t="s">
        <v>26</v>
      </c>
      <c r="W13" s="213" t="s">
        <v>24</v>
      </c>
      <c r="X13" s="206"/>
      <c r="Y13" s="206"/>
      <c r="Z13" s="206"/>
      <c r="AA13" s="134"/>
    </row>
    <row r="14" spans="1:27" ht="34" customHeight="1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212" t="s">
        <v>14</v>
      </c>
      <c r="S14" s="213" t="s">
        <v>27</v>
      </c>
      <c r="T14" s="214" t="str">
        <f>ROUND(Scenario_Base_PL!$C$7,0)&amp;" -&gt; "&amp;ROUND(Scenario_Base_PL!$E$7,0)</f>
        <v>180 -&gt; 3000</v>
      </c>
      <c r="U14" s="215" t="str">
        <f>T14&amp;" processed deals, Y1 to Y3 base case"</f>
        <v>180 -&gt; 3000 processed deals, Y1 to Y3 base case</v>
      </c>
      <c r="V14" s="213" t="s">
        <v>28</v>
      </c>
      <c r="W14" s="213" t="s">
        <v>24</v>
      </c>
      <c r="X14" s="206"/>
      <c r="Y14" s="206"/>
      <c r="Z14" s="206"/>
      <c r="AA14" s="134"/>
    </row>
    <row r="15" spans="1:27" ht="34" customHeight="1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212" t="s">
        <v>29</v>
      </c>
      <c r="S15" s="213" t="s">
        <v>30</v>
      </c>
      <c r="T15" s="214" t="str">
        <f>"GBP "&amp;ROUND(Scenario_Low_PL!$E$18/1000000,1)&amp;"M-GBP "&amp;ROUND(Scenario_High_PL!$E$18/1000000,1)&amp;"M"</f>
        <v>GBP 0.8M-GBP 4.3M</v>
      </c>
      <c r="U15" s="215" t="str">
        <f>T15&amp;" Y3 annual revenue; base GBP "&amp;ROUND(Scenario_Base_PL!$E$18/1000000,1)&amp;"M"</f>
        <v>GBP 0.8M-GBP 4.3M Y3 annual revenue; base GBP 2M</v>
      </c>
      <c r="V15" s="213" t="s">
        <v>31</v>
      </c>
      <c r="W15" s="213" t="s">
        <v>32</v>
      </c>
      <c r="X15" s="206"/>
      <c r="Y15" s="206"/>
      <c r="Z15" s="206"/>
      <c r="AA15" s="134"/>
    </row>
    <row r="16" spans="1:27" ht="34" customHeight="1">
      <c r="A16" s="134"/>
      <c r="B16" s="136"/>
      <c r="C16" s="136"/>
      <c r="D16" s="136"/>
      <c r="E16" s="136"/>
      <c r="F16" s="146"/>
      <c r="G16" s="136"/>
      <c r="H16" s="136"/>
      <c r="I16" s="134"/>
      <c r="J16" s="136"/>
      <c r="K16" s="136"/>
      <c r="L16" s="136"/>
      <c r="M16" s="136"/>
      <c r="N16" s="136"/>
      <c r="O16" s="136"/>
      <c r="P16" s="136"/>
      <c r="Q16" s="134"/>
      <c r="R16" s="208" t="s">
        <v>29</v>
      </c>
      <c r="S16" s="209" t="s">
        <v>33</v>
      </c>
      <c r="T16" s="210" t="str">
        <f>ROUND(Scenario_Low_PL!$E$70,0)&amp;"-"&amp;ROUND(Scenario_High_PL!$E$70,0)</f>
        <v>360-800</v>
      </c>
      <c r="U16" s="211" t="str">
        <f>T16&amp;" Y3 active customers; base "&amp;ROUND(Scenario_Base_PL!$E$70,0)</f>
        <v>360-800 Y3 active customers; base 500</v>
      </c>
      <c r="V16" s="209" t="s">
        <v>34</v>
      </c>
      <c r="W16" s="209" t="s">
        <v>32</v>
      </c>
      <c r="X16" s="206"/>
      <c r="Y16" s="206"/>
      <c r="Z16" s="206"/>
      <c r="AA16" s="134"/>
    </row>
    <row r="17" spans="1:27" ht="34" customHeight="1">
      <c r="A17" s="134"/>
      <c r="B17" s="136"/>
      <c r="C17" s="234" t="s">
        <v>35</v>
      </c>
      <c r="D17" s="232"/>
      <c r="E17" s="232"/>
      <c r="F17" s="232"/>
      <c r="G17" s="233"/>
      <c r="H17" s="136"/>
      <c r="I17" s="134"/>
      <c r="J17" s="136"/>
      <c r="K17" s="234" t="s">
        <v>36</v>
      </c>
      <c r="L17" s="232"/>
      <c r="M17" s="232"/>
      <c r="N17" s="232"/>
      <c r="O17" s="233"/>
      <c r="P17" s="136"/>
      <c r="Q17" s="134"/>
      <c r="R17" s="212" t="s">
        <v>29</v>
      </c>
      <c r="S17" s="213" t="s">
        <v>37</v>
      </c>
      <c r="T17" s="214" t="str">
        <f>Cash_Flow_Statement!$B$46</f>
        <v>Y4 M5</v>
      </c>
      <c r="U17" s="215" t="str">
        <f>"Base monthly cash-flow break-even: "&amp;T17&amp;"; scenario range "&amp;Cash_Flow_Statement!$B$47&amp;" to "&amp;Cash_Flow_Statement!$B$45</f>
        <v>Base monthly cash-flow break-even: Y4 M5; scenario range Y3 M5 to Y5 M9</v>
      </c>
      <c r="V17" s="213" t="s">
        <v>38</v>
      </c>
      <c r="W17" s="213" t="s">
        <v>32</v>
      </c>
      <c r="X17" s="206"/>
      <c r="Y17" s="206"/>
      <c r="Z17" s="206"/>
      <c r="AA17" s="134"/>
    </row>
    <row r="18" spans="1:27" ht="34" customHeight="1">
      <c r="A18" s="134"/>
      <c r="B18" s="136" t="s">
        <v>39</v>
      </c>
      <c r="C18" s="231" t="s">
        <v>40</v>
      </c>
      <c r="D18" s="232"/>
      <c r="E18" s="232"/>
      <c r="F18" s="232"/>
      <c r="G18" s="233"/>
      <c r="H18" s="136"/>
      <c r="I18" s="134"/>
      <c r="J18" s="136" t="s">
        <v>41</v>
      </c>
      <c r="K18" s="231" t="s">
        <v>42</v>
      </c>
      <c r="L18" s="232"/>
      <c r="M18" s="232"/>
      <c r="N18" s="232"/>
      <c r="O18" s="233"/>
      <c r="P18" s="136"/>
      <c r="Q18" s="134"/>
      <c r="R18" s="212" t="s">
        <v>29</v>
      </c>
      <c r="S18" s="213" t="s">
        <v>43</v>
      </c>
      <c r="T18" s="214" t="str">
        <f>"GBP "&amp;ROUND(Cash_Flow_Statement!$F$46/1000000,2)&amp;"M"</f>
        <v>GBP 1.65M</v>
      </c>
      <c r="U18" s="215" t="str">
        <f>T18&amp;" base seed ask; downside funding case GBP "&amp;ROUND(Cash_Flow_Statement!$F$45/1000000,2)&amp;"M"</f>
        <v>GBP 1.65M base seed ask; downside funding case GBP 2.98M</v>
      </c>
      <c r="V18" s="213" t="s">
        <v>44</v>
      </c>
      <c r="W18" s="213" t="s">
        <v>32</v>
      </c>
      <c r="X18" s="206"/>
      <c r="Y18" s="206"/>
      <c r="Z18" s="206"/>
      <c r="AA18" s="134"/>
    </row>
    <row r="19" spans="1:27" ht="34" customHeight="1">
      <c r="A19" s="134"/>
      <c r="B19" s="136"/>
      <c r="C19" s="136"/>
      <c r="D19" s="136"/>
      <c r="E19" s="136"/>
      <c r="F19" s="149"/>
      <c r="G19" s="136"/>
      <c r="H19" s="136"/>
      <c r="I19" s="134"/>
      <c r="J19" s="136"/>
      <c r="K19" s="136"/>
      <c r="L19" s="136"/>
      <c r="M19" s="136"/>
      <c r="N19" s="136"/>
      <c r="O19" s="136"/>
      <c r="P19" s="136"/>
      <c r="Q19" s="134"/>
      <c r="R19" s="212" t="s">
        <v>29</v>
      </c>
      <c r="S19" s="213" t="s">
        <v>45</v>
      </c>
      <c r="T19" s="214" t="str">
        <f>ROUND(Tier_Economics!$E$12/Tier_Economics!$E$9*100,1)&amp;"% / "&amp;ROUND(Tier_Economics!$M$12/Tier_Economics!$M$9*100,1)&amp;"% / "&amp;ROUND(Tier_Economics!$U$12/Tier_Economics!$U$9*100,1)&amp;"%"</f>
        <v>1.1% / 0.8% / 0.7%</v>
      </c>
      <c r="U19" s="215" t="str">
        <f>T19&amp;" blended escrow take rate, base Y1 / Y3 / Y5"</f>
        <v>1.1% / 0.8% / 0.7% blended escrow take rate, base Y1 / Y3 / Y5</v>
      </c>
      <c r="V19" s="213" t="s">
        <v>46</v>
      </c>
      <c r="W19" s="213" t="s">
        <v>47</v>
      </c>
      <c r="X19" s="206"/>
      <c r="Y19" s="206"/>
      <c r="Z19" s="206"/>
      <c r="AA19" s="134"/>
    </row>
    <row r="20" spans="1:27" ht="34" customHeight="1">
      <c r="A20" s="134"/>
      <c r="B20" s="136"/>
      <c r="C20" s="136"/>
      <c r="D20" s="136"/>
      <c r="E20" s="136"/>
      <c r="F20" s="148"/>
      <c r="G20" s="136"/>
      <c r="H20" s="136"/>
      <c r="I20" s="134"/>
      <c r="J20" s="136"/>
      <c r="K20" s="136"/>
      <c r="L20" s="136"/>
      <c r="M20" s="136"/>
      <c r="N20" s="136"/>
      <c r="O20" s="136"/>
      <c r="P20" s="136"/>
      <c r="Q20" s="134"/>
      <c r="R20" s="212" t="s">
        <v>29</v>
      </c>
      <c r="S20" s="213" t="s">
        <v>48</v>
      </c>
      <c r="T20" s="214" t="str">
        <f>ROUND(Assumptions!$D$64*100,0)&amp;"% -&gt; "&amp;ROUND(Assumptions!$D$160*100,0)&amp;"%"</f>
        <v>15% -&gt; 70%</v>
      </c>
      <c r="U20" s="215" t="str">
        <f>T20&amp;" Tier A eBL mix, base Y1 to Y5"</f>
        <v>15% -&gt; 70% Tier A eBL mix, base Y1 to Y5</v>
      </c>
      <c r="V20" s="213" t="s">
        <v>49</v>
      </c>
      <c r="W20" s="213" t="s">
        <v>47</v>
      </c>
      <c r="X20" s="206"/>
      <c r="Y20" s="206"/>
      <c r="Z20" s="206"/>
      <c r="AA20" s="134"/>
    </row>
    <row r="21" spans="1:27" ht="34" customHeight="1">
      <c r="A21" s="134"/>
      <c r="B21" s="136"/>
      <c r="C21" s="136"/>
      <c r="D21" s="136"/>
      <c r="E21" s="136"/>
      <c r="F21" s="148"/>
      <c r="G21" s="136"/>
      <c r="H21" s="136"/>
      <c r="I21" s="134"/>
      <c r="J21" s="136"/>
      <c r="K21" s="136"/>
      <c r="L21" s="136"/>
      <c r="M21" s="136"/>
      <c r="N21" s="136"/>
      <c r="O21" s="136"/>
      <c r="P21" s="136"/>
      <c r="Q21" s="134"/>
      <c r="R21" s="212" t="s">
        <v>50</v>
      </c>
      <c r="S21" s="213" t="s">
        <v>51</v>
      </c>
      <c r="T21" s="214" t="str">
        <f>"GBP "&amp;ROUND(MAX(Scenario_Base_PL!$C$66:$G$66)/1000000,2)&amp;"M"</f>
        <v>GBP 1.65M</v>
      </c>
      <c r="U21" s="215" t="str">
        <f>T21&amp;" total seed raise"</f>
        <v>GBP 1.65M total seed raise</v>
      </c>
      <c r="V21" s="213" t="s">
        <v>52</v>
      </c>
      <c r="W21" s="213" t="s">
        <v>51</v>
      </c>
      <c r="X21" s="206"/>
      <c r="Y21" s="206"/>
      <c r="Z21" s="206"/>
      <c r="AA21" s="134"/>
    </row>
    <row r="22" spans="1:27" ht="34" customHeight="1">
      <c r="A22" s="134"/>
      <c r="B22" s="136"/>
      <c r="C22" s="136"/>
      <c r="D22" s="136"/>
      <c r="E22" s="136"/>
      <c r="F22" s="148"/>
      <c r="G22" s="136"/>
      <c r="H22" s="136"/>
      <c r="I22" s="134"/>
      <c r="J22" s="136"/>
      <c r="K22" s="136"/>
      <c r="L22" s="136"/>
      <c r="M22" s="136"/>
      <c r="N22" s="136"/>
      <c r="O22" s="136"/>
      <c r="P22" s="136"/>
      <c r="Q22" s="134"/>
      <c r="R22" s="212" t="s">
        <v>50</v>
      </c>
      <c r="S22" s="213" t="s">
        <v>53</v>
      </c>
      <c r="T22" s="214" t="str">
        <f>ROUND($H$58*100,0)&amp;"%  GBP "&amp;ROUND($G$58*1000,0)&amp;"K"</f>
        <v>40%  GBP 660K</v>
      </c>
      <c r="U22" s="215" t="str">
        <f>T22</f>
        <v>40%  GBP 660K</v>
      </c>
      <c r="V22" s="213" t="s">
        <v>54</v>
      </c>
      <c r="W22" s="213" t="s">
        <v>55</v>
      </c>
      <c r="X22" s="206"/>
      <c r="Y22" s="206"/>
      <c r="Z22" s="206"/>
      <c r="AA22" s="134"/>
    </row>
    <row r="23" spans="1:27" ht="34" customHeight="1">
      <c r="A23" s="134"/>
      <c r="B23" s="136"/>
      <c r="C23" s="136"/>
      <c r="D23" s="136"/>
      <c r="E23" s="136"/>
      <c r="F23" s="148"/>
      <c r="G23" s="136"/>
      <c r="H23" s="136"/>
      <c r="I23" s="134"/>
      <c r="J23" s="136"/>
      <c r="K23" s="136"/>
      <c r="L23" s="136"/>
      <c r="M23" s="136"/>
      <c r="N23" s="136"/>
      <c r="O23" s="136"/>
      <c r="P23" s="136"/>
      <c r="Q23" s="134"/>
      <c r="R23" s="208" t="s">
        <v>50</v>
      </c>
      <c r="S23" s="209" t="s">
        <v>56</v>
      </c>
      <c r="T23" s="210" t="str">
        <f>ROUND($H$59*100,0)&amp;"%  GBP "&amp;ROUND($G$59*1000,0)&amp;"K"</f>
        <v>22%  GBP 363K</v>
      </c>
      <c r="U23" s="211" t="str">
        <f>T23</f>
        <v>22%  GBP 363K</v>
      </c>
      <c r="V23" s="209" t="s">
        <v>57</v>
      </c>
      <c r="W23" s="209" t="s">
        <v>55</v>
      </c>
      <c r="X23" s="206"/>
      <c r="Y23" s="206"/>
      <c r="Z23" s="206"/>
      <c r="AA23" s="134"/>
    </row>
    <row r="24" spans="1:27" ht="34" customHeight="1">
      <c r="A24" s="134"/>
      <c r="B24" s="136"/>
      <c r="C24" s="136"/>
      <c r="D24" s="136"/>
      <c r="E24" s="136"/>
      <c r="F24" s="136"/>
      <c r="G24" s="136"/>
      <c r="H24" s="136"/>
      <c r="I24" s="134"/>
      <c r="J24" s="136"/>
      <c r="K24" s="136"/>
      <c r="L24" s="136"/>
      <c r="M24" s="136"/>
      <c r="N24" s="136"/>
      <c r="O24" s="136"/>
      <c r="P24" s="136"/>
      <c r="Q24" s="134"/>
      <c r="R24" s="212" t="s">
        <v>50</v>
      </c>
      <c r="S24" s="213" t="s">
        <v>58</v>
      </c>
      <c r="T24" s="214" t="str">
        <f>ROUND($H$60*100,0)&amp;"%  GBP "&amp;ROUND($G$60*1000,0)&amp;"K"</f>
        <v>18%  GBP 297K</v>
      </c>
      <c r="U24" s="215" t="str">
        <f>T24</f>
        <v>18%  GBP 297K</v>
      </c>
      <c r="V24" s="213" t="s">
        <v>59</v>
      </c>
      <c r="W24" s="213" t="s">
        <v>55</v>
      </c>
      <c r="X24" s="206"/>
      <c r="Y24" s="206"/>
      <c r="Z24" s="206"/>
      <c r="AA24" s="134"/>
    </row>
    <row r="25" spans="1:27" ht="34" customHeight="1">
      <c r="A25" s="134"/>
      <c r="B25" s="136"/>
      <c r="C25" s="136"/>
      <c r="D25" s="136"/>
      <c r="E25" s="136"/>
      <c r="F25" s="136"/>
      <c r="G25" s="136"/>
      <c r="H25" s="136"/>
      <c r="I25" s="134"/>
      <c r="J25" s="136"/>
      <c r="K25" s="136"/>
      <c r="L25" s="136"/>
      <c r="M25" s="136"/>
      <c r="N25" s="136"/>
      <c r="O25" s="136"/>
      <c r="P25" s="136"/>
      <c r="Q25" s="134"/>
      <c r="R25" s="212" t="s">
        <v>50</v>
      </c>
      <c r="S25" s="213" t="s">
        <v>60</v>
      </c>
      <c r="T25" s="214" t="str">
        <f>ROUND($H$61*100,0)&amp;"%  GBP "&amp;ROUND($G$61*1000,0)&amp;"K"</f>
        <v>15%  GBP 248K</v>
      </c>
      <c r="U25" s="215" t="str">
        <f>T25</f>
        <v>15%  GBP 248K</v>
      </c>
      <c r="V25" s="213" t="s">
        <v>61</v>
      </c>
      <c r="W25" s="213" t="s">
        <v>55</v>
      </c>
      <c r="X25" s="206"/>
      <c r="Y25" s="206"/>
      <c r="Z25" s="206"/>
      <c r="AA25" s="134"/>
    </row>
    <row r="26" spans="1:27" ht="34" customHeight="1">
      <c r="A26" s="134"/>
      <c r="B26" s="136"/>
      <c r="C26" s="136"/>
      <c r="D26" s="136"/>
      <c r="E26" s="136"/>
      <c r="F26" s="147"/>
      <c r="G26" s="136"/>
      <c r="H26" s="136"/>
      <c r="I26" s="134"/>
      <c r="J26" s="136"/>
      <c r="K26" s="136"/>
      <c r="L26" s="136"/>
      <c r="M26" s="136"/>
      <c r="N26" s="136"/>
      <c r="O26" s="136"/>
      <c r="P26" s="136"/>
      <c r="Q26" s="134"/>
      <c r="R26" s="212" t="s">
        <v>50</v>
      </c>
      <c r="S26" s="213" t="s">
        <v>62</v>
      </c>
      <c r="T26" s="214" t="str">
        <f>ROUND($H$62*100,0)&amp;"%  GBP "&amp;ROUND($G$62*1000,0)&amp;"K"</f>
        <v>5%  GBP 83K</v>
      </c>
      <c r="U26" s="215" t="str">
        <f>T26</f>
        <v>5%  GBP 83K</v>
      </c>
      <c r="V26" s="213" t="s">
        <v>63</v>
      </c>
      <c r="W26" s="213" t="s">
        <v>55</v>
      </c>
      <c r="X26" s="206"/>
      <c r="Y26" s="206"/>
      <c r="Z26" s="206"/>
      <c r="AA26" s="134"/>
    </row>
    <row r="27" spans="1:27" ht="18" customHeight="1">
      <c r="A27" s="134"/>
      <c r="B27" s="136"/>
      <c r="C27" s="136"/>
      <c r="D27" s="136"/>
      <c r="E27" s="136"/>
      <c r="F27" s="147"/>
      <c r="G27" s="136"/>
      <c r="H27" s="136"/>
      <c r="I27" s="134"/>
      <c r="J27" s="136"/>
      <c r="K27" s="136"/>
      <c r="L27" s="136"/>
      <c r="M27" s="136"/>
      <c r="N27" s="136"/>
      <c r="O27" s="136"/>
      <c r="P27" s="136"/>
      <c r="Q27" s="134"/>
      <c r="R27" s="206"/>
      <c r="S27" s="206"/>
      <c r="T27" s="206"/>
      <c r="U27" s="206"/>
      <c r="V27" s="206"/>
      <c r="W27" s="206"/>
      <c r="X27" s="206"/>
      <c r="Y27" s="206"/>
      <c r="Z27" s="206"/>
      <c r="AA27" s="134"/>
    </row>
    <row r="28" spans="1:27" ht="18" customHeight="1">
      <c r="A28" s="134"/>
      <c r="B28" s="136"/>
      <c r="C28" s="136"/>
      <c r="D28" s="136"/>
      <c r="E28" s="136"/>
      <c r="F28" s="147"/>
      <c r="G28" s="136"/>
      <c r="H28" s="136"/>
      <c r="I28" s="134"/>
      <c r="J28" s="136"/>
      <c r="K28" s="136"/>
      <c r="L28" s="136"/>
      <c r="M28" s="136"/>
      <c r="N28" s="136"/>
      <c r="O28" s="136"/>
      <c r="P28" s="136"/>
      <c r="Q28" s="134"/>
      <c r="R28" s="206"/>
      <c r="S28" s="206"/>
      <c r="T28" s="206"/>
      <c r="U28" s="206"/>
      <c r="V28" s="206"/>
      <c r="W28" s="206"/>
      <c r="X28" s="206"/>
      <c r="Y28" s="206"/>
      <c r="Z28" s="206"/>
      <c r="AA28" s="134"/>
    </row>
    <row r="29" spans="1:27" ht="18" customHeight="1">
      <c r="A29" s="134"/>
      <c r="B29" s="136"/>
      <c r="C29" s="136"/>
      <c r="D29" s="136"/>
      <c r="E29" s="136"/>
      <c r="F29" s="147"/>
      <c r="G29" s="136"/>
      <c r="H29" s="136"/>
      <c r="I29" s="134"/>
      <c r="J29" s="136"/>
      <c r="K29" s="136"/>
      <c r="L29" s="136"/>
      <c r="M29" s="136"/>
      <c r="N29" s="136"/>
      <c r="O29" s="136"/>
      <c r="P29" s="136"/>
      <c r="Q29" s="134"/>
      <c r="R29" s="206"/>
      <c r="S29" s="206"/>
      <c r="T29" s="206"/>
      <c r="U29" s="206"/>
      <c r="V29" s="206"/>
      <c r="W29" s="206"/>
      <c r="X29" s="206"/>
      <c r="Y29" s="206"/>
      <c r="Z29" s="206"/>
      <c r="AA29" s="134"/>
    </row>
    <row r="30" spans="1:27" ht="18" customHeight="1">
      <c r="A30" s="134"/>
      <c r="B30" s="136"/>
      <c r="C30" s="136"/>
      <c r="D30" s="136"/>
      <c r="E30" s="136"/>
      <c r="F30" s="147"/>
      <c r="G30" s="136"/>
      <c r="H30" s="136"/>
      <c r="I30" s="134"/>
      <c r="J30" s="136"/>
      <c r="K30" s="136"/>
      <c r="L30" s="136"/>
      <c r="M30" s="136"/>
      <c r="N30" s="136"/>
      <c r="O30" s="136"/>
      <c r="P30" s="136"/>
      <c r="Q30" s="134"/>
      <c r="R30" s="206"/>
      <c r="S30" s="206"/>
      <c r="T30" s="206"/>
      <c r="U30" s="206"/>
      <c r="V30" s="206"/>
      <c r="W30" s="206"/>
      <c r="X30" s="206"/>
      <c r="Y30" s="206"/>
      <c r="Z30" s="206"/>
      <c r="AA30" s="134"/>
    </row>
    <row r="31" spans="1:27" ht="18" customHeight="1">
      <c r="A31" s="134"/>
      <c r="B31" s="136"/>
      <c r="C31" s="136"/>
      <c r="D31" s="136"/>
      <c r="E31" s="136"/>
      <c r="F31" s="147"/>
      <c r="G31" s="136"/>
      <c r="H31" s="136"/>
      <c r="I31" s="134"/>
      <c r="J31" s="136"/>
      <c r="K31" s="136"/>
      <c r="L31" s="136"/>
      <c r="M31" s="136"/>
      <c r="N31" s="136"/>
      <c r="O31" s="136"/>
      <c r="P31" s="136"/>
      <c r="Q31" s="134"/>
      <c r="R31" s="206"/>
      <c r="S31" s="206"/>
      <c r="T31" s="206"/>
      <c r="U31" s="206"/>
      <c r="V31" s="206"/>
      <c r="W31" s="206"/>
      <c r="X31" s="206"/>
      <c r="Y31" s="206"/>
      <c r="Z31" s="206"/>
      <c r="AA31" s="134"/>
    </row>
    <row r="32" spans="1:27" ht="18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206"/>
      <c r="S32" s="206"/>
      <c r="T32" s="206"/>
      <c r="U32" s="206"/>
      <c r="V32" s="206"/>
      <c r="W32" s="206"/>
      <c r="X32" s="206"/>
      <c r="Y32" s="206"/>
      <c r="Z32" s="206"/>
      <c r="AA32" s="134"/>
    </row>
    <row r="33" spans="1:27" ht="18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206"/>
      <c r="S33" s="206"/>
      <c r="T33" s="206"/>
      <c r="U33" s="206"/>
      <c r="V33" s="206"/>
      <c r="W33" s="206"/>
      <c r="X33" s="206"/>
      <c r="Y33" s="206"/>
      <c r="Z33" s="206"/>
      <c r="AA33" s="134"/>
    </row>
    <row r="34" spans="1:27" ht="18" customHeight="1">
      <c r="A34" s="134"/>
      <c r="B34" s="136"/>
      <c r="C34" s="136"/>
      <c r="D34" s="136"/>
      <c r="E34" s="136"/>
      <c r="F34" s="148"/>
      <c r="G34" s="136"/>
      <c r="H34" s="136"/>
      <c r="I34" s="134"/>
      <c r="J34" s="136"/>
      <c r="K34" s="136"/>
      <c r="L34" s="136"/>
      <c r="M34" s="136"/>
      <c r="N34" s="136"/>
      <c r="O34" s="136"/>
      <c r="P34" s="136"/>
      <c r="Q34" s="134"/>
      <c r="R34" s="206"/>
      <c r="S34" s="206"/>
      <c r="T34" s="206"/>
      <c r="U34" s="206"/>
      <c r="V34" s="206"/>
      <c r="W34" s="206"/>
      <c r="X34" s="206"/>
      <c r="Y34" s="206"/>
      <c r="Z34" s="206"/>
      <c r="AA34" s="134"/>
    </row>
    <row r="35" spans="1:27" ht="18" customHeight="1">
      <c r="A35" s="134"/>
      <c r="B35" s="136"/>
      <c r="C35" s="234" t="s">
        <v>64</v>
      </c>
      <c r="D35" s="232"/>
      <c r="E35" s="232"/>
      <c r="F35" s="232"/>
      <c r="G35" s="233"/>
      <c r="H35" s="136"/>
      <c r="I35" s="134"/>
      <c r="J35" s="136"/>
      <c r="K35" s="234" t="s">
        <v>65</v>
      </c>
      <c r="L35" s="232"/>
      <c r="M35" s="232"/>
      <c r="N35" s="232"/>
      <c r="O35" s="233"/>
      <c r="P35" s="136"/>
      <c r="Q35" s="134"/>
      <c r="R35" s="206"/>
      <c r="S35" s="206"/>
      <c r="T35" s="206"/>
      <c r="U35" s="206"/>
      <c r="V35" s="206"/>
      <c r="W35" s="206"/>
      <c r="X35" s="206"/>
      <c r="Y35" s="206"/>
      <c r="Z35" s="206"/>
      <c r="AA35" s="134"/>
    </row>
    <row r="36" spans="1:27">
      <c r="A36" s="134"/>
      <c r="B36" s="136" t="s">
        <v>66</v>
      </c>
      <c r="C36" s="231" t="s">
        <v>67</v>
      </c>
      <c r="D36" s="232"/>
      <c r="E36" s="232"/>
      <c r="F36" s="232"/>
      <c r="G36" s="233"/>
      <c r="H36" s="136"/>
      <c r="I36" s="134"/>
      <c r="J36" s="136" t="s">
        <v>68</v>
      </c>
      <c r="K36" s="231" t="s">
        <v>69</v>
      </c>
      <c r="L36" s="232"/>
      <c r="M36" s="232"/>
      <c r="N36" s="232"/>
      <c r="O36" s="233"/>
      <c r="P36" s="136"/>
      <c r="Q36" s="134"/>
      <c r="R36" s="206"/>
      <c r="S36" s="206"/>
      <c r="T36" s="206"/>
      <c r="U36" s="206"/>
      <c r="V36" s="206"/>
      <c r="W36" s="206"/>
      <c r="X36" s="206"/>
      <c r="Y36" s="206"/>
      <c r="Z36" s="206"/>
      <c r="AA36" s="134"/>
    </row>
    <row r="37" spans="1:27" ht="24" customHeight="1">
      <c r="A37" s="134"/>
      <c r="B37" s="136"/>
      <c r="C37" s="136"/>
      <c r="D37" s="136"/>
      <c r="E37" s="136"/>
      <c r="F37" s="148"/>
      <c r="G37" s="136"/>
      <c r="H37" s="136"/>
      <c r="I37" s="134"/>
      <c r="J37" s="140" t="s">
        <v>70</v>
      </c>
      <c r="K37" s="140" t="s">
        <v>71</v>
      </c>
      <c r="L37" s="140" t="s">
        <v>72</v>
      </c>
      <c r="M37" s="140" t="s">
        <v>73</v>
      </c>
      <c r="N37" s="140" t="s">
        <v>74</v>
      </c>
      <c r="O37" s="136"/>
      <c r="P37" s="136"/>
      <c r="Q37" s="134"/>
      <c r="R37" s="206"/>
      <c r="S37" s="206"/>
      <c r="T37" s="206"/>
      <c r="U37" s="206"/>
      <c r="V37" s="206"/>
      <c r="W37" s="206"/>
      <c r="X37" s="206"/>
      <c r="Y37" s="206"/>
      <c r="Z37" s="206"/>
      <c r="AA37" s="134"/>
    </row>
    <row r="38" spans="1:27" ht="26" customHeight="1">
      <c r="A38" s="134"/>
      <c r="B38" s="136"/>
      <c r="C38" s="136"/>
      <c r="D38" s="136"/>
      <c r="E38" s="136"/>
      <c r="F38" s="148"/>
      <c r="G38" s="136"/>
      <c r="H38" s="136"/>
      <c r="I38" s="134"/>
      <c r="J38" s="141" t="s">
        <v>75</v>
      </c>
      <c r="K38" s="142" t="str">
        <f>Cash_Flow_Statement!B45</f>
        <v>Y5 M9</v>
      </c>
      <c r="L38" s="143">
        <f>Cash_Flow_Statement!C45/1000000</f>
        <v>2.2904747125000009</v>
      </c>
      <c r="M38" s="143">
        <f>Cash_Flow_Statement!D45/1000000</f>
        <v>0.98335341562499901</v>
      </c>
      <c r="N38" s="143">
        <f>Cash_Flow_Statement!F45/1000000</f>
        <v>2.977617</v>
      </c>
      <c r="O38" s="136"/>
      <c r="P38" s="136"/>
      <c r="Q38" s="134"/>
      <c r="R38" s="206"/>
      <c r="S38" s="206"/>
      <c r="T38" s="206"/>
      <c r="U38" s="206"/>
      <c r="V38" s="206"/>
      <c r="W38" s="206"/>
      <c r="X38" s="206"/>
      <c r="Y38" s="206"/>
      <c r="Z38" s="206"/>
      <c r="AA38" s="134"/>
    </row>
    <row r="39" spans="1:27" ht="18" customHeight="1">
      <c r="A39" s="134"/>
      <c r="B39" s="136"/>
      <c r="C39" s="136"/>
      <c r="D39" s="136"/>
      <c r="E39" s="136"/>
      <c r="F39" s="148"/>
      <c r="G39" s="136"/>
      <c r="H39" s="136"/>
      <c r="I39" s="134"/>
      <c r="J39" s="141" t="s">
        <v>76</v>
      </c>
      <c r="K39" s="142" t="str">
        <f>Cash_Flow_Statement!B46</f>
        <v>Y4 M5</v>
      </c>
      <c r="L39" s="143">
        <f>Cash_Flow_Statement!C46/1000000</f>
        <v>1.2694020625</v>
      </c>
      <c r="M39" s="143">
        <f>Cash_Flow_Statement!D46/1000000</f>
        <v>12.220136128125004</v>
      </c>
      <c r="N39" s="143">
        <f>Cash_Flow_Statement!F46/1000000</f>
        <v>1.650223</v>
      </c>
      <c r="O39" s="136"/>
      <c r="P39" s="136"/>
      <c r="Q39" s="134"/>
      <c r="R39" s="206"/>
      <c r="S39" s="206"/>
      <c r="T39" s="206"/>
      <c r="U39" s="206"/>
      <c r="V39" s="206"/>
      <c r="W39" s="206"/>
      <c r="X39" s="206"/>
      <c r="Y39" s="206"/>
      <c r="Z39" s="206"/>
      <c r="AA39" s="134"/>
    </row>
    <row r="40" spans="1:27" ht="18" customHeight="1">
      <c r="A40" s="134"/>
      <c r="B40" s="136"/>
      <c r="C40" s="136"/>
      <c r="D40" s="136"/>
      <c r="E40" s="136"/>
      <c r="F40" s="148"/>
      <c r="G40" s="136"/>
      <c r="H40" s="136"/>
      <c r="I40" s="134"/>
      <c r="J40" s="141" t="s">
        <v>77</v>
      </c>
      <c r="K40" s="142" t="str">
        <f>Cash_Flow_Statement!B47</f>
        <v>Y3 M5</v>
      </c>
      <c r="L40" s="143">
        <f>Cash_Flow_Statement!C47/1000000</f>
        <v>0.76667051249999996</v>
      </c>
      <c r="M40" s="143">
        <f>Cash_Flow_Statement!D47/1000000</f>
        <v>31.816705221874997</v>
      </c>
      <c r="N40" s="143">
        <f>Cash_Flow_Statement!F47/1000000</f>
        <v>1.236672</v>
      </c>
      <c r="O40" s="136"/>
      <c r="P40" s="136"/>
      <c r="Q40" s="134"/>
      <c r="R40" s="206"/>
      <c r="S40" s="206"/>
      <c r="T40" s="206"/>
      <c r="U40" s="206"/>
      <c r="V40" s="206"/>
      <c r="W40" s="206"/>
      <c r="X40" s="206"/>
      <c r="Y40" s="206"/>
      <c r="Z40" s="206"/>
      <c r="AA40" s="134"/>
    </row>
    <row r="41" spans="1:27" ht="18" customHeight="1">
      <c r="A41" s="134"/>
      <c r="B41" s="136"/>
      <c r="C41" s="136"/>
      <c r="D41" s="136"/>
      <c r="E41" s="136"/>
      <c r="F41" s="148"/>
      <c r="G41" s="136"/>
      <c r="H41" s="136"/>
      <c r="I41" s="134"/>
      <c r="J41" s="136"/>
      <c r="K41" s="136"/>
      <c r="L41" s="136"/>
      <c r="M41" s="136"/>
      <c r="N41" s="136"/>
      <c r="O41" s="136"/>
      <c r="P41" s="136"/>
      <c r="Q41" s="134"/>
      <c r="R41" s="206"/>
      <c r="S41" s="206"/>
      <c r="T41" s="206"/>
      <c r="U41" s="206"/>
      <c r="V41" s="206"/>
      <c r="W41" s="206"/>
      <c r="X41" s="206"/>
      <c r="Y41" s="206"/>
      <c r="Z41" s="206"/>
      <c r="AA41" s="134"/>
    </row>
    <row r="42" spans="1:27" ht="18" customHeight="1">
      <c r="A42" s="134"/>
      <c r="B42" s="136"/>
      <c r="C42" s="136"/>
      <c r="D42" s="136"/>
      <c r="E42" s="136"/>
      <c r="F42" s="148"/>
      <c r="G42" s="136"/>
      <c r="H42" s="136"/>
      <c r="I42" s="134"/>
      <c r="J42" s="136"/>
      <c r="K42" s="136"/>
      <c r="L42" s="136"/>
      <c r="M42" s="136"/>
      <c r="N42" s="136"/>
      <c r="O42" s="136"/>
      <c r="P42" s="136"/>
      <c r="Q42" s="134"/>
      <c r="R42" s="206"/>
      <c r="S42" s="206"/>
      <c r="T42" s="206"/>
      <c r="U42" s="206"/>
      <c r="V42" s="206"/>
      <c r="W42" s="206"/>
      <c r="X42" s="206"/>
      <c r="Y42" s="206"/>
      <c r="Z42" s="206"/>
      <c r="AA42" s="134"/>
    </row>
    <row r="43" spans="1:27" ht="25" customHeight="1">
      <c r="A43" s="134"/>
      <c r="B43" s="136"/>
      <c r="C43" s="136"/>
      <c r="D43" s="136"/>
      <c r="E43" s="136"/>
      <c r="F43" s="148"/>
      <c r="G43" s="136"/>
      <c r="H43" s="136"/>
      <c r="I43" s="134"/>
      <c r="J43" s="136"/>
      <c r="K43" s="237" t="str">
        <f>"- Base reaches monthly cash-flow break-even in "&amp;Cash_Flow_Statement!$B$46&amp;"; High reaches "&amp;Cash_Flow_Statement!$B$47&amp;"."</f>
        <v>- Base reaches monthly cash-flow break-even in Y4 M5; High reaches Y3 M5.</v>
      </c>
      <c r="L43" s="232"/>
      <c r="M43" s="232"/>
      <c r="N43" s="232"/>
      <c r="O43" s="233"/>
      <c r="P43" s="136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</row>
    <row r="44" spans="1:27" ht="25" customHeight="1">
      <c r="A44" s="134"/>
      <c r="B44" s="136"/>
      <c r="C44" s="136"/>
      <c r="D44" s="136"/>
      <c r="E44" s="136"/>
      <c r="F44" s="148"/>
      <c r="G44" s="136"/>
      <c r="H44" s="136"/>
      <c r="I44" s="134"/>
      <c r="J44" s="136"/>
      <c r="K44" s="237" t="str">
        <f>"- Low reaches monthly cash-flow break-even in "&amp;Cash_Flow_Statement!$B$45&amp;"; base Month 60 operating cash is GBP "&amp;ROUND(Cash_Flow_Statement!$D$46/1000000,1)&amp;"M."</f>
        <v>- Low reaches monthly cash-flow break-even in Y5 M9; base Month 60 operating cash is GBP 12.2M.</v>
      </c>
      <c r="L44" s="232"/>
      <c r="M44" s="232"/>
      <c r="N44" s="232"/>
      <c r="O44" s="233"/>
      <c r="P44" s="136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</row>
    <row r="45" spans="1:27" ht="25" customHeight="1">
      <c r="A45" s="134"/>
      <c r="B45" s="136"/>
      <c r="C45" s="136"/>
      <c r="D45" s="136"/>
      <c r="E45" s="136"/>
      <c r="F45" s="148"/>
      <c r="G45" s="136"/>
      <c r="H45" s="136"/>
      <c r="I45" s="134"/>
      <c r="J45" s="136"/>
      <c r="K45" s="237" t="s">
        <v>78</v>
      </c>
      <c r="L45" s="232"/>
      <c r="M45" s="232"/>
      <c r="N45" s="232"/>
      <c r="O45" s="233"/>
      <c r="P45" s="136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</row>
    <row r="46" spans="1:27" ht="25" customHeight="1">
      <c r="A46" s="134"/>
      <c r="B46" s="136"/>
      <c r="C46" s="136"/>
      <c r="D46" s="136"/>
      <c r="E46" s="136"/>
      <c r="F46" s="148"/>
      <c r="G46" s="136"/>
      <c r="H46" s="136"/>
      <c r="I46" s="134"/>
      <c r="J46" s="136"/>
      <c r="K46" s="237" t="s">
        <v>79</v>
      </c>
      <c r="L46" s="232"/>
      <c r="M46" s="232"/>
      <c r="N46" s="232"/>
      <c r="O46" s="233"/>
      <c r="P46" s="136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</row>
    <row r="47" spans="1:27" ht="18" customHeight="1">
      <c r="A47" s="134"/>
      <c r="B47" s="136"/>
      <c r="C47" s="136"/>
      <c r="D47" s="136"/>
      <c r="E47" s="136"/>
      <c r="F47" s="148"/>
      <c r="G47" s="136"/>
      <c r="H47" s="136"/>
      <c r="I47" s="134"/>
      <c r="J47" s="136"/>
      <c r="K47" s="136"/>
      <c r="L47" s="136"/>
      <c r="M47" s="136"/>
      <c r="N47" s="136"/>
      <c r="O47" s="136"/>
      <c r="P47" s="136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</row>
    <row r="48" spans="1:27" ht="18" customHeight="1">
      <c r="A48" s="134"/>
      <c r="B48" s="136"/>
      <c r="C48" s="136"/>
      <c r="D48" s="136"/>
      <c r="E48" s="136"/>
      <c r="F48" s="136"/>
      <c r="G48" s="136"/>
      <c r="H48" s="136"/>
      <c r="I48" s="134"/>
      <c r="J48" s="136"/>
      <c r="K48" s="136"/>
      <c r="L48" s="136"/>
      <c r="M48" s="136"/>
      <c r="N48" s="136"/>
      <c r="O48" s="136"/>
      <c r="P48" s="136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</row>
    <row r="49" spans="1:27" ht="18" customHeight="1">
      <c r="A49" s="134"/>
      <c r="B49" s="136"/>
      <c r="C49" s="136"/>
      <c r="D49" s="136"/>
      <c r="E49" s="136"/>
      <c r="F49" s="136"/>
      <c r="G49" s="136"/>
      <c r="H49" s="136"/>
      <c r="I49" s="134"/>
      <c r="J49" s="136"/>
      <c r="K49" s="136"/>
      <c r="L49" s="136"/>
      <c r="M49" s="136"/>
      <c r="N49" s="136"/>
      <c r="O49" s="136"/>
      <c r="P49" s="136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</row>
    <row r="50" spans="1:27" ht="18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</row>
    <row r="51" spans="1:27" ht="18" customHeight="1">
      <c r="A51" s="134"/>
      <c r="B51" s="238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</row>
    <row r="52" spans="1:27" ht="18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</row>
    <row r="53" spans="1:27" ht="18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</row>
    <row r="54" spans="1:27" ht="18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</row>
    <row r="55" spans="1:27" ht="18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</row>
    <row r="56" spans="1:27" ht="12" customHeight="1">
      <c r="A56" s="134"/>
      <c r="B56" s="144" t="s">
        <v>80</v>
      </c>
      <c r="C56" s="145"/>
      <c r="D56" s="145"/>
      <c r="E56" s="145"/>
      <c r="F56" s="145" t="s">
        <v>81</v>
      </c>
      <c r="G56" s="145"/>
      <c r="H56" s="145"/>
      <c r="I56" s="145"/>
      <c r="J56" s="145"/>
      <c r="K56" s="145"/>
      <c r="L56" s="145"/>
      <c r="M56" s="145"/>
      <c r="N56" s="145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</row>
    <row r="57" spans="1:27" ht="12" customHeight="1">
      <c r="A57" s="134"/>
      <c r="B57" s="144" t="s">
        <v>82</v>
      </c>
      <c r="C57" s="145" t="s">
        <v>83</v>
      </c>
      <c r="D57" s="145" t="s">
        <v>84</v>
      </c>
      <c r="E57" s="145"/>
      <c r="F57" s="145" t="s">
        <v>85</v>
      </c>
      <c r="G57" s="145" t="s">
        <v>86</v>
      </c>
      <c r="H57" s="145" t="s">
        <v>87</v>
      </c>
      <c r="I57" s="145"/>
      <c r="J57" s="145"/>
      <c r="K57" s="145"/>
      <c r="L57" s="145"/>
      <c r="M57" s="145"/>
      <c r="N57" s="145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</row>
    <row r="58" spans="1:27" ht="12" customHeight="1">
      <c r="A58" s="134"/>
      <c r="B58" s="144" t="s">
        <v>88</v>
      </c>
      <c r="C58" s="145">
        <f>Scenario_Base_PL!C18/1000000</f>
        <v>0.107505</v>
      </c>
      <c r="D58" s="145">
        <f>Scenario_Base_PL!C61/1000000</f>
        <v>-0.57636505781250003</v>
      </c>
      <c r="E58" s="145"/>
      <c r="F58" s="145" t="s">
        <v>89</v>
      </c>
      <c r="G58" s="145">
        <f>MAX(Scenario_Base_PL!C66:G66)*H58/1000000</f>
        <v>0.66008920000000004</v>
      </c>
      <c r="H58" s="145">
        <v>0.4</v>
      </c>
      <c r="I58" s="145"/>
      <c r="J58" s="145"/>
      <c r="K58" s="145"/>
      <c r="L58" s="145"/>
      <c r="M58" s="145"/>
      <c r="N58" s="145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</row>
    <row r="59" spans="1:27" ht="12" customHeight="1">
      <c r="A59" s="134"/>
      <c r="B59" s="144" t="s">
        <v>90</v>
      </c>
      <c r="C59" s="145">
        <f>Scenario_Base_PL!D18/1000000</f>
        <v>0.59877674999999997</v>
      </c>
      <c r="D59" s="145">
        <f>Scenario_Base_PL!D61/1000000</f>
        <v>-0.45192455468749998</v>
      </c>
      <c r="E59" s="145"/>
      <c r="F59" s="145" t="s">
        <v>91</v>
      </c>
      <c r="G59" s="145">
        <f>MAX(Scenario_Base_PL!C66:G66)*H59/1000000</f>
        <v>0.36304905999999998</v>
      </c>
      <c r="H59" s="145">
        <v>0.22</v>
      </c>
      <c r="I59" s="145"/>
      <c r="J59" s="145"/>
      <c r="K59" s="145"/>
      <c r="L59" s="145"/>
      <c r="M59" s="145"/>
      <c r="N59" s="145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</row>
    <row r="60" spans="1:27" ht="12" customHeight="1">
      <c r="A60" s="134"/>
      <c r="B60" s="144" t="s">
        <v>92</v>
      </c>
      <c r="C60" s="145">
        <f>Scenario_Base_PL!E18/1000000</f>
        <v>1.95934875</v>
      </c>
      <c r="D60" s="145">
        <f>Scenario_Base_PL!E61/1000000</f>
        <v>0.30703246875000001</v>
      </c>
      <c r="E60" s="145"/>
      <c r="F60" s="145" t="s">
        <v>93</v>
      </c>
      <c r="G60" s="145">
        <f>MAX(Scenario_Base_PL!C66:G66)*H60/1000000</f>
        <v>0.29704014000000001</v>
      </c>
      <c r="H60" s="145">
        <v>0.18</v>
      </c>
      <c r="I60" s="145"/>
      <c r="J60" s="145"/>
      <c r="K60" s="145"/>
      <c r="L60" s="145"/>
      <c r="M60" s="145"/>
      <c r="N60" s="145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</row>
    <row r="61" spans="1:27" ht="12" customHeight="1">
      <c r="A61" s="134"/>
      <c r="B61" s="144" t="s">
        <v>94</v>
      </c>
      <c r="C61" s="145">
        <f>Scenario_Base_PL!F18/1000000</f>
        <v>5.2198545000000003</v>
      </c>
      <c r="D61" s="145">
        <f>Scenario_Base_PL!F61/1000000</f>
        <v>2.6945588125</v>
      </c>
      <c r="E61" s="145"/>
      <c r="F61" s="145" t="s">
        <v>95</v>
      </c>
      <c r="G61" s="145">
        <f>MAX(Scenario_Base_PL!C66:G66)*H61/1000000</f>
        <v>0.24753344999999999</v>
      </c>
      <c r="H61" s="145">
        <v>0.15</v>
      </c>
      <c r="I61" s="145"/>
      <c r="J61" s="145"/>
      <c r="K61" s="145"/>
      <c r="L61" s="145"/>
      <c r="M61" s="145"/>
      <c r="N61" s="145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</row>
    <row r="62" spans="1:27" ht="12" customHeight="1">
      <c r="A62" s="134"/>
      <c r="B62" s="144" t="s">
        <v>96</v>
      </c>
      <c r="C62" s="145">
        <f>Scenario_Base_PL!G18/1000000</f>
        <v>14.740254628125001</v>
      </c>
      <c r="D62" s="145">
        <f>Scenario_Base_PL!G61/1000000</f>
        <v>10.487946909375001</v>
      </c>
      <c r="E62" s="145"/>
      <c r="F62" s="145" t="s">
        <v>97</v>
      </c>
      <c r="G62" s="145">
        <f>MAX(Scenario_Base_PL!C66:G66)*H62/1000000</f>
        <v>8.2511150000000005E-2</v>
      </c>
      <c r="H62" s="145">
        <v>0.05</v>
      </c>
      <c r="I62" s="145"/>
      <c r="J62" s="145"/>
      <c r="K62" s="145"/>
      <c r="L62" s="145"/>
      <c r="M62" s="145"/>
      <c r="N62" s="145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</row>
    <row r="63" spans="1:27" ht="12" customHeight="1">
      <c r="A63" s="134"/>
      <c r="B63" s="144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</row>
    <row r="64" spans="1:27" ht="12" customHeight="1">
      <c r="A64" s="134"/>
      <c r="B64" s="144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</row>
    <row r="65" spans="1:27" ht="12" customHeight="1">
      <c r="A65" s="134"/>
      <c r="B65" s="144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</row>
    <row r="66" spans="1:27" ht="12" customHeight="1">
      <c r="A66" s="134"/>
      <c r="B66" s="144" t="s">
        <v>98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</row>
    <row r="67" spans="1:27" ht="12" customHeight="1">
      <c r="A67" s="134"/>
      <c r="B67" s="144" t="s">
        <v>99</v>
      </c>
      <c r="C67" s="145" t="s">
        <v>75</v>
      </c>
      <c r="D67" s="145" t="s">
        <v>76</v>
      </c>
      <c r="E67" s="145" t="s">
        <v>77</v>
      </c>
      <c r="F67" s="145"/>
      <c r="G67" s="145"/>
      <c r="H67" s="145"/>
      <c r="I67" s="145"/>
      <c r="J67" s="145"/>
      <c r="K67" s="145"/>
      <c r="L67" s="145"/>
      <c r="M67" s="145"/>
      <c r="N67" s="145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</row>
    <row r="68" spans="1:27" ht="12" customHeight="1">
      <c r="A68" s="134"/>
      <c r="B68" s="144" t="str">
        <f>Cash_Flow_Statement!G9</f>
        <v>Y1 M6</v>
      </c>
      <c r="C68" s="145">
        <f>Cash_Flow_Statement!G52/1000000</f>
        <v>-0.55981244999999991</v>
      </c>
      <c r="D68" s="145">
        <f>Cash_Flow_Statement!G53/1000000</f>
        <v>-0.55981244999999991</v>
      </c>
      <c r="E68" s="145">
        <f>Cash_Flow_Statement!G54/1000000</f>
        <v>-0.55981244999999991</v>
      </c>
      <c r="F68" s="145"/>
      <c r="G68" s="145"/>
      <c r="H68" s="145"/>
      <c r="I68" s="145"/>
      <c r="J68" s="145"/>
      <c r="K68" s="145"/>
      <c r="L68" s="145"/>
      <c r="M68" s="145"/>
      <c r="N68" s="145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</row>
    <row r="69" spans="1:27" ht="12" customHeight="1">
      <c r="A69" s="134"/>
      <c r="B69" s="144" t="str">
        <f>Cash_Flow_Statement!M9</f>
        <v>Y1 M12</v>
      </c>
      <c r="C69" s="145">
        <f>Cash_Flow_Statement!M52/1000000</f>
        <v>-0.85604442343750009</v>
      </c>
      <c r="D69" s="145">
        <f>Cash_Flow_Statement!M53/1000000</f>
        <v>-0.81747750781249973</v>
      </c>
      <c r="E69" s="145">
        <f>Cash_Flow_Statement!M54/1000000</f>
        <v>-0.76667051249999996</v>
      </c>
      <c r="F69" s="145"/>
      <c r="G69" s="145"/>
      <c r="H69" s="145"/>
      <c r="I69" s="145"/>
      <c r="J69" s="145"/>
      <c r="K69" s="145"/>
      <c r="L69" s="145"/>
      <c r="M69" s="145"/>
      <c r="N69" s="145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</row>
    <row r="70" spans="1:27" ht="12" customHeight="1">
      <c r="A70" s="134"/>
      <c r="B70" s="144" t="str">
        <f>Cash_Flow_Statement!S9</f>
        <v>Y2 M6</v>
      </c>
      <c r="C70" s="145">
        <f>Cash_Flow_Statement!S52/1000000</f>
        <v>-1.2057633726562502</v>
      </c>
      <c r="D70" s="145">
        <f>Cash_Flow_Statement!S53/1000000</f>
        <v>-1.0434397851562496</v>
      </c>
      <c r="E70" s="145">
        <f>Cash_Flow_Statement!S54/1000000</f>
        <v>-0.75960759843749992</v>
      </c>
      <c r="F70" s="145"/>
      <c r="G70" s="145"/>
      <c r="H70" s="145"/>
      <c r="I70" s="145"/>
      <c r="J70" s="145"/>
      <c r="K70" s="145"/>
      <c r="L70" s="145"/>
      <c r="M70" s="145"/>
      <c r="N70" s="145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</row>
    <row r="71" spans="1:27" ht="12" customHeight="1">
      <c r="A71" s="134"/>
      <c r="B71" s="144" t="str">
        <f>Cash_Flow_Statement!Y9</f>
        <v>Y2 M12</v>
      </c>
      <c r="C71" s="145">
        <f>Cash_Flow_Statement!Y52/1000000</f>
        <v>-1.5554823218749996</v>
      </c>
      <c r="D71" s="145">
        <f>Cash_Flow_Statement!Y53/1000000</f>
        <v>-1.2694020625</v>
      </c>
      <c r="E71" s="145">
        <f>Cash_Flow_Statement!Y54/1000000</f>
        <v>-0.75254468437499999</v>
      </c>
      <c r="F71" s="145"/>
      <c r="G71" s="145"/>
      <c r="H71" s="145"/>
      <c r="I71" s="145"/>
      <c r="J71" s="145"/>
      <c r="K71" s="145"/>
      <c r="L71" s="145"/>
      <c r="M71" s="145"/>
      <c r="N71" s="145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</row>
    <row r="72" spans="1:27" ht="12" customHeight="1">
      <c r="A72" s="134"/>
      <c r="B72" s="144" t="str">
        <f>Cash_Flow_Statement!AE9</f>
        <v>Y3 M6</v>
      </c>
      <c r="C72" s="145">
        <f>Cash_Flow_Statement!AE52/1000000</f>
        <v>-1.8472086343749992</v>
      </c>
      <c r="D72" s="145">
        <f>Cash_Flow_Statement!AE53/1000000</f>
        <v>-1.1158858281249999</v>
      </c>
      <c r="E72" s="145">
        <f>Cash_Flow_Statement!AE54/1000000</f>
        <v>0.30384381562500007</v>
      </c>
      <c r="F72" s="145"/>
      <c r="G72" s="145"/>
      <c r="H72" s="145"/>
      <c r="I72" s="145"/>
      <c r="J72" s="145"/>
      <c r="K72" s="145"/>
      <c r="L72" s="145"/>
      <c r="M72" s="145"/>
      <c r="N72" s="145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</row>
    <row r="73" spans="1:27" ht="12" customHeight="1">
      <c r="A73" s="134"/>
      <c r="B73" s="144" t="str">
        <f>Cash_Flow_Statement!AK9</f>
        <v>Y3 M12</v>
      </c>
      <c r="C73" s="145">
        <f>Cash_Flow_Statement!AK52/1000000</f>
        <v>-2.1389349468749992</v>
      </c>
      <c r="D73" s="145">
        <f>Cash_Flow_Statement!AK53/1000000</f>
        <v>-0.96236959374999997</v>
      </c>
      <c r="E73" s="145">
        <f>Cash_Flow_Statement!AK54/1000000</f>
        <v>1.360232315625</v>
      </c>
      <c r="F73" s="145"/>
      <c r="G73" s="145"/>
      <c r="H73" s="145"/>
      <c r="I73" s="145"/>
      <c r="J73" s="145"/>
      <c r="K73" s="145"/>
      <c r="L73" s="145"/>
      <c r="M73" s="145"/>
      <c r="N73" s="145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</row>
    <row r="74" spans="1:27" ht="12" customHeight="1">
      <c r="A74" s="134"/>
      <c r="B74" s="144" t="str">
        <f>Cash_Flow_Statement!AQ9</f>
        <v>Y4 M6</v>
      </c>
      <c r="C74" s="145">
        <f>Cash_Flow_Statement!AQ52/1000000</f>
        <v>-2.2147048296874998</v>
      </c>
      <c r="D74" s="145">
        <f>Cash_Flow_Statement!AQ53/1000000</f>
        <v>0.38490981250000011</v>
      </c>
      <c r="E74" s="145">
        <f>Cash_Flow_Statement!AQ54/1000000</f>
        <v>5.0451440250000008</v>
      </c>
      <c r="F74" s="145"/>
      <c r="G74" s="145"/>
      <c r="H74" s="145"/>
      <c r="I74" s="145"/>
      <c r="J74" s="145"/>
      <c r="K74" s="145"/>
      <c r="L74" s="145"/>
      <c r="M74" s="145"/>
      <c r="N74" s="145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</row>
    <row r="75" spans="1:27" ht="12" customHeight="1">
      <c r="A75" s="134"/>
      <c r="B75" s="144" t="str">
        <f>Cash_Flow_Statement!AW9</f>
        <v>Y4 M12</v>
      </c>
      <c r="C75" s="146">
        <f>Cash_Flow_Statement!AW52/1000000</f>
        <v>-2.2904747125000009</v>
      </c>
      <c r="D75" s="146">
        <f>Cash_Flow_Statement!AW53/1000000</f>
        <v>1.7321892187500001</v>
      </c>
      <c r="E75" s="146">
        <f>Cash_Flow_Statement!AW54/1000000</f>
        <v>8.7300557343749983</v>
      </c>
      <c r="F75" s="150"/>
      <c r="G75" s="145"/>
      <c r="H75" s="145"/>
      <c r="I75" s="145"/>
      <c r="J75" s="145"/>
      <c r="K75" s="145"/>
      <c r="L75" s="145"/>
      <c r="M75" s="145"/>
      <c r="N75" s="145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</row>
    <row r="76" spans="1:27" ht="12" customHeight="1">
      <c r="A76" s="134"/>
      <c r="B76" s="144" t="str">
        <f>Cash_Flow_Statement!BC9</f>
        <v>Y5 M6</v>
      </c>
      <c r="C76" s="146">
        <f>Cash_Flow_Statement!BC52/1000000</f>
        <v>-0.65356064843750072</v>
      </c>
      <c r="D76" s="146">
        <f>Cash_Flow_Statement!BC53/1000000</f>
        <v>6.9761626734375026</v>
      </c>
      <c r="E76" s="146">
        <f>Cash_Flow_Statement!BC54/1000000</f>
        <v>20.273380478124999</v>
      </c>
      <c r="F76" s="150"/>
      <c r="G76" s="145"/>
      <c r="H76" s="145"/>
      <c r="I76" s="145"/>
      <c r="J76" s="145"/>
      <c r="K76" s="145"/>
      <c r="L76" s="145"/>
      <c r="M76" s="145"/>
      <c r="N76" s="145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</row>
    <row r="77" spans="1:27" ht="12" customHeight="1">
      <c r="A77" s="134"/>
      <c r="B77" s="144" t="str">
        <f>Cash_Flow_Statement!BI9</f>
        <v>Y5 M12</v>
      </c>
      <c r="C77" s="146">
        <f>Cash_Flow_Statement!BI52/1000000</f>
        <v>0.98335341562499901</v>
      </c>
      <c r="D77" s="146">
        <f>Cash_Flow_Statement!BI53/1000000</f>
        <v>12.220136128125004</v>
      </c>
      <c r="E77" s="146">
        <f>Cash_Flow_Statement!BI54/1000000</f>
        <v>31.816705221874997</v>
      </c>
      <c r="F77" s="150"/>
      <c r="G77" s="145"/>
      <c r="H77" s="145"/>
      <c r="I77" s="145"/>
      <c r="J77" s="145"/>
      <c r="K77" s="145"/>
      <c r="L77" s="145"/>
      <c r="M77" s="145"/>
      <c r="N77" s="145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</row>
    <row r="78" spans="1:27" ht="12" customHeight="1">
      <c r="A78" s="134"/>
      <c r="B78" s="144"/>
      <c r="C78" s="146"/>
      <c r="D78" s="146"/>
      <c r="E78" s="146"/>
      <c r="F78" s="150"/>
      <c r="G78" s="145"/>
      <c r="H78" s="145"/>
      <c r="I78" s="145"/>
      <c r="J78" s="145"/>
      <c r="K78" s="145"/>
      <c r="L78" s="145"/>
      <c r="M78" s="145"/>
      <c r="N78" s="145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</row>
    <row r="79" spans="1:27" ht="12" customHeight="1">
      <c r="A79" s="134"/>
      <c r="B79" s="144"/>
      <c r="C79" s="146"/>
      <c r="D79" s="146"/>
      <c r="E79" s="146"/>
      <c r="F79" s="150"/>
      <c r="G79" s="145"/>
      <c r="H79" s="145"/>
      <c r="I79" s="145"/>
      <c r="J79" s="145"/>
      <c r="K79" s="145"/>
      <c r="L79" s="145"/>
      <c r="M79" s="145"/>
      <c r="N79" s="145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</row>
    <row r="80" spans="1:27" ht="12" customHeight="1">
      <c r="A80" s="134"/>
      <c r="B80" s="144"/>
      <c r="C80" s="146"/>
      <c r="D80" s="146"/>
      <c r="E80" s="146"/>
      <c r="F80" s="150"/>
      <c r="G80" s="145"/>
      <c r="H80" s="145"/>
      <c r="I80" s="145"/>
      <c r="J80" s="145"/>
      <c r="K80" s="145"/>
      <c r="L80" s="145"/>
      <c r="M80" s="145"/>
      <c r="N80" s="145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</row>
    <row r="81" spans="1:27" ht="12" customHeight="1">
      <c r="A81" s="134"/>
      <c r="B81" s="144"/>
      <c r="C81" s="146"/>
      <c r="D81" s="146"/>
      <c r="E81" s="146"/>
      <c r="F81" s="150"/>
      <c r="G81" s="145"/>
      <c r="H81" s="145"/>
      <c r="I81" s="145"/>
      <c r="J81" s="145"/>
      <c r="K81" s="145"/>
      <c r="L81" s="145"/>
      <c r="M81" s="145"/>
      <c r="N81" s="145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</row>
    <row r="82" spans="1:27" ht="18" customHeight="1">
      <c r="A82" s="134"/>
      <c r="B82" s="134"/>
      <c r="C82" s="146"/>
      <c r="D82" s="146"/>
      <c r="E82" s="146"/>
      <c r="F82" s="150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</row>
    <row r="83" spans="1:27" ht="18" customHeight="1">
      <c r="A83" s="134"/>
      <c r="B83" s="134"/>
      <c r="C83" s="146"/>
      <c r="D83" s="146"/>
      <c r="E83" s="146"/>
      <c r="F83" s="150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</row>
    <row r="84" spans="1:27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</row>
    <row r="85" spans="1:27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</row>
    <row r="86" spans="1:27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</row>
    <row r="87" spans="1:2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</row>
    <row r="88" spans="1:27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</row>
    <row r="89" spans="1:27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</row>
    <row r="90" spans="1:27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</row>
    <row r="91" spans="1:27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</row>
    <row r="92" spans="1:27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</row>
    <row r="93" spans="1:27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</row>
    <row r="94" spans="1:27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</row>
    <row r="95" spans="1:27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</row>
    <row r="96" spans="1:27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</row>
    <row r="97" spans="1:2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</row>
    <row r="98" spans="1:27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</row>
    <row r="99" spans="1:27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</row>
    <row r="100" spans="1:27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</row>
    <row r="101" spans="1:27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</row>
    <row r="102" spans="1:27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</row>
    <row r="103" spans="1:27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</row>
    <row r="104" spans="1:27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</row>
    <row r="105" spans="1:27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</row>
    <row r="106" spans="1:27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</row>
    <row r="107" spans="1:2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</row>
    <row r="110" spans="1:27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 spans="1:27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</row>
    <row r="112" spans="1:27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</row>
    <row r="113" spans="1:27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</row>
    <row r="114" spans="1:27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</row>
    <row r="115" spans="1:27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</row>
    <row r="116" spans="1:27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</row>
    <row r="117" spans="1:2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</row>
    <row r="118" spans="1:27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</row>
    <row r="119" spans="1:27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</row>
    <row r="120" spans="1:27" ht="18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</row>
    <row r="121" spans="1:27" ht="18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</row>
    <row r="122" spans="1:27" ht="18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</row>
    <row r="123" spans="1:27" ht="18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</row>
    <row r="124" spans="1:27" ht="18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</row>
    <row r="125" spans="1:27" ht="18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</row>
  </sheetData>
  <mergeCells count="29">
    <mergeCell ref="B2:P2"/>
    <mergeCell ref="O10:P10"/>
    <mergeCell ref="G11:H11"/>
    <mergeCell ref="K36:O36"/>
    <mergeCell ref="B4:P5"/>
    <mergeCell ref="K35:O35"/>
    <mergeCell ref="C35:G35"/>
    <mergeCell ref="K11:L11"/>
    <mergeCell ref="C10:D10"/>
    <mergeCell ref="G10:H10"/>
    <mergeCell ref="C11:D11"/>
    <mergeCell ref="B6:P7"/>
    <mergeCell ref="G12:H12"/>
    <mergeCell ref="K46:O46"/>
    <mergeCell ref="C12:D12"/>
    <mergeCell ref="K12:L12"/>
    <mergeCell ref="B51:P51"/>
    <mergeCell ref="K43:O43"/>
    <mergeCell ref="K45:O45"/>
    <mergeCell ref="K44:O44"/>
    <mergeCell ref="R9:W9"/>
    <mergeCell ref="C36:G36"/>
    <mergeCell ref="O12:P12"/>
    <mergeCell ref="C17:G17"/>
    <mergeCell ref="K17:O17"/>
    <mergeCell ref="O11:P11"/>
    <mergeCell ref="K10:L10"/>
    <mergeCell ref="C18:G18"/>
    <mergeCell ref="K18:O1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6"/>
  <sheetViews>
    <sheetView showGridLines="0" topLeftCell="A9" workbookViewId="0">
      <selection activeCell="C83" sqref="C83"/>
    </sheetView>
  </sheetViews>
  <sheetFormatPr defaultColWidth="8.6328125" defaultRowHeight="13.5" customHeight="1"/>
  <cols>
    <col min="1" max="1" width="2" customWidth="1"/>
    <col min="2" max="2" width="44" customWidth="1"/>
    <col min="3" max="5" width="13" customWidth="1"/>
    <col min="6" max="6" width="17" customWidth="1"/>
    <col min="7" max="7" width="16.1796875" bestFit="1" customWidth="1"/>
    <col min="8" max="8" width="97.36328125" customWidth="1"/>
  </cols>
  <sheetData>
    <row r="1" spans="2:8" ht="13.5" customHeight="1">
      <c r="H1" s="68"/>
    </row>
    <row r="2" spans="2:8" ht="23.5">
      <c r="B2" s="151" t="s">
        <v>144</v>
      </c>
      <c r="H2" s="68"/>
    </row>
    <row r="3" spans="2:8" ht="13.5" customHeight="1">
      <c r="B3" s="152" t="s">
        <v>145</v>
      </c>
      <c r="H3" s="68"/>
    </row>
    <row r="4" spans="2:8" ht="13.5" customHeight="1">
      <c r="B4" s="153" t="s">
        <v>146</v>
      </c>
      <c r="C4" s="154">
        <v>2</v>
      </c>
      <c r="D4" s="184" t="str">
        <f>CHOOSE($C$4,"LOW","BASE","HIGH")</f>
        <v>BASE</v>
      </c>
      <c r="H4" s="68"/>
    </row>
    <row r="5" spans="2:8" ht="13.5" customHeight="1">
      <c r="H5" s="68"/>
    </row>
    <row r="6" spans="2:8" ht="13.5" customHeight="1">
      <c r="B6" s="155" t="s">
        <v>147</v>
      </c>
      <c r="C6" s="155" t="s">
        <v>148</v>
      </c>
      <c r="D6" s="155" t="s">
        <v>149</v>
      </c>
      <c r="E6" s="155" t="s">
        <v>150</v>
      </c>
      <c r="F6" s="155" t="s">
        <v>151</v>
      </c>
      <c r="G6" s="155" t="s">
        <v>152</v>
      </c>
      <c r="H6" s="156" t="s">
        <v>153</v>
      </c>
    </row>
    <row r="7" spans="2:8" ht="13.5" customHeight="1">
      <c r="B7" s="157" t="s">
        <v>154</v>
      </c>
      <c r="C7" s="158"/>
      <c r="D7" s="158"/>
      <c r="E7" s="158"/>
      <c r="F7" s="158"/>
      <c r="G7" s="158"/>
      <c r="H7" s="159"/>
    </row>
    <row r="8" spans="2:8" ht="13.5" customHeight="1">
      <c r="B8" s="160" t="s">
        <v>155</v>
      </c>
      <c r="C8" s="161"/>
      <c r="D8" s="161"/>
      <c r="E8" s="161"/>
      <c r="F8" s="162">
        <v>1.28</v>
      </c>
      <c r="G8" s="163" t="s">
        <v>156</v>
      </c>
      <c r="H8" s="164" t="s">
        <v>157</v>
      </c>
    </row>
    <row r="9" spans="2:8" ht="13.5" customHeight="1">
      <c r="B9" s="160" t="s">
        <v>158</v>
      </c>
      <c r="C9" s="165"/>
      <c r="D9" s="165"/>
      <c r="E9" s="165"/>
      <c r="F9" s="166">
        <v>12</v>
      </c>
      <c r="G9" s="163" t="s">
        <v>159</v>
      </c>
      <c r="H9" s="164" t="s">
        <v>160</v>
      </c>
    </row>
    <row r="10" spans="2:8" ht="13.5" customHeight="1">
      <c r="B10" s="157" t="s">
        <v>161</v>
      </c>
      <c r="C10" s="158"/>
      <c r="D10" s="158"/>
      <c r="E10" s="158"/>
      <c r="F10" s="158"/>
      <c r="G10" s="158"/>
      <c r="H10" s="159"/>
    </row>
    <row r="11" spans="2:8" ht="13.5" customHeight="1">
      <c r="B11" s="160" t="s">
        <v>162</v>
      </c>
      <c r="C11" s="166">
        <v>60</v>
      </c>
      <c r="D11" s="166">
        <v>180</v>
      </c>
      <c r="E11" s="166">
        <v>400</v>
      </c>
      <c r="F11" s="167">
        <f>CHOOSE($C$4,C11,D11,E11)</f>
        <v>180</v>
      </c>
      <c r="G11" s="163" t="s">
        <v>163</v>
      </c>
      <c r="H11" s="164" t="s">
        <v>164</v>
      </c>
    </row>
    <row r="12" spans="2:8" ht="13.5" customHeight="1">
      <c r="B12" s="160" t="s">
        <v>165</v>
      </c>
      <c r="C12" s="166">
        <v>300</v>
      </c>
      <c r="D12" s="166">
        <v>900</v>
      </c>
      <c r="E12" s="166">
        <v>2200</v>
      </c>
      <c r="F12" s="167">
        <f>CHOOSE($C$4,C12,D12,E12)</f>
        <v>900</v>
      </c>
      <c r="G12" s="163" t="s">
        <v>163</v>
      </c>
      <c r="H12" s="164" t="s">
        <v>166</v>
      </c>
    </row>
    <row r="13" spans="2:8" ht="13.5" customHeight="1">
      <c r="B13" s="160" t="s">
        <v>167</v>
      </c>
      <c r="C13" s="166">
        <v>900</v>
      </c>
      <c r="D13" s="166">
        <v>3000</v>
      </c>
      <c r="E13" s="166">
        <v>8000</v>
      </c>
      <c r="F13" s="167">
        <f>CHOOSE($C$4,C13,D13,E13)</f>
        <v>3000</v>
      </c>
      <c r="G13" s="163" t="s">
        <v>163</v>
      </c>
      <c r="H13" s="164" t="s">
        <v>166</v>
      </c>
    </row>
    <row r="14" spans="2:8" ht="13.5" customHeight="1">
      <c r="B14" s="160" t="s">
        <v>1200</v>
      </c>
      <c r="C14" s="168"/>
      <c r="D14" s="168"/>
      <c r="E14" s="168"/>
      <c r="F14" s="169">
        <v>30000</v>
      </c>
      <c r="G14" s="163" t="s">
        <v>168</v>
      </c>
      <c r="H14" s="164" t="s">
        <v>169</v>
      </c>
    </row>
    <row r="15" spans="2:8" s="198" customFormat="1" ht="13.5" customHeight="1">
      <c r="B15" s="199" t="s">
        <v>170</v>
      </c>
      <c r="C15" s="200"/>
      <c r="D15" s="200"/>
      <c r="E15" s="200"/>
      <c r="F15" s="162">
        <v>0.35</v>
      </c>
      <c r="G15" s="201" t="s">
        <v>171</v>
      </c>
      <c r="H15" s="202" t="s">
        <v>172</v>
      </c>
    </row>
    <row r="16" spans="2:8" ht="13.5" customHeight="1">
      <c r="B16" s="160" t="s">
        <v>173</v>
      </c>
      <c r="C16" s="170"/>
      <c r="D16" s="170"/>
      <c r="E16" s="170"/>
      <c r="F16" s="171">
        <v>2</v>
      </c>
      <c r="G16" s="163" t="s">
        <v>174</v>
      </c>
      <c r="H16" s="164" t="s">
        <v>175</v>
      </c>
    </row>
    <row r="17" spans="2:8" ht="13.5" customHeight="1">
      <c r="B17" s="160" t="s">
        <v>176</v>
      </c>
      <c r="C17" s="166">
        <v>0</v>
      </c>
      <c r="D17" s="166">
        <v>3</v>
      </c>
      <c r="E17" s="166">
        <v>10</v>
      </c>
      <c r="F17" s="167">
        <f>CHOOSE($C$4,C17,D17,E17)</f>
        <v>3</v>
      </c>
      <c r="G17" s="163" t="s">
        <v>177</v>
      </c>
      <c r="H17" s="164" t="s">
        <v>178</v>
      </c>
    </row>
    <row r="18" spans="2:8" ht="13.5" customHeight="1">
      <c r="B18" s="157" t="s">
        <v>179</v>
      </c>
      <c r="C18" s="158"/>
      <c r="D18" s="158"/>
      <c r="E18" s="158"/>
      <c r="F18" s="158"/>
      <c r="G18" s="158"/>
      <c r="H18" s="159"/>
    </row>
    <row r="19" spans="2:8" ht="13.5" customHeight="1">
      <c r="B19" s="160" t="s">
        <v>180</v>
      </c>
      <c r="C19" s="172"/>
      <c r="D19" s="172"/>
      <c r="E19" s="172"/>
      <c r="F19" s="173">
        <v>0.03</v>
      </c>
      <c r="G19" s="163" t="s">
        <v>181</v>
      </c>
      <c r="H19" s="164" t="s">
        <v>182</v>
      </c>
    </row>
    <row r="20" spans="2:8" ht="13.5" customHeight="1">
      <c r="B20" s="160" t="s">
        <v>183</v>
      </c>
      <c r="C20" s="172"/>
      <c r="D20" s="172"/>
      <c r="E20" s="172"/>
      <c r="F20" s="173">
        <v>3.5</v>
      </c>
      <c r="G20" s="163" t="s">
        <v>184</v>
      </c>
      <c r="H20" s="164" t="s">
        <v>185</v>
      </c>
    </row>
    <row r="21" spans="2:8" ht="13.5" customHeight="1">
      <c r="B21" s="160" t="s">
        <v>186</v>
      </c>
      <c r="C21" s="172"/>
      <c r="D21" s="172"/>
      <c r="E21" s="172"/>
      <c r="F21" s="173">
        <v>1.35</v>
      </c>
      <c r="G21" s="163" t="s">
        <v>187</v>
      </c>
      <c r="H21" s="164" t="s">
        <v>188</v>
      </c>
    </row>
    <row r="22" spans="2:8" ht="13.5" customHeight="1">
      <c r="B22" s="160" t="s">
        <v>189</v>
      </c>
      <c r="C22" s="172"/>
      <c r="D22" s="172"/>
      <c r="E22" s="172"/>
      <c r="F22" s="173">
        <v>0.2</v>
      </c>
      <c r="G22" s="163" t="s">
        <v>190</v>
      </c>
      <c r="H22" s="164" t="s">
        <v>191</v>
      </c>
    </row>
    <row r="23" spans="2:8" ht="13.5" customHeight="1">
      <c r="B23" s="160" t="s">
        <v>192</v>
      </c>
      <c r="C23" s="172"/>
      <c r="D23" s="172"/>
      <c r="E23" s="172"/>
      <c r="F23" s="173">
        <v>0.01</v>
      </c>
      <c r="G23" s="163" t="s">
        <v>190</v>
      </c>
      <c r="H23" s="164" t="s">
        <v>193</v>
      </c>
    </row>
    <row r="24" spans="2:8" ht="13.5" customHeight="1">
      <c r="B24" s="160" t="s">
        <v>194</v>
      </c>
      <c r="C24" s="172"/>
      <c r="D24" s="172"/>
      <c r="E24" s="172"/>
      <c r="F24" s="173">
        <v>0.03</v>
      </c>
      <c r="G24" s="163" t="s">
        <v>190</v>
      </c>
      <c r="H24" s="164" t="s">
        <v>195</v>
      </c>
    </row>
    <row r="25" spans="2:8" ht="13.5" customHeight="1">
      <c r="B25" s="157" t="s">
        <v>196</v>
      </c>
      <c r="C25" s="158"/>
      <c r="D25" s="158"/>
      <c r="E25" s="158"/>
      <c r="F25" s="158"/>
      <c r="G25" s="158"/>
      <c r="H25" s="159"/>
    </row>
    <row r="26" spans="2:8" ht="13.5" customHeight="1">
      <c r="B26" s="160" t="s">
        <v>197</v>
      </c>
      <c r="C26" s="168"/>
      <c r="D26" s="168"/>
      <c r="E26" s="168"/>
      <c r="F26" s="174">
        <v>250</v>
      </c>
      <c r="G26" s="163" t="s">
        <v>198</v>
      </c>
      <c r="H26" s="164" t="s">
        <v>199</v>
      </c>
    </row>
    <row r="27" spans="2:8" ht="13.5" customHeight="1">
      <c r="B27" s="160" t="s">
        <v>200</v>
      </c>
      <c r="C27" s="168"/>
      <c r="D27" s="168"/>
      <c r="E27" s="168"/>
      <c r="F27" s="169">
        <v>120</v>
      </c>
      <c r="G27" s="163" t="s">
        <v>198</v>
      </c>
      <c r="H27" s="164" t="s">
        <v>201</v>
      </c>
    </row>
    <row r="28" spans="2:8" ht="13.5" customHeight="1">
      <c r="B28" s="160" t="s">
        <v>202</v>
      </c>
      <c r="C28" s="168"/>
      <c r="D28" s="168"/>
      <c r="E28" s="168"/>
      <c r="F28" s="169">
        <v>150</v>
      </c>
      <c r="G28" s="163" t="s">
        <v>198</v>
      </c>
      <c r="H28" s="164" t="s">
        <v>203</v>
      </c>
    </row>
    <row r="29" spans="2:8" ht="13.5" customHeight="1">
      <c r="B29" s="160" t="s">
        <v>204</v>
      </c>
      <c r="C29" s="168"/>
      <c r="D29" s="168"/>
      <c r="E29" s="168"/>
      <c r="F29" s="169">
        <v>60</v>
      </c>
      <c r="G29" s="163" t="s">
        <v>198</v>
      </c>
      <c r="H29" s="164" t="s">
        <v>205</v>
      </c>
    </row>
    <row r="30" spans="2:8" ht="13.5" customHeight="1">
      <c r="B30" s="160" t="s">
        <v>206</v>
      </c>
      <c r="C30" s="168"/>
      <c r="D30" s="168"/>
      <c r="E30" s="168"/>
      <c r="F30" s="169">
        <v>90</v>
      </c>
      <c r="G30" s="163" t="s">
        <v>198</v>
      </c>
      <c r="H30" s="164" t="s">
        <v>207</v>
      </c>
    </row>
    <row r="31" spans="2:8" ht="13.5" customHeight="1">
      <c r="B31" s="160" t="s">
        <v>208</v>
      </c>
      <c r="C31" s="168"/>
      <c r="D31" s="168"/>
      <c r="E31" s="168"/>
      <c r="F31" s="169">
        <v>80</v>
      </c>
      <c r="G31" s="163" t="s">
        <v>198</v>
      </c>
      <c r="H31" s="164" t="s">
        <v>209</v>
      </c>
    </row>
    <row r="32" spans="2:8" ht="13.5" customHeight="1">
      <c r="B32" s="160" t="s">
        <v>210</v>
      </c>
      <c r="C32" s="168"/>
      <c r="D32" s="168"/>
      <c r="E32" s="168"/>
      <c r="F32" s="169">
        <v>350</v>
      </c>
      <c r="G32" s="163" t="s">
        <v>198</v>
      </c>
      <c r="H32" s="164" t="s">
        <v>211</v>
      </c>
    </row>
    <row r="33" spans="2:8" ht="13.5" customHeight="1">
      <c r="B33" s="160" t="s">
        <v>212</v>
      </c>
      <c r="C33" s="168"/>
      <c r="D33" s="168"/>
      <c r="E33" s="168"/>
      <c r="F33" s="169">
        <v>600</v>
      </c>
      <c r="G33" s="163" t="s">
        <v>198</v>
      </c>
      <c r="H33" s="164" t="s">
        <v>213</v>
      </c>
    </row>
    <row r="34" spans="2:8" ht="13.5" customHeight="1">
      <c r="B34" s="160" t="s">
        <v>214</v>
      </c>
      <c r="C34" s="168"/>
      <c r="D34" s="168"/>
      <c r="E34" s="168"/>
      <c r="F34" s="169">
        <v>1200</v>
      </c>
      <c r="G34" s="163" t="s">
        <v>198</v>
      </c>
      <c r="H34" s="164" t="s">
        <v>215</v>
      </c>
    </row>
    <row r="35" spans="2:8" ht="13.5" customHeight="1">
      <c r="B35" s="160" t="s">
        <v>216</v>
      </c>
      <c r="C35" s="168"/>
      <c r="D35" s="168"/>
      <c r="E35" s="168"/>
      <c r="F35" s="169">
        <v>1500</v>
      </c>
      <c r="G35" s="163" t="s">
        <v>198</v>
      </c>
      <c r="H35" s="164" t="s">
        <v>217</v>
      </c>
    </row>
    <row r="36" spans="2:8" ht="13.5" customHeight="1">
      <c r="B36" s="160" t="s">
        <v>218</v>
      </c>
      <c r="C36" s="168"/>
      <c r="D36" s="168"/>
      <c r="E36" s="168"/>
      <c r="F36" s="169">
        <v>400</v>
      </c>
      <c r="G36" s="163" t="s">
        <v>198</v>
      </c>
      <c r="H36" s="164" t="s">
        <v>219</v>
      </c>
    </row>
    <row r="37" spans="2:8" ht="13.5" customHeight="1">
      <c r="B37" s="160" t="s">
        <v>220</v>
      </c>
      <c r="C37" s="168"/>
      <c r="D37" s="168"/>
      <c r="E37" s="168"/>
      <c r="F37" s="169">
        <v>700</v>
      </c>
      <c r="G37" s="163" t="s">
        <v>198</v>
      </c>
      <c r="H37" s="164" t="s">
        <v>221</v>
      </c>
    </row>
    <row r="38" spans="2:8" ht="13.5" customHeight="1">
      <c r="B38" s="157" t="s">
        <v>222</v>
      </c>
      <c r="C38" s="158"/>
      <c r="D38" s="158"/>
      <c r="E38" s="158"/>
      <c r="F38" s="158"/>
      <c r="G38" s="158"/>
      <c r="H38" s="159"/>
    </row>
    <row r="39" spans="2:8" ht="13.5" customHeight="1">
      <c r="B39" s="160" t="s">
        <v>223</v>
      </c>
      <c r="C39" s="165"/>
      <c r="D39" s="165"/>
      <c r="E39" s="165"/>
      <c r="F39" s="166">
        <v>2</v>
      </c>
      <c r="G39" s="163" t="s">
        <v>224</v>
      </c>
      <c r="H39" s="164" t="s">
        <v>160</v>
      </c>
    </row>
    <row r="40" spans="2:8" ht="13.5" customHeight="1">
      <c r="B40" s="160" t="s">
        <v>225</v>
      </c>
      <c r="C40" s="165"/>
      <c r="D40" s="165"/>
      <c r="E40" s="165"/>
      <c r="F40" s="166">
        <v>2</v>
      </c>
      <c r="G40" s="163" t="s">
        <v>226</v>
      </c>
      <c r="H40" s="164" t="s">
        <v>227</v>
      </c>
    </row>
    <row r="41" spans="2:8" ht="13.5" customHeight="1">
      <c r="B41" s="160" t="s">
        <v>228</v>
      </c>
      <c r="C41" s="165"/>
      <c r="D41" s="165"/>
      <c r="E41" s="165"/>
      <c r="F41" s="166">
        <v>1</v>
      </c>
      <c r="G41" s="163" t="s">
        <v>226</v>
      </c>
      <c r="H41" s="164" t="s">
        <v>229</v>
      </c>
    </row>
    <row r="42" spans="2:8" ht="13.5" customHeight="1">
      <c r="B42" s="160" t="s">
        <v>230</v>
      </c>
      <c r="C42" s="165"/>
      <c r="D42" s="165"/>
      <c r="E42" s="165"/>
      <c r="F42" s="166">
        <v>1</v>
      </c>
      <c r="G42" s="163" t="s">
        <v>226</v>
      </c>
      <c r="H42" s="164" t="s">
        <v>231</v>
      </c>
    </row>
    <row r="43" spans="2:8" ht="13.5" customHeight="1">
      <c r="B43" s="157" t="s">
        <v>232</v>
      </c>
      <c r="C43" s="158"/>
      <c r="D43" s="158"/>
      <c r="E43" s="158"/>
      <c r="F43" s="158"/>
      <c r="G43" s="158"/>
      <c r="H43" s="159"/>
    </row>
    <row r="44" spans="2:8" ht="13.5" customHeight="1">
      <c r="B44" s="160" t="s">
        <v>233</v>
      </c>
      <c r="C44" s="168"/>
      <c r="D44" s="168"/>
      <c r="E44" s="168"/>
      <c r="F44" s="175">
        <v>45000</v>
      </c>
      <c r="G44" s="163" t="s">
        <v>234</v>
      </c>
      <c r="H44" s="164" t="s">
        <v>235</v>
      </c>
    </row>
    <row r="45" spans="2:8" ht="13.5" customHeight="1">
      <c r="B45" s="160" t="s">
        <v>236</v>
      </c>
      <c r="C45" s="168"/>
      <c r="D45" s="168"/>
      <c r="E45" s="168"/>
      <c r="F45" s="175">
        <v>70000</v>
      </c>
      <c r="G45" s="163" t="s">
        <v>234</v>
      </c>
      <c r="H45" s="164" t="s">
        <v>237</v>
      </c>
    </row>
    <row r="46" spans="2:8" ht="13.5" customHeight="1">
      <c r="B46" s="160" t="s">
        <v>238</v>
      </c>
      <c r="C46" s="168"/>
      <c r="D46" s="168"/>
      <c r="E46" s="168"/>
      <c r="F46" s="175">
        <v>60000</v>
      </c>
      <c r="G46" s="163" t="s">
        <v>234</v>
      </c>
      <c r="H46" s="164" t="s">
        <v>239</v>
      </c>
    </row>
    <row r="47" spans="2:8" ht="13.5" customHeight="1">
      <c r="B47" s="160" t="s">
        <v>240</v>
      </c>
      <c r="C47" s="168"/>
      <c r="D47" s="168"/>
      <c r="E47" s="168"/>
      <c r="F47" s="175">
        <v>50000</v>
      </c>
      <c r="G47" s="163" t="s">
        <v>234</v>
      </c>
      <c r="H47" s="164" t="s">
        <v>231</v>
      </c>
    </row>
    <row r="48" spans="2:8" ht="13.5" customHeight="1">
      <c r="B48" s="160" t="s">
        <v>241</v>
      </c>
      <c r="C48" s="161"/>
      <c r="D48" s="161"/>
      <c r="E48" s="161"/>
      <c r="F48" s="162">
        <v>0.15</v>
      </c>
      <c r="G48" s="163" t="s">
        <v>242</v>
      </c>
      <c r="H48" s="164" t="s">
        <v>243</v>
      </c>
    </row>
    <row r="49" spans="1:8" ht="13.5" customHeight="1">
      <c r="B49" s="160" t="s">
        <v>244</v>
      </c>
      <c r="C49" s="168"/>
      <c r="D49" s="168"/>
      <c r="E49" s="168"/>
      <c r="F49" s="175">
        <v>5000</v>
      </c>
      <c r="G49" s="163" t="s">
        <v>234</v>
      </c>
      <c r="H49" s="164" t="s">
        <v>245</v>
      </c>
    </row>
    <row r="50" spans="1:8" ht="13.5" customHeight="1">
      <c r="B50" s="160" t="s">
        <v>246</v>
      </c>
      <c r="C50" s="161"/>
      <c r="D50" s="161"/>
      <c r="E50" s="161"/>
      <c r="F50" s="162">
        <v>0.04</v>
      </c>
      <c r="G50" s="163" t="s">
        <v>247</v>
      </c>
      <c r="H50" s="164" t="s">
        <v>248</v>
      </c>
    </row>
    <row r="51" spans="1:8" ht="13.5" customHeight="1">
      <c r="B51" s="160" t="s">
        <v>249</v>
      </c>
      <c r="C51" s="161"/>
      <c r="D51" s="161"/>
      <c r="E51" s="161"/>
      <c r="F51" s="162">
        <v>0.03</v>
      </c>
      <c r="G51" s="163" t="s">
        <v>247</v>
      </c>
      <c r="H51" s="164" t="s">
        <v>250</v>
      </c>
    </row>
    <row r="52" spans="1:8" ht="13.5" customHeight="1">
      <c r="B52" s="157" t="s">
        <v>251</v>
      </c>
      <c r="C52" s="158"/>
      <c r="D52" s="158"/>
      <c r="E52" s="158"/>
      <c r="F52" s="158"/>
      <c r="G52" s="158"/>
      <c r="H52" s="159"/>
    </row>
    <row r="53" spans="1:8" ht="13.5" customHeight="1">
      <c r="B53" s="160" t="s">
        <v>252</v>
      </c>
      <c r="C53" s="161"/>
      <c r="D53" s="161"/>
      <c r="E53" s="161"/>
      <c r="F53" s="175">
        <v>900</v>
      </c>
      <c r="G53" s="163" t="s">
        <v>253</v>
      </c>
      <c r="H53" s="164" t="s">
        <v>254</v>
      </c>
    </row>
    <row r="54" spans="1:8" ht="13.5" customHeight="1">
      <c r="B54" s="160" t="s">
        <v>255</v>
      </c>
      <c r="C54" s="161"/>
      <c r="D54" s="161"/>
      <c r="E54" s="161"/>
      <c r="F54" s="175">
        <v>600</v>
      </c>
      <c r="G54" s="163" t="s">
        <v>253</v>
      </c>
      <c r="H54" s="164" t="s">
        <v>231</v>
      </c>
    </row>
    <row r="55" spans="1:8" ht="13.5" customHeight="1">
      <c r="B55" s="160" t="s">
        <v>256</v>
      </c>
      <c r="C55" s="161"/>
      <c r="D55" s="161"/>
      <c r="E55" s="161"/>
      <c r="F55" s="175">
        <v>900</v>
      </c>
      <c r="G55" s="163" t="s">
        <v>253</v>
      </c>
      <c r="H55" s="164" t="s">
        <v>257</v>
      </c>
    </row>
    <row r="56" spans="1:8" ht="13.5" customHeight="1">
      <c r="B56" s="160" t="s">
        <v>258</v>
      </c>
      <c r="C56" s="161"/>
      <c r="D56" s="161"/>
      <c r="E56" s="161"/>
      <c r="F56" s="175">
        <v>500</v>
      </c>
      <c r="G56" s="163" t="s">
        <v>253</v>
      </c>
      <c r="H56" s="164" t="s">
        <v>231</v>
      </c>
    </row>
    <row r="57" spans="1:8" ht="13.5" customHeight="1">
      <c r="A57" s="59"/>
      <c r="B57" s="157" t="s">
        <v>259</v>
      </c>
      <c r="C57" s="158"/>
      <c r="D57" s="158"/>
      <c r="E57" s="158"/>
      <c r="F57" s="158"/>
      <c r="G57" s="158"/>
      <c r="H57" s="159"/>
    </row>
    <row r="58" spans="1:8" ht="13.5" customHeight="1">
      <c r="B58" s="160" t="s">
        <v>260</v>
      </c>
      <c r="C58" s="161"/>
      <c r="D58" s="161"/>
      <c r="E58" s="161"/>
      <c r="F58" s="162">
        <v>0.3</v>
      </c>
      <c r="G58" s="163" t="s">
        <v>261</v>
      </c>
      <c r="H58" s="68" t="s">
        <v>262</v>
      </c>
    </row>
    <row r="59" spans="1:8" ht="13.5" customHeight="1">
      <c r="B59" s="160" t="s">
        <v>263</v>
      </c>
      <c r="C59" s="165"/>
      <c r="D59" s="165"/>
      <c r="E59" s="165"/>
      <c r="F59" s="166">
        <v>6</v>
      </c>
      <c r="G59" s="163" t="s">
        <v>159</v>
      </c>
      <c r="H59" s="68" t="s">
        <v>264</v>
      </c>
    </row>
    <row r="60" spans="1:8" ht="13.5" customHeight="1">
      <c r="B60" s="160" t="s">
        <v>265</v>
      </c>
      <c r="C60" s="177"/>
      <c r="D60" s="177"/>
      <c r="E60" s="177"/>
      <c r="F60" s="178">
        <v>10500</v>
      </c>
      <c r="G60" s="163" t="s">
        <v>266</v>
      </c>
      <c r="H60" s="68" t="s">
        <v>267</v>
      </c>
    </row>
    <row r="61" spans="1:8" ht="13.5" customHeight="1">
      <c r="B61" s="160" t="s">
        <v>268</v>
      </c>
      <c r="C61" s="177"/>
      <c r="D61" s="177"/>
      <c r="E61" s="177"/>
      <c r="F61" s="178">
        <v>90000</v>
      </c>
      <c r="G61" s="163" t="s">
        <v>269</v>
      </c>
      <c r="H61" s="68" t="s">
        <v>270</v>
      </c>
    </row>
    <row r="62" spans="1:8" ht="13.5" customHeight="1">
      <c r="B62" s="160" t="s">
        <v>271</v>
      </c>
      <c r="C62" s="161"/>
      <c r="D62" s="161"/>
      <c r="E62" s="161"/>
      <c r="F62" s="162">
        <v>0.5</v>
      </c>
      <c r="G62" s="163" t="s">
        <v>272</v>
      </c>
      <c r="H62" s="179" t="s">
        <v>273</v>
      </c>
    </row>
    <row r="63" spans="1:8" ht="13.5" customHeight="1">
      <c r="B63" s="157" t="s">
        <v>274</v>
      </c>
      <c r="C63" s="158"/>
      <c r="D63" s="158"/>
      <c r="E63" s="158"/>
      <c r="F63" s="158"/>
      <c r="G63" s="158"/>
      <c r="H63" s="159"/>
    </row>
    <row r="64" spans="1:8" ht="13.5" customHeight="1">
      <c r="B64" s="160" t="s">
        <v>275</v>
      </c>
      <c r="C64" s="162">
        <v>0.05</v>
      </c>
      <c r="D64" s="162">
        <v>0.15</v>
      </c>
      <c r="E64" s="162">
        <v>0.3</v>
      </c>
      <c r="F64" s="180">
        <f t="shared" ref="F64:F72" si="0">CHOOSE($C$4,C64,D64,E64)</f>
        <v>0.15</v>
      </c>
      <c r="G64" s="163" t="s">
        <v>276</v>
      </c>
      <c r="H64" s="68" t="s">
        <v>277</v>
      </c>
    </row>
    <row r="65" spans="2:8" ht="13.5" customHeight="1">
      <c r="B65" s="160" t="s">
        <v>278</v>
      </c>
      <c r="C65" s="162">
        <v>0.25</v>
      </c>
      <c r="D65" s="162">
        <v>0.45</v>
      </c>
      <c r="E65" s="162">
        <v>0.5</v>
      </c>
      <c r="F65" s="180">
        <f t="shared" si="0"/>
        <v>0.45</v>
      </c>
      <c r="G65" s="163" t="s">
        <v>276</v>
      </c>
      <c r="H65" s="68" t="s">
        <v>279</v>
      </c>
    </row>
    <row r="66" spans="2:8" ht="13.5" customHeight="1">
      <c r="B66" s="160" t="s">
        <v>280</v>
      </c>
      <c r="C66" s="162">
        <v>0.7</v>
      </c>
      <c r="D66" s="162">
        <v>0.4</v>
      </c>
      <c r="E66" s="162">
        <v>0.2</v>
      </c>
      <c r="F66" s="180">
        <f t="shared" si="0"/>
        <v>0.4</v>
      </c>
      <c r="G66" s="163" t="s">
        <v>276</v>
      </c>
      <c r="H66" s="68" t="s">
        <v>281</v>
      </c>
    </row>
    <row r="67" spans="2:8" ht="13.5" customHeight="1">
      <c r="B67" s="160" t="s">
        <v>282</v>
      </c>
      <c r="C67" s="162">
        <v>0.1</v>
      </c>
      <c r="D67" s="162">
        <v>0.3</v>
      </c>
      <c r="E67" s="162">
        <v>0.45</v>
      </c>
      <c r="F67" s="180">
        <f t="shared" si="0"/>
        <v>0.3</v>
      </c>
      <c r="G67" s="163" t="s">
        <v>276</v>
      </c>
      <c r="H67" s="68" t="s">
        <v>283</v>
      </c>
    </row>
    <row r="68" spans="2:8" ht="13.5" customHeight="1">
      <c r="B68" s="160" t="s">
        <v>284</v>
      </c>
      <c r="C68" s="162">
        <v>0.35</v>
      </c>
      <c r="D68" s="162">
        <v>0.45</v>
      </c>
      <c r="E68" s="162">
        <v>0.45</v>
      </c>
      <c r="F68" s="180">
        <f t="shared" si="0"/>
        <v>0.45</v>
      </c>
      <c r="G68" s="163" t="s">
        <v>276</v>
      </c>
      <c r="H68" s="68" t="s">
        <v>285</v>
      </c>
    </row>
    <row r="69" spans="2:8" ht="13.5" customHeight="1">
      <c r="B69" s="160" t="s">
        <v>286</v>
      </c>
      <c r="C69" s="162">
        <v>0.55000000000000004</v>
      </c>
      <c r="D69" s="162">
        <v>0.25</v>
      </c>
      <c r="E69" s="162">
        <v>0.1</v>
      </c>
      <c r="F69" s="180">
        <f t="shared" si="0"/>
        <v>0.25</v>
      </c>
      <c r="G69" s="163" t="s">
        <v>276</v>
      </c>
      <c r="H69" s="68" t="s">
        <v>287</v>
      </c>
    </row>
    <row r="70" spans="2:8" ht="13.5" customHeight="1">
      <c r="B70" s="160" t="s">
        <v>288</v>
      </c>
      <c r="C70" s="162">
        <v>0.2</v>
      </c>
      <c r="D70" s="162">
        <v>0.45</v>
      </c>
      <c r="E70" s="162">
        <v>0.65</v>
      </c>
      <c r="F70" s="180">
        <f t="shared" si="0"/>
        <v>0.45</v>
      </c>
      <c r="G70" s="163" t="s">
        <v>276</v>
      </c>
      <c r="H70" s="68" t="s">
        <v>289</v>
      </c>
    </row>
    <row r="71" spans="2:8" ht="13.5" customHeight="1">
      <c r="B71" s="160" t="s">
        <v>290</v>
      </c>
      <c r="C71" s="162">
        <v>0.4</v>
      </c>
      <c r="D71" s="162">
        <v>0.4</v>
      </c>
      <c r="E71" s="162">
        <v>0.3</v>
      </c>
      <c r="F71" s="180">
        <f t="shared" si="0"/>
        <v>0.4</v>
      </c>
      <c r="G71" s="163" t="s">
        <v>276</v>
      </c>
      <c r="H71" s="68" t="s">
        <v>291</v>
      </c>
    </row>
    <row r="72" spans="2:8" ht="13.5" customHeight="1">
      <c r="B72" s="217" t="s">
        <v>292</v>
      </c>
      <c r="C72" s="218">
        <v>0.4</v>
      </c>
      <c r="D72" s="218">
        <v>0.15</v>
      </c>
      <c r="E72" s="218">
        <v>0.05</v>
      </c>
      <c r="F72" s="219">
        <f t="shared" si="0"/>
        <v>0.15</v>
      </c>
      <c r="G72" s="163" t="s">
        <v>276</v>
      </c>
      <c r="H72" s="68" t="s">
        <v>293</v>
      </c>
    </row>
    <row r="73" spans="2:8" ht="13.5" customHeight="1">
      <c r="B73" s="220" t="s">
        <v>294</v>
      </c>
      <c r="C73" s="221"/>
      <c r="D73" s="221"/>
      <c r="E73" s="221"/>
      <c r="F73" s="222">
        <v>6.0000000000000001E-3</v>
      </c>
      <c r="G73" s="163" t="s">
        <v>295</v>
      </c>
      <c r="H73" s="68" t="s">
        <v>296</v>
      </c>
    </row>
    <row r="74" spans="2:8" ht="13.5" customHeight="1">
      <c r="B74" s="223" t="s">
        <v>297</v>
      </c>
      <c r="C74" s="224"/>
      <c r="D74" s="224"/>
      <c r="E74" s="224"/>
      <c r="F74" s="225">
        <v>8.5000000000000006E-3</v>
      </c>
      <c r="G74" s="163" t="s">
        <v>295</v>
      </c>
      <c r="H74" s="68" t="s">
        <v>298</v>
      </c>
    </row>
    <row r="75" spans="2:8" ht="13.5" customHeight="1">
      <c r="B75" s="226" t="s">
        <v>299</v>
      </c>
      <c r="C75" s="227"/>
      <c r="D75" s="227"/>
      <c r="E75" s="227"/>
      <c r="F75" s="228">
        <v>1.4999999999999999E-2</v>
      </c>
      <c r="G75" s="163" t="s">
        <v>295</v>
      </c>
      <c r="H75" s="68" t="s">
        <v>300</v>
      </c>
    </row>
    <row r="76" spans="2:8" ht="13.5" customHeight="1">
      <c r="B76" s="160" t="s">
        <v>301</v>
      </c>
      <c r="C76" s="177"/>
      <c r="D76" s="177"/>
      <c r="E76" s="177"/>
      <c r="F76" s="178">
        <v>150</v>
      </c>
      <c r="G76" s="163" t="s">
        <v>302</v>
      </c>
      <c r="H76" s="68" t="s">
        <v>303</v>
      </c>
    </row>
    <row r="77" spans="2:8" ht="13.5" customHeight="1">
      <c r="B77" s="160" t="s">
        <v>304</v>
      </c>
      <c r="C77" s="177"/>
      <c r="D77" s="177"/>
      <c r="E77" s="177"/>
      <c r="F77" s="178">
        <v>250</v>
      </c>
      <c r="G77" s="163" t="s">
        <v>302</v>
      </c>
      <c r="H77" s="68" t="s">
        <v>303</v>
      </c>
    </row>
    <row r="78" spans="2:8" ht="13.5" customHeight="1">
      <c r="B78" s="160" t="s">
        <v>305</v>
      </c>
      <c r="C78" s="177"/>
      <c r="D78" s="177"/>
      <c r="E78" s="177"/>
      <c r="F78" s="178">
        <v>500</v>
      </c>
      <c r="G78" s="163" t="s">
        <v>302</v>
      </c>
      <c r="H78" s="68" t="s">
        <v>303</v>
      </c>
    </row>
    <row r="79" spans="2:8" ht="13.5" customHeight="1">
      <c r="B79" s="160" t="s">
        <v>306</v>
      </c>
      <c r="C79" s="177"/>
      <c r="D79" s="177"/>
      <c r="E79" s="177"/>
      <c r="F79" s="178">
        <v>25</v>
      </c>
      <c r="G79" s="163" t="s">
        <v>302</v>
      </c>
      <c r="H79" s="68" t="s">
        <v>307</v>
      </c>
    </row>
    <row r="80" spans="2:8" ht="13.5" customHeight="1">
      <c r="B80" s="160" t="s">
        <v>308</v>
      </c>
      <c r="C80" s="177"/>
      <c r="D80" s="177"/>
      <c r="E80" s="177"/>
      <c r="F80" s="178">
        <v>90</v>
      </c>
      <c r="G80" s="163" t="s">
        <v>302</v>
      </c>
      <c r="H80" s="68" t="s">
        <v>309</v>
      </c>
    </row>
    <row r="81" spans="2:8" ht="13.5" customHeight="1">
      <c r="B81" s="160" t="s">
        <v>310</v>
      </c>
      <c r="C81" s="177"/>
      <c r="D81" s="177"/>
      <c r="E81" s="177"/>
      <c r="F81" s="178">
        <v>300</v>
      </c>
      <c r="G81" s="163" t="s">
        <v>302</v>
      </c>
      <c r="H81" s="68" t="s">
        <v>311</v>
      </c>
    </row>
    <row r="82" spans="2:8" ht="13.5" customHeight="1">
      <c r="B82" s="160" t="s">
        <v>312</v>
      </c>
      <c r="C82" s="177"/>
      <c r="D82" s="177"/>
      <c r="E82" s="177"/>
      <c r="F82" s="178">
        <v>100</v>
      </c>
      <c r="G82" s="163" t="s">
        <v>313</v>
      </c>
      <c r="H82" s="68" t="s">
        <v>314</v>
      </c>
    </row>
    <row r="83" spans="2:8" ht="13.5" customHeight="1">
      <c r="B83" s="160" t="s">
        <v>315</v>
      </c>
      <c r="C83" s="177"/>
      <c r="D83" s="177"/>
      <c r="E83" s="177"/>
      <c r="F83" s="178">
        <v>200</v>
      </c>
      <c r="G83" s="163" t="s">
        <v>313</v>
      </c>
      <c r="H83" s="68" t="s">
        <v>314</v>
      </c>
    </row>
    <row r="84" spans="2:8" ht="13.5" customHeight="1">
      <c r="B84" s="160" t="s">
        <v>316</v>
      </c>
      <c r="C84" s="177"/>
      <c r="D84" s="177"/>
      <c r="E84" s="177"/>
      <c r="F84" s="178">
        <v>500</v>
      </c>
      <c r="G84" s="163" t="s">
        <v>313</v>
      </c>
      <c r="H84" s="68" t="s">
        <v>317</v>
      </c>
    </row>
    <row r="85" spans="2:8" ht="13.5" customHeight="1">
      <c r="B85" s="160" t="s">
        <v>318</v>
      </c>
      <c r="C85" s="177"/>
      <c r="D85" s="177"/>
      <c r="E85" s="177"/>
      <c r="F85" s="178">
        <v>3</v>
      </c>
      <c r="G85" s="163" t="s">
        <v>302</v>
      </c>
      <c r="H85" s="68" t="s">
        <v>319</v>
      </c>
    </row>
    <row r="86" spans="2:8" ht="13.5" customHeight="1">
      <c r="B86" s="160" t="s">
        <v>320</v>
      </c>
      <c r="C86" s="177"/>
      <c r="D86" s="177"/>
      <c r="E86" s="177"/>
      <c r="F86" s="178">
        <v>10</v>
      </c>
      <c r="G86" s="163" t="s">
        <v>302</v>
      </c>
      <c r="H86" s="68" t="s">
        <v>321</v>
      </c>
    </row>
    <row r="87" spans="2:8" ht="13.5" customHeight="1">
      <c r="B87" s="160" t="s">
        <v>322</v>
      </c>
      <c r="C87" s="177"/>
      <c r="D87" s="177"/>
      <c r="E87" s="177"/>
      <c r="F87" s="178">
        <v>150</v>
      </c>
      <c r="G87" s="163" t="s">
        <v>302</v>
      </c>
      <c r="H87" s="68" t="s">
        <v>323</v>
      </c>
    </row>
    <row r="88" spans="2:8" ht="13.5" customHeight="1">
      <c r="B88" s="160" t="s">
        <v>324</v>
      </c>
      <c r="C88" s="177"/>
      <c r="D88" s="177"/>
      <c r="E88" s="177"/>
      <c r="F88" s="178">
        <v>3</v>
      </c>
      <c r="G88" s="163" t="s">
        <v>302</v>
      </c>
      <c r="H88" s="68" t="s">
        <v>325</v>
      </c>
    </row>
    <row r="89" spans="2:8" ht="13.5" customHeight="1">
      <c r="B89" s="160" t="s">
        <v>326</v>
      </c>
      <c r="C89" s="177"/>
      <c r="D89" s="177"/>
      <c r="E89" s="177"/>
      <c r="F89" s="178">
        <v>20</v>
      </c>
      <c r="G89" s="163" t="s">
        <v>302</v>
      </c>
      <c r="H89" s="68" t="s">
        <v>327</v>
      </c>
    </row>
    <row r="90" spans="2:8" ht="13.5" customHeight="1">
      <c r="B90" s="160" t="s">
        <v>328</v>
      </c>
      <c r="C90" s="177"/>
      <c r="D90" s="177"/>
      <c r="E90" s="177"/>
      <c r="F90" s="178">
        <v>120</v>
      </c>
      <c r="G90" s="163" t="s">
        <v>302</v>
      </c>
      <c r="H90" s="68" t="s">
        <v>329</v>
      </c>
    </row>
    <row r="91" spans="2:8" ht="13.5" customHeight="1">
      <c r="B91" s="160" t="s">
        <v>330</v>
      </c>
      <c r="C91" s="177"/>
      <c r="D91" s="177"/>
      <c r="E91" s="177"/>
      <c r="F91" s="178">
        <v>2</v>
      </c>
      <c r="G91" s="163" t="s">
        <v>302</v>
      </c>
      <c r="H91" s="68" t="s">
        <v>331</v>
      </c>
    </row>
    <row r="92" spans="2:8" ht="13.5" customHeight="1">
      <c r="B92" s="160" t="s">
        <v>332</v>
      </c>
      <c r="C92" s="177"/>
      <c r="D92" s="177"/>
      <c r="E92" s="177"/>
      <c r="F92" s="178">
        <v>6</v>
      </c>
      <c r="G92" s="163" t="s">
        <v>302</v>
      </c>
      <c r="H92" s="68" t="s">
        <v>333</v>
      </c>
    </row>
    <row r="93" spans="2:8" ht="13.5" customHeight="1">
      <c r="B93" s="160" t="s">
        <v>334</v>
      </c>
      <c r="C93" s="177"/>
      <c r="D93" s="177"/>
      <c r="E93" s="177"/>
      <c r="F93" s="178">
        <v>20</v>
      </c>
      <c r="G93" s="163" t="s">
        <v>302</v>
      </c>
      <c r="H93" s="68" t="s">
        <v>335</v>
      </c>
    </row>
    <row r="94" spans="2:8" ht="13.5" customHeight="1">
      <c r="B94" s="160" t="s">
        <v>336</v>
      </c>
      <c r="C94" s="161"/>
      <c r="D94" s="161"/>
      <c r="E94" s="161"/>
      <c r="F94" s="162">
        <v>0.04</v>
      </c>
      <c r="G94" s="163" t="s">
        <v>276</v>
      </c>
      <c r="H94" s="68" t="s">
        <v>337</v>
      </c>
    </row>
    <row r="95" spans="2:8" ht="13.5" customHeight="1">
      <c r="B95" s="160" t="s">
        <v>338</v>
      </c>
      <c r="C95" s="161"/>
      <c r="D95" s="161"/>
      <c r="E95" s="161"/>
      <c r="F95" s="162">
        <v>0.1</v>
      </c>
      <c r="G95" s="163" t="s">
        <v>276</v>
      </c>
      <c r="H95" s="68" t="s">
        <v>339</v>
      </c>
    </row>
    <row r="96" spans="2:8" ht="13.5" customHeight="1">
      <c r="B96" s="160" t="s">
        <v>340</v>
      </c>
      <c r="C96" s="161"/>
      <c r="D96" s="161"/>
      <c r="E96" s="161"/>
      <c r="F96" s="162">
        <v>0.2</v>
      </c>
      <c r="G96" s="163" t="s">
        <v>276</v>
      </c>
      <c r="H96" s="68" t="s">
        <v>341</v>
      </c>
    </row>
    <row r="97" spans="2:8" ht="13.5" customHeight="1">
      <c r="B97" s="160" t="s">
        <v>342</v>
      </c>
      <c r="C97" s="177"/>
      <c r="D97" s="177"/>
      <c r="E97" s="177"/>
      <c r="F97" s="178">
        <v>60</v>
      </c>
      <c r="G97" s="163" t="s">
        <v>313</v>
      </c>
      <c r="H97" s="68" t="s">
        <v>343</v>
      </c>
    </row>
    <row r="98" spans="2:8" ht="13.5" customHeight="1">
      <c r="B98" s="160" t="s">
        <v>344</v>
      </c>
      <c r="C98" s="177"/>
      <c r="D98" s="177"/>
      <c r="E98" s="177"/>
      <c r="F98" s="178">
        <v>120</v>
      </c>
      <c r="G98" s="163" t="s">
        <v>313</v>
      </c>
      <c r="H98" s="68" t="s">
        <v>343</v>
      </c>
    </row>
    <row r="99" spans="2:8" ht="13.5" customHeight="1">
      <c r="B99" s="160" t="s">
        <v>345</v>
      </c>
      <c r="C99" s="177"/>
      <c r="D99" s="177"/>
      <c r="E99" s="177"/>
      <c r="F99" s="178">
        <v>350</v>
      </c>
      <c r="G99" s="163" t="s">
        <v>313</v>
      </c>
      <c r="H99" s="68" t="s">
        <v>343</v>
      </c>
    </row>
    <row r="100" spans="2:8" ht="13.5" customHeight="1">
      <c r="B100" s="160" t="s">
        <v>346</v>
      </c>
      <c r="C100" s="176"/>
      <c r="D100" s="176"/>
      <c r="E100" s="176"/>
      <c r="F100" s="181">
        <v>1</v>
      </c>
      <c r="G100" s="163" t="s">
        <v>347</v>
      </c>
      <c r="H100" s="68" t="s">
        <v>348</v>
      </c>
    </row>
    <row r="101" spans="2:8" ht="13.5" customHeight="1">
      <c r="B101" s="160" t="s">
        <v>349</v>
      </c>
      <c r="C101" s="176"/>
      <c r="D101" s="176"/>
      <c r="E101" s="176"/>
      <c r="F101" s="181">
        <v>3</v>
      </c>
      <c r="G101" s="163" t="s">
        <v>347</v>
      </c>
      <c r="H101" s="68" t="s">
        <v>348</v>
      </c>
    </row>
    <row r="102" spans="2:8" ht="13.5" customHeight="1">
      <c r="B102" s="160" t="s">
        <v>350</v>
      </c>
      <c r="C102" s="176"/>
      <c r="D102" s="176"/>
      <c r="E102" s="176"/>
      <c r="F102" s="181">
        <v>5</v>
      </c>
      <c r="G102" s="163" t="s">
        <v>347</v>
      </c>
      <c r="H102" s="68" t="s">
        <v>348</v>
      </c>
    </row>
    <row r="103" spans="2:8" ht="13.5" customHeight="1">
      <c r="B103" s="160" t="s">
        <v>351</v>
      </c>
      <c r="C103" s="176"/>
      <c r="D103" s="176"/>
      <c r="E103" s="176"/>
      <c r="F103" s="181">
        <v>0.05</v>
      </c>
      <c r="G103" s="163" t="s">
        <v>352</v>
      </c>
      <c r="H103" s="68" t="s">
        <v>353</v>
      </c>
    </row>
    <row r="104" spans="2:8" ht="13.5" customHeight="1">
      <c r="B104" s="160" t="s">
        <v>354</v>
      </c>
      <c r="C104" s="176"/>
      <c r="D104" s="176"/>
      <c r="E104" s="176"/>
      <c r="F104" s="181">
        <v>0.5</v>
      </c>
      <c r="G104" s="163" t="s">
        <v>352</v>
      </c>
      <c r="H104" s="68" t="s">
        <v>355</v>
      </c>
    </row>
    <row r="105" spans="2:8" ht="13.5" customHeight="1">
      <c r="B105" s="160" t="s">
        <v>356</v>
      </c>
      <c r="C105" s="176"/>
      <c r="D105" s="176"/>
      <c r="E105" s="176"/>
      <c r="F105" s="181">
        <v>7</v>
      </c>
      <c r="G105" s="163" t="s">
        <v>352</v>
      </c>
      <c r="H105" s="68" t="s">
        <v>357</v>
      </c>
    </row>
    <row r="106" spans="2:8" ht="13.5" customHeight="1">
      <c r="B106" s="160" t="s">
        <v>358</v>
      </c>
      <c r="C106" s="176"/>
      <c r="D106" s="176"/>
      <c r="E106" s="176"/>
      <c r="F106" s="181">
        <v>3</v>
      </c>
      <c r="G106" s="163" t="s">
        <v>359</v>
      </c>
      <c r="H106" s="68" t="s">
        <v>360</v>
      </c>
    </row>
    <row r="107" spans="2:8" ht="13.5" customHeight="1">
      <c r="B107" s="160" t="s">
        <v>361</v>
      </c>
      <c r="C107" s="176"/>
      <c r="D107" s="176"/>
      <c r="E107" s="176"/>
      <c r="F107" s="181">
        <v>6</v>
      </c>
      <c r="G107" s="163" t="s">
        <v>359</v>
      </c>
      <c r="H107" s="68" t="s">
        <v>362</v>
      </c>
    </row>
    <row r="108" spans="2:8" ht="13.5" customHeight="1">
      <c r="B108" s="160" t="s">
        <v>363</v>
      </c>
      <c r="C108" s="176"/>
      <c r="D108" s="176"/>
      <c r="E108" s="176"/>
      <c r="F108" s="181">
        <v>9</v>
      </c>
      <c r="G108" s="163" t="s">
        <v>359</v>
      </c>
      <c r="H108" s="68" t="s">
        <v>364</v>
      </c>
    </row>
    <row r="109" spans="2:8" ht="13.5" customHeight="1">
      <c r="B109" s="157" t="s">
        <v>365</v>
      </c>
      <c r="C109" s="158"/>
      <c r="D109" s="158"/>
      <c r="E109" s="158"/>
      <c r="F109" s="158"/>
      <c r="G109" s="158"/>
      <c r="H109" s="159"/>
    </row>
    <row r="110" spans="2:8" ht="13.5" customHeight="1">
      <c r="B110" s="160" t="s">
        <v>366</v>
      </c>
      <c r="C110" s="166">
        <v>1.5</v>
      </c>
      <c r="D110" s="166">
        <v>3</v>
      </c>
      <c r="E110" s="166">
        <v>5</v>
      </c>
      <c r="F110" s="167">
        <f>CHOOSE($C$4,C110,D110,E110)</f>
        <v>3</v>
      </c>
      <c r="G110" s="163" t="s">
        <v>367</v>
      </c>
      <c r="H110" s="68" t="s">
        <v>368</v>
      </c>
    </row>
    <row r="111" spans="2:8" ht="13.5" customHeight="1">
      <c r="B111" s="160" t="s">
        <v>369</v>
      </c>
      <c r="C111" s="166">
        <v>2</v>
      </c>
      <c r="D111" s="166">
        <v>4</v>
      </c>
      <c r="E111" s="166">
        <v>6</v>
      </c>
      <c r="F111" s="167">
        <f>CHOOSE($C$4,C111,D111,E111)</f>
        <v>4</v>
      </c>
      <c r="G111" s="163" t="s">
        <v>367</v>
      </c>
      <c r="H111" s="68" t="s">
        <v>370</v>
      </c>
    </row>
    <row r="112" spans="2:8" ht="13.5" customHeight="1">
      <c r="B112" s="160" t="s">
        <v>371</v>
      </c>
      <c r="C112" s="166">
        <v>2.5</v>
      </c>
      <c r="D112" s="166">
        <v>6</v>
      </c>
      <c r="E112" s="166">
        <v>10</v>
      </c>
      <c r="F112" s="167">
        <f>CHOOSE($C$4,C112,D112,E112)</f>
        <v>6</v>
      </c>
      <c r="G112" s="163" t="s">
        <v>367</v>
      </c>
      <c r="H112" s="68" t="s">
        <v>372</v>
      </c>
    </row>
    <row r="113" spans="2:8" ht="13.5" customHeight="1">
      <c r="B113" s="160" t="s">
        <v>373</v>
      </c>
      <c r="C113" s="166">
        <v>0</v>
      </c>
      <c r="D113" s="166">
        <v>6</v>
      </c>
      <c r="E113" s="166">
        <v>20</v>
      </c>
      <c r="F113" s="167">
        <f>CHOOSE($C$4,C113,D113,E113)</f>
        <v>6</v>
      </c>
      <c r="G113" s="163" t="s">
        <v>177</v>
      </c>
      <c r="H113" s="179" t="s">
        <v>374</v>
      </c>
    </row>
    <row r="114" spans="2:8" ht="13.5" customHeight="1">
      <c r="B114" s="157" t="s">
        <v>375</v>
      </c>
      <c r="C114" s="158"/>
      <c r="D114" s="158"/>
      <c r="E114" s="158"/>
      <c r="F114" s="158"/>
      <c r="G114" s="158"/>
      <c r="H114" s="159"/>
    </row>
    <row r="115" spans="2:8" ht="13.5" customHeight="1">
      <c r="B115" s="160" t="s">
        <v>376</v>
      </c>
      <c r="C115" s="161"/>
      <c r="D115" s="161"/>
      <c r="E115" s="161"/>
      <c r="F115" s="162">
        <v>0.5</v>
      </c>
      <c r="G115" s="163" t="s">
        <v>377</v>
      </c>
      <c r="H115" s="68" t="s">
        <v>378</v>
      </c>
    </row>
    <row r="116" spans="2:8" ht="13.5" customHeight="1">
      <c r="B116" s="160" t="s">
        <v>379</v>
      </c>
      <c r="C116" s="161"/>
      <c r="D116" s="161"/>
      <c r="E116" s="161"/>
      <c r="F116" s="162">
        <v>0.1</v>
      </c>
      <c r="G116" s="163" t="s">
        <v>380</v>
      </c>
      <c r="H116" s="68" t="s">
        <v>381</v>
      </c>
    </row>
    <row r="117" spans="2:8" ht="13.5" customHeight="1">
      <c r="B117" s="160" t="s">
        <v>382</v>
      </c>
      <c r="C117" s="161"/>
      <c r="D117" s="161"/>
      <c r="E117" s="161"/>
      <c r="F117" s="162">
        <v>0.2</v>
      </c>
      <c r="G117" s="163" t="s">
        <v>383</v>
      </c>
      <c r="H117" s="68" t="s">
        <v>384</v>
      </c>
    </row>
    <row r="118" spans="2:8" ht="13.5" customHeight="1">
      <c r="B118" s="160" t="s">
        <v>385</v>
      </c>
      <c r="C118" s="177"/>
      <c r="D118" s="177"/>
      <c r="E118" s="177"/>
      <c r="F118" s="178">
        <v>150</v>
      </c>
      <c r="G118" s="163" t="s">
        <v>302</v>
      </c>
      <c r="H118" s="68" t="s">
        <v>386</v>
      </c>
    </row>
    <row r="119" spans="2:8" ht="13.5" customHeight="1">
      <c r="B119" s="160" t="s">
        <v>387</v>
      </c>
      <c r="C119" s="177"/>
      <c r="D119" s="177"/>
      <c r="E119" s="177"/>
      <c r="F119" s="178">
        <v>300</v>
      </c>
      <c r="G119" s="163" t="s">
        <v>302</v>
      </c>
      <c r="H119" s="68" t="s">
        <v>388</v>
      </c>
    </row>
    <row r="120" spans="2:8" ht="13.5" customHeight="1">
      <c r="B120" s="160" t="s">
        <v>389</v>
      </c>
      <c r="C120" s="177"/>
      <c r="D120" s="177"/>
      <c r="E120" s="177"/>
      <c r="F120" s="178">
        <v>15</v>
      </c>
      <c r="G120" s="163" t="s">
        <v>390</v>
      </c>
      <c r="H120" s="68" t="s">
        <v>391</v>
      </c>
    </row>
    <row r="121" spans="2:8" ht="13.5" customHeight="1">
      <c r="B121" s="160" t="s">
        <v>392</v>
      </c>
      <c r="C121" s="161"/>
      <c r="D121" s="161"/>
      <c r="E121" s="161"/>
      <c r="F121" s="162">
        <v>0.2</v>
      </c>
      <c r="G121" s="163" t="s">
        <v>393</v>
      </c>
      <c r="H121" s="68" t="s">
        <v>394</v>
      </c>
    </row>
    <row r="122" spans="2:8" ht="13.5" customHeight="1">
      <c r="B122" s="160" t="s">
        <v>395</v>
      </c>
      <c r="C122" s="177"/>
      <c r="D122" s="177"/>
      <c r="E122" s="177"/>
      <c r="F122" s="178">
        <v>75</v>
      </c>
      <c r="G122" s="163" t="s">
        <v>302</v>
      </c>
      <c r="H122" s="68" t="s">
        <v>396</v>
      </c>
    </row>
    <row r="123" spans="2:8" ht="13.5" customHeight="1">
      <c r="B123" s="160" t="s">
        <v>397</v>
      </c>
      <c r="C123" s="177"/>
      <c r="D123" s="177"/>
      <c r="E123" s="177"/>
      <c r="F123" s="178">
        <v>150</v>
      </c>
      <c r="G123" s="163" t="s">
        <v>398</v>
      </c>
      <c r="H123" s="68" t="s">
        <v>399</v>
      </c>
    </row>
    <row r="124" spans="2:8" ht="13.5" customHeight="1">
      <c r="B124" s="160" t="s">
        <v>400</v>
      </c>
      <c r="C124" s="161"/>
      <c r="D124" s="161"/>
      <c r="E124" s="161"/>
      <c r="F124" s="162">
        <v>0.4</v>
      </c>
      <c r="G124" s="163" t="s">
        <v>401</v>
      </c>
      <c r="H124" s="68" t="s">
        <v>402</v>
      </c>
    </row>
    <row r="125" spans="2:8" ht="13.5" customHeight="1">
      <c r="B125" s="160" t="s">
        <v>403</v>
      </c>
      <c r="C125" s="177"/>
      <c r="D125" s="177"/>
      <c r="E125" s="177"/>
      <c r="F125" s="178">
        <v>7500</v>
      </c>
      <c r="G125" s="163" t="s">
        <v>404</v>
      </c>
      <c r="H125" s="68" t="s">
        <v>405</v>
      </c>
    </row>
    <row r="126" spans="2:8" ht="13.5" customHeight="1">
      <c r="B126" s="160" t="s">
        <v>406</v>
      </c>
      <c r="C126" s="177"/>
      <c r="D126" s="177"/>
      <c r="E126" s="177"/>
      <c r="F126" s="178">
        <v>750</v>
      </c>
      <c r="G126" s="163" t="s">
        <v>407</v>
      </c>
      <c r="H126" s="68" t="s">
        <v>408</v>
      </c>
    </row>
    <row r="127" spans="2:8" ht="13.5" customHeight="1">
      <c r="B127" s="160" t="s">
        <v>409</v>
      </c>
      <c r="C127" s="177"/>
      <c r="D127" s="177"/>
      <c r="E127" s="177"/>
      <c r="F127" s="178">
        <v>3</v>
      </c>
      <c r="G127" s="163" t="s">
        <v>302</v>
      </c>
      <c r="H127" s="68" t="s">
        <v>410</v>
      </c>
    </row>
    <row r="128" spans="2:8" ht="13.5" customHeight="1">
      <c r="B128" s="160" t="s">
        <v>411</v>
      </c>
      <c r="C128" s="161"/>
      <c r="D128" s="161"/>
      <c r="E128" s="161"/>
      <c r="F128" s="162">
        <v>0</v>
      </c>
      <c r="G128" s="163" t="s">
        <v>412</v>
      </c>
      <c r="H128" s="68" t="s">
        <v>413</v>
      </c>
    </row>
    <row r="129" spans="2:8" ht="13.5" customHeight="1">
      <c r="B129" s="160" t="s">
        <v>414</v>
      </c>
      <c r="C129" s="161"/>
      <c r="D129" s="161"/>
      <c r="E129" s="161"/>
      <c r="F129" s="162">
        <v>0</v>
      </c>
      <c r="G129" s="163" t="s">
        <v>295</v>
      </c>
      <c r="H129" s="68" t="s">
        <v>415</v>
      </c>
    </row>
    <row r="130" spans="2:8" ht="13.5" customHeight="1">
      <c r="B130" s="160" t="s">
        <v>416</v>
      </c>
      <c r="C130" s="161"/>
      <c r="D130" s="161"/>
      <c r="E130" s="161"/>
      <c r="F130" s="162">
        <v>0</v>
      </c>
      <c r="G130" s="163" t="s">
        <v>417</v>
      </c>
      <c r="H130" s="68" t="s">
        <v>415</v>
      </c>
    </row>
    <row r="131" spans="2:8" ht="13.5" customHeight="1">
      <c r="B131" s="157" t="s">
        <v>418</v>
      </c>
      <c r="C131" s="158"/>
      <c r="D131" s="158"/>
      <c r="E131" s="158"/>
      <c r="F131" s="158"/>
      <c r="G131" s="158"/>
      <c r="H131" s="159"/>
    </row>
    <row r="132" spans="2:8" ht="13.5" customHeight="1">
      <c r="B132" s="160" t="s">
        <v>419</v>
      </c>
      <c r="C132" s="177"/>
      <c r="D132" s="177"/>
      <c r="E132" s="177"/>
      <c r="F132" s="178">
        <v>15000</v>
      </c>
      <c r="G132" s="163" t="s">
        <v>266</v>
      </c>
      <c r="H132" s="68" t="s">
        <v>420</v>
      </c>
    </row>
    <row r="133" spans="2:8" ht="13.5" customHeight="1">
      <c r="B133" s="160" t="s">
        <v>421</v>
      </c>
      <c r="C133" s="177"/>
      <c r="D133" s="177"/>
      <c r="E133" s="177"/>
      <c r="F133" s="178">
        <v>20000</v>
      </c>
      <c r="G133" s="163" t="s">
        <v>266</v>
      </c>
      <c r="H133" s="68" t="s">
        <v>422</v>
      </c>
    </row>
    <row r="134" spans="2:8" ht="13.5" customHeight="1">
      <c r="B134" s="160" t="s">
        <v>423</v>
      </c>
      <c r="C134" s="177"/>
      <c r="D134" s="177"/>
      <c r="E134" s="177"/>
      <c r="F134" s="178">
        <v>40000</v>
      </c>
      <c r="G134" s="163" t="s">
        <v>424</v>
      </c>
      <c r="H134" s="68" t="s">
        <v>425</v>
      </c>
    </row>
    <row r="135" spans="2:8" ht="13.5" customHeight="1">
      <c r="B135" s="160" t="s">
        <v>426</v>
      </c>
      <c r="C135" s="177"/>
      <c r="D135" s="177"/>
      <c r="E135" s="177"/>
      <c r="F135" s="178">
        <v>15000</v>
      </c>
      <c r="G135" s="163" t="s">
        <v>266</v>
      </c>
      <c r="H135" s="68" t="s">
        <v>427</v>
      </c>
    </row>
    <row r="136" spans="2:8" ht="13.5" customHeight="1">
      <c r="B136" s="160" t="s">
        <v>428</v>
      </c>
      <c r="C136" s="161"/>
      <c r="D136" s="161"/>
      <c r="E136" s="161"/>
      <c r="F136" s="162">
        <v>0.12</v>
      </c>
      <c r="G136" s="163" t="s">
        <v>276</v>
      </c>
      <c r="H136" s="68" t="s">
        <v>429</v>
      </c>
    </row>
    <row r="137" spans="2:8" ht="13.5" customHeight="1">
      <c r="B137" s="160" t="s">
        <v>430</v>
      </c>
      <c r="C137" s="177"/>
      <c r="D137" s="177"/>
      <c r="E137" s="177"/>
      <c r="F137" s="178">
        <v>40</v>
      </c>
      <c r="G137" s="163" t="s">
        <v>431</v>
      </c>
      <c r="H137" s="68" t="s">
        <v>432</v>
      </c>
    </row>
    <row r="138" spans="2:8" ht="13.5" customHeight="1">
      <c r="B138" s="160" t="s">
        <v>433</v>
      </c>
      <c r="C138" s="161"/>
      <c r="D138" s="161"/>
      <c r="E138" s="161"/>
      <c r="F138" s="162">
        <v>0.03</v>
      </c>
      <c r="G138" s="163" t="s">
        <v>276</v>
      </c>
      <c r="H138" s="68" t="s">
        <v>434</v>
      </c>
    </row>
    <row r="139" spans="2:8" ht="13.5" customHeight="1">
      <c r="B139" s="160" t="s">
        <v>435</v>
      </c>
      <c r="C139" s="177"/>
      <c r="D139" s="177"/>
      <c r="E139" s="177"/>
      <c r="F139" s="178">
        <v>1500</v>
      </c>
      <c r="G139" s="163" t="s">
        <v>313</v>
      </c>
      <c r="H139" s="68" t="s">
        <v>436</v>
      </c>
    </row>
    <row r="140" spans="2:8" ht="13.5" customHeight="1">
      <c r="B140" s="160" t="s">
        <v>437</v>
      </c>
      <c r="C140" s="161"/>
      <c r="D140" s="161"/>
      <c r="E140" s="161"/>
      <c r="F140" s="162">
        <v>0.01</v>
      </c>
      <c r="G140" s="163" t="s">
        <v>438</v>
      </c>
      <c r="H140" s="68" t="s">
        <v>439</v>
      </c>
    </row>
    <row r="141" spans="2:8" ht="13.5" customHeight="1">
      <c r="B141" s="160" t="s">
        <v>440</v>
      </c>
      <c r="C141" s="177"/>
      <c r="D141" s="177"/>
      <c r="E141" s="177"/>
      <c r="F141" s="178">
        <v>15000</v>
      </c>
      <c r="G141" s="163" t="s">
        <v>266</v>
      </c>
      <c r="H141" s="68" t="s">
        <v>441</v>
      </c>
    </row>
    <row r="142" spans="2:8" ht="13.5" customHeight="1">
      <c r="B142" s="160" t="s">
        <v>442</v>
      </c>
      <c r="C142" s="177"/>
      <c r="D142" s="177"/>
      <c r="E142" s="177"/>
      <c r="F142" s="178">
        <v>12000</v>
      </c>
      <c r="G142" s="163" t="s">
        <v>266</v>
      </c>
      <c r="H142" s="68" t="s">
        <v>443</v>
      </c>
    </row>
    <row r="143" spans="2:8" ht="13.5" customHeight="1">
      <c r="B143" s="160" t="s">
        <v>444</v>
      </c>
      <c r="C143" s="177"/>
      <c r="D143" s="177"/>
      <c r="E143" s="177"/>
      <c r="F143" s="178">
        <v>18000</v>
      </c>
      <c r="G143" s="163" t="s">
        <v>266</v>
      </c>
      <c r="H143" s="68" t="s">
        <v>445</v>
      </c>
    </row>
    <row r="144" spans="2:8" ht="13.5" customHeight="1">
      <c r="B144" s="160" t="s">
        <v>446</v>
      </c>
      <c r="C144" s="161"/>
      <c r="D144" s="161"/>
      <c r="E144" s="161"/>
      <c r="F144" s="162">
        <v>0.05</v>
      </c>
      <c r="G144" s="163" t="s">
        <v>438</v>
      </c>
      <c r="H144" s="68" t="s">
        <v>447</v>
      </c>
    </row>
    <row r="145" spans="2:8" ht="13.5" customHeight="1">
      <c r="B145" s="160" t="s">
        <v>448</v>
      </c>
      <c r="C145" s="161"/>
      <c r="D145" s="161"/>
      <c r="E145" s="161"/>
      <c r="F145" s="162">
        <v>0.01</v>
      </c>
      <c r="G145" s="163" t="s">
        <v>449</v>
      </c>
      <c r="H145" s="68" t="s">
        <v>450</v>
      </c>
    </row>
    <row r="146" spans="2:8" ht="13.5" customHeight="1">
      <c r="B146" s="160" t="s">
        <v>451</v>
      </c>
      <c r="C146" s="161"/>
      <c r="D146" s="161"/>
      <c r="E146" s="161"/>
      <c r="F146" s="162">
        <v>0.03</v>
      </c>
      <c r="G146" s="163" t="s">
        <v>380</v>
      </c>
      <c r="H146" s="68" t="s">
        <v>452</v>
      </c>
    </row>
    <row r="147" spans="2:8" ht="13.5" customHeight="1">
      <c r="B147" s="160" t="s">
        <v>453</v>
      </c>
      <c r="C147" s="177"/>
      <c r="D147" s="177"/>
      <c r="E147" s="177"/>
      <c r="F147" s="178">
        <v>75</v>
      </c>
      <c r="G147" s="163" t="s">
        <v>302</v>
      </c>
      <c r="H147" s="68" t="s">
        <v>454</v>
      </c>
    </row>
    <row r="148" spans="2:8" ht="13.5" customHeight="1">
      <c r="B148" s="160" t="s">
        <v>455</v>
      </c>
      <c r="C148" s="177"/>
      <c r="D148" s="177"/>
      <c r="E148" s="177"/>
      <c r="F148" s="178">
        <v>30000</v>
      </c>
      <c r="G148" s="163" t="s">
        <v>266</v>
      </c>
      <c r="H148" s="68" t="s">
        <v>456</v>
      </c>
    </row>
    <row r="149" spans="2:8" ht="13.5" customHeight="1">
      <c r="B149" s="160" t="s">
        <v>457</v>
      </c>
      <c r="C149" s="165"/>
      <c r="D149" s="165"/>
      <c r="E149" s="165"/>
      <c r="F149" s="166">
        <v>3</v>
      </c>
      <c r="G149" s="163" t="s">
        <v>159</v>
      </c>
      <c r="H149" s="68" t="s">
        <v>458</v>
      </c>
    </row>
    <row r="150" spans="2:8" ht="13.5" customHeight="1">
      <c r="B150" s="160" t="s">
        <v>459</v>
      </c>
      <c r="C150" s="177"/>
      <c r="D150" s="177"/>
      <c r="E150" s="177"/>
      <c r="F150" s="178">
        <v>80000</v>
      </c>
      <c r="G150" s="163" t="s">
        <v>460</v>
      </c>
      <c r="H150" s="68" t="s">
        <v>461</v>
      </c>
    </row>
    <row r="151" spans="2:8" ht="13.5" customHeight="1">
      <c r="B151" s="160" t="s">
        <v>462</v>
      </c>
      <c r="C151" s="177"/>
      <c r="D151" s="177"/>
      <c r="E151" s="177"/>
      <c r="F151" s="178">
        <v>0</v>
      </c>
      <c r="G151" s="163" t="s">
        <v>463</v>
      </c>
      <c r="H151" s="68" t="s">
        <v>464</v>
      </c>
    </row>
    <row r="152" spans="2:8" ht="13.5" customHeight="1">
      <c r="B152" s="160" t="s">
        <v>465</v>
      </c>
      <c r="C152" s="177"/>
      <c r="D152" s="177"/>
      <c r="E152" s="177"/>
      <c r="F152" s="178">
        <v>7500</v>
      </c>
      <c r="G152" s="163" t="s">
        <v>424</v>
      </c>
      <c r="H152" s="68" t="s">
        <v>466</v>
      </c>
    </row>
    <row r="153" spans="2:8" ht="13.5" customHeight="1">
      <c r="B153" s="160" t="s">
        <v>467</v>
      </c>
      <c r="C153" s="177"/>
      <c r="D153" s="177"/>
      <c r="E153" s="177"/>
      <c r="F153" s="178">
        <v>7500</v>
      </c>
      <c r="G153" s="163" t="s">
        <v>424</v>
      </c>
      <c r="H153" s="68" t="s">
        <v>468</v>
      </c>
    </row>
    <row r="154" spans="2:8" ht="13.5" customHeight="1">
      <c r="B154" s="157" t="s">
        <v>469</v>
      </c>
      <c r="C154" s="158"/>
      <c r="D154" s="158"/>
      <c r="E154" s="158"/>
      <c r="F154" s="158"/>
      <c r="G154" s="158"/>
      <c r="H154" s="182"/>
    </row>
    <row r="155" spans="2:8" ht="13.5" customHeight="1">
      <c r="B155" s="160" t="s">
        <v>470</v>
      </c>
      <c r="C155" s="166">
        <v>1800</v>
      </c>
      <c r="D155" s="166">
        <v>7500</v>
      </c>
      <c r="E155" s="166">
        <v>18000</v>
      </c>
      <c r="F155" s="167">
        <f t="shared" ref="F155:F166" si="1">CHOOSE($C$4,C155,D155,E155)</f>
        <v>7500</v>
      </c>
      <c r="G155" s="163" t="s">
        <v>163</v>
      </c>
      <c r="H155" s="183" t="s">
        <v>471</v>
      </c>
    </row>
    <row r="156" spans="2:8" ht="13.5" customHeight="1">
      <c r="B156" s="160" t="s">
        <v>472</v>
      </c>
      <c r="C156" s="166">
        <v>6000</v>
      </c>
      <c r="D156" s="166">
        <v>18000</v>
      </c>
      <c r="E156" s="166">
        <v>40000</v>
      </c>
      <c r="F156" s="167">
        <f t="shared" si="1"/>
        <v>18000</v>
      </c>
      <c r="G156" s="163" t="s">
        <v>163</v>
      </c>
      <c r="H156" s="183" t="s">
        <v>473</v>
      </c>
    </row>
    <row r="157" spans="2:8" ht="13.5" customHeight="1">
      <c r="B157" s="160" t="s">
        <v>474</v>
      </c>
      <c r="C157" s="162">
        <v>0.3</v>
      </c>
      <c r="D157" s="162">
        <v>0.6</v>
      </c>
      <c r="E157" s="162">
        <v>0.75</v>
      </c>
      <c r="F157" s="180">
        <f t="shared" si="1"/>
        <v>0.6</v>
      </c>
      <c r="G157" s="163" t="s">
        <v>276</v>
      </c>
      <c r="H157" s="183" t="s">
        <v>475</v>
      </c>
    </row>
    <row r="158" spans="2:8" ht="13.5" customHeight="1">
      <c r="B158" s="160" t="s">
        <v>476</v>
      </c>
      <c r="C158" s="162">
        <v>0.45</v>
      </c>
      <c r="D158" s="162">
        <v>0.32</v>
      </c>
      <c r="E158" s="162">
        <v>0.23</v>
      </c>
      <c r="F158" s="180">
        <f t="shared" si="1"/>
        <v>0.32</v>
      </c>
      <c r="G158" s="163" t="s">
        <v>276</v>
      </c>
      <c r="H158" s="183" t="s">
        <v>291</v>
      </c>
    </row>
    <row r="159" spans="2:8" ht="13.5" customHeight="1">
      <c r="B159" s="160" t="s">
        <v>477</v>
      </c>
      <c r="C159" s="162">
        <v>0.25</v>
      </c>
      <c r="D159" s="162">
        <v>0.08</v>
      </c>
      <c r="E159" s="162">
        <v>0.02</v>
      </c>
      <c r="F159" s="180">
        <f t="shared" si="1"/>
        <v>0.08</v>
      </c>
      <c r="G159" s="163" t="s">
        <v>276</v>
      </c>
      <c r="H159" s="183" t="s">
        <v>478</v>
      </c>
    </row>
    <row r="160" spans="2:8" ht="13.5" customHeight="1">
      <c r="B160" s="160" t="s">
        <v>479</v>
      </c>
      <c r="C160" s="162">
        <v>0.4</v>
      </c>
      <c r="D160" s="162">
        <v>0.7</v>
      </c>
      <c r="E160" s="162">
        <v>0.82</v>
      </c>
      <c r="F160" s="180">
        <f t="shared" si="1"/>
        <v>0.7</v>
      </c>
      <c r="G160" s="163" t="s">
        <v>276</v>
      </c>
      <c r="H160" s="183" t="s">
        <v>289</v>
      </c>
    </row>
    <row r="161" spans="2:8" ht="13.5" customHeight="1">
      <c r="B161" s="160" t="s">
        <v>480</v>
      </c>
      <c r="C161" s="162">
        <v>0.45</v>
      </c>
      <c r="D161" s="162">
        <v>0.25</v>
      </c>
      <c r="E161" s="162">
        <v>0.17</v>
      </c>
      <c r="F161" s="180">
        <f t="shared" si="1"/>
        <v>0.25</v>
      </c>
      <c r="G161" s="163" t="s">
        <v>276</v>
      </c>
      <c r="H161" s="183" t="s">
        <v>291</v>
      </c>
    </row>
    <row r="162" spans="2:8" ht="13.5" customHeight="1">
      <c r="B162" s="160" t="s">
        <v>481</v>
      </c>
      <c r="C162" s="162">
        <v>0.15</v>
      </c>
      <c r="D162" s="162">
        <v>0.05</v>
      </c>
      <c r="E162" s="162">
        <v>0.01</v>
      </c>
      <c r="F162" s="180">
        <f t="shared" si="1"/>
        <v>0.05</v>
      </c>
      <c r="G162" s="163" t="s">
        <v>276</v>
      </c>
      <c r="H162" s="183" t="s">
        <v>482</v>
      </c>
    </row>
    <row r="163" spans="2:8" ht="13.5" customHeight="1">
      <c r="B163" s="160" t="s">
        <v>483</v>
      </c>
      <c r="C163" s="166">
        <v>1</v>
      </c>
      <c r="D163" s="166">
        <v>10</v>
      </c>
      <c r="E163" s="166">
        <v>35</v>
      </c>
      <c r="F163" s="167">
        <f t="shared" si="1"/>
        <v>10</v>
      </c>
      <c r="G163" s="163" t="s">
        <v>177</v>
      </c>
      <c r="H163" s="183" t="s">
        <v>484</v>
      </c>
    </row>
    <row r="164" spans="2:8" ht="13.5" customHeight="1">
      <c r="B164" s="160" t="s">
        <v>485</v>
      </c>
      <c r="C164" s="166">
        <v>3</v>
      </c>
      <c r="D164" s="166">
        <v>18</v>
      </c>
      <c r="E164" s="166">
        <v>60</v>
      </c>
      <c r="F164" s="167">
        <f t="shared" si="1"/>
        <v>18</v>
      </c>
      <c r="G164" s="163" t="s">
        <v>177</v>
      </c>
      <c r="H164" s="183" t="s">
        <v>486</v>
      </c>
    </row>
    <row r="165" spans="2:8" ht="13.5" customHeight="1">
      <c r="B165" s="160" t="s">
        <v>487</v>
      </c>
      <c r="C165" s="166">
        <v>3</v>
      </c>
      <c r="D165" s="166">
        <v>8</v>
      </c>
      <c r="E165" s="166">
        <v>12</v>
      </c>
      <c r="F165" s="167">
        <f t="shared" si="1"/>
        <v>8</v>
      </c>
      <c r="G165" s="163" t="s">
        <v>367</v>
      </c>
      <c r="H165" s="183" t="s">
        <v>488</v>
      </c>
    </row>
    <row r="166" spans="2:8" ht="13.5" customHeight="1">
      <c r="B166" s="160" t="s">
        <v>489</v>
      </c>
      <c r="C166" s="166">
        <v>4</v>
      </c>
      <c r="D166" s="166">
        <v>10</v>
      </c>
      <c r="E166" s="166">
        <v>15</v>
      </c>
      <c r="F166" s="167">
        <f t="shared" si="1"/>
        <v>10</v>
      </c>
      <c r="G166" s="163" t="s">
        <v>367</v>
      </c>
      <c r="H166" s="183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showGridLines="0" tabSelected="1" workbookViewId="0"/>
  </sheetViews>
  <sheetFormatPr defaultColWidth="8.6328125" defaultRowHeight="14.5"/>
  <cols>
    <col min="1" max="1" width="2" customWidth="1"/>
    <col min="2" max="2" width="46" customWidth="1"/>
    <col min="3" max="6" width="12" customWidth="1"/>
    <col min="7" max="7" width="10" customWidth="1"/>
    <col min="8" max="8" width="46" customWidth="1"/>
  </cols>
  <sheetData>
    <row r="2" spans="2:8" ht="17.25" customHeight="1">
      <c r="B2" s="2" t="s">
        <v>491</v>
      </c>
    </row>
    <row r="3" spans="2:8" ht="15" customHeight="1">
      <c r="B3" s="3" t="s">
        <v>492</v>
      </c>
    </row>
    <row r="5" spans="2:8" ht="15" customHeight="1">
      <c r="B5" s="5" t="s">
        <v>493</v>
      </c>
      <c r="C5" s="5" t="s">
        <v>75</v>
      </c>
      <c r="D5" s="5" t="s">
        <v>76</v>
      </c>
      <c r="E5" s="5" t="s">
        <v>77</v>
      </c>
      <c r="F5" s="5" t="s">
        <v>494</v>
      </c>
      <c r="G5" s="5" t="s">
        <v>495</v>
      </c>
      <c r="H5" s="5" t="s">
        <v>153</v>
      </c>
    </row>
    <row r="6" spans="2:8" ht="15" customHeight="1">
      <c r="B6" s="1" t="s">
        <v>496</v>
      </c>
      <c r="C6" s="6"/>
      <c r="D6" s="6"/>
      <c r="E6" s="6"/>
      <c r="F6" s="6"/>
      <c r="G6" s="6"/>
      <c r="H6" s="6"/>
    </row>
    <row r="7" spans="2:8" ht="15" customHeight="1">
      <c r="B7" s="7" t="s">
        <v>497</v>
      </c>
      <c r="C7" s="10">
        <v>100</v>
      </c>
      <c r="D7" s="10">
        <v>100</v>
      </c>
      <c r="E7" s="10">
        <v>100</v>
      </c>
      <c r="F7" s="11">
        <f>CHOOSE(Assumptions!$C$4,C7,D7,E7)</f>
        <v>100</v>
      </c>
      <c r="G7" s="8" t="s">
        <v>498</v>
      </c>
      <c r="H7" s="9" t="s">
        <v>499</v>
      </c>
    </row>
    <row r="8" spans="2:8" ht="15" customHeight="1">
      <c r="B8" s="7" t="s">
        <v>500</v>
      </c>
      <c r="C8" s="10">
        <v>30</v>
      </c>
      <c r="D8" s="10">
        <v>90</v>
      </c>
      <c r="E8" s="10">
        <v>180</v>
      </c>
      <c r="F8" s="11">
        <f>CHOOSE(Assumptions!$C$4,C8,D8,E8)</f>
        <v>90</v>
      </c>
      <c r="G8" s="8" t="s">
        <v>498</v>
      </c>
      <c r="H8" s="9" t="s">
        <v>501</v>
      </c>
    </row>
    <row r="9" spans="2:8" ht="15" customHeight="1">
      <c r="B9" s="7" t="s">
        <v>502</v>
      </c>
      <c r="C9" s="10">
        <v>0</v>
      </c>
      <c r="D9" s="10">
        <v>63</v>
      </c>
      <c r="E9" s="10">
        <v>63</v>
      </c>
      <c r="F9" s="11">
        <f>CHOOSE(Assumptions!$C$4,C9,D9,E9)</f>
        <v>63</v>
      </c>
      <c r="G9" s="8" t="s">
        <v>498</v>
      </c>
      <c r="H9" s="9" t="s">
        <v>503</v>
      </c>
    </row>
    <row r="10" spans="2:8" ht="15" customHeight="1">
      <c r="B10" s="7" t="s">
        <v>504</v>
      </c>
      <c r="C10" s="10">
        <v>50</v>
      </c>
      <c r="D10" s="10">
        <v>50</v>
      </c>
      <c r="E10" s="10">
        <v>50</v>
      </c>
      <c r="F10" s="11">
        <f>CHOOSE(Assumptions!$C$4,C10,D10,E10)</f>
        <v>50</v>
      </c>
      <c r="G10" s="8" t="s">
        <v>498</v>
      </c>
      <c r="H10" s="9" t="s">
        <v>505</v>
      </c>
    </row>
    <row r="11" spans="2:8" ht="15" customHeight="1">
      <c r="B11" s="1" t="s">
        <v>506</v>
      </c>
      <c r="C11" s="6"/>
      <c r="D11" s="6"/>
      <c r="E11" s="6"/>
      <c r="F11" s="6"/>
      <c r="G11" s="6"/>
      <c r="H11" s="6"/>
    </row>
    <row r="12" spans="2:8" ht="15" customHeight="1">
      <c r="B12" s="7" t="s">
        <v>507</v>
      </c>
      <c r="C12" s="10">
        <v>375</v>
      </c>
      <c r="D12" s="10">
        <v>1500</v>
      </c>
      <c r="E12" s="10">
        <v>3000</v>
      </c>
      <c r="F12" s="11">
        <f>CHOOSE(Assumptions!$C$4,C12,D12,E12)</f>
        <v>1500</v>
      </c>
      <c r="G12" s="8" t="s">
        <v>498</v>
      </c>
      <c r="H12" s="9" t="s">
        <v>508</v>
      </c>
    </row>
    <row r="13" spans="2:8" ht="15" customHeight="1">
      <c r="B13" s="7" t="s">
        <v>509</v>
      </c>
      <c r="C13" s="10">
        <v>200</v>
      </c>
      <c r="D13" s="10">
        <v>600</v>
      </c>
      <c r="E13" s="10">
        <v>1500</v>
      </c>
      <c r="F13" s="11">
        <f>CHOOSE(Assumptions!$C$4,C13,D13,E13)</f>
        <v>600</v>
      </c>
      <c r="G13" s="8" t="s">
        <v>498</v>
      </c>
      <c r="H13" s="9" t="s">
        <v>510</v>
      </c>
    </row>
    <row r="14" spans="2:8" ht="15" customHeight="1">
      <c r="B14" s="7" t="s">
        <v>511</v>
      </c>
      <c r="C14" s="10">
        <v>0</v>
      </c>
      <c r="D14" s="10">
        <v>1000</v>
      </c>
      <c r="E14" s="10">
        <v>3000</v>
      </c>
      <c r="F14" s="11">
        <f>CHOOSE(Assumptions!$C$4,C14,D14,E14)</f>
        <v>1000</v>
      </c>
      <c r="G14" s="8" t="s">
        <v>498</v>
      </c>
      <c r="H14" s="9" t="s">
        <v>512</v>
      </c>
    </row>
    <row r="15" spans="2:8" ht="15" customHeight="1">
      <c r="B15" s="7" t="s">
        <v>513</v>
      </c>
      <c r="C15" s="10">
        <v>300</v>
      </c>
      <c r="D15" s="10">
        <v>900</v>
      </c>
      <c r="E15" s="10">
        <v>2500</v>
      </c>
      <c r="F15" s="11">
        <f>CHOOSE(Assumptions!$C$4,C15,D15,E15)</f>
        <v>900</v>
      </c>
      <c r="G15" s="8" t="s">
        <v>498</v>
      </c>
      <c r="H15" s="9" t="s">
        <v>514</v>
      </c>
    </row>
    <row r="16" spans="2:8" ht="15" customHeight="1">
      <c r="B16" s="7" t="s">
        <v>515</v>
      </c>
      <c r="C16" s="10">
        <v>3000</v>
      </c>
      <c r="D16" s="10">
        <v>8000</v>
      </c>
      <c r="E16" s="10">
        <v>18000</v>
      </c>
      <c r="F16" s="11">
        <f>CHOOSE(Assumptions!$C$4,C16,D16,E16)</f>
        <v>8000</v>
      </c>
      <c r="G16" s="8" t="s">
        <v>498</v>
      </c>
      <c r="H16" s="9" t="s">
        <v>516</v>
      </c>
    </row>
    <row r="17" spans="2:8" ht="15" customHeight="1">
      <c r="B17" s="1" t="s">
        <v>517</v>
      </c>
      <c r="C17" s="6"/>
      <c r="D17" s="6"/>
      <c r="E17" s="6"/>
      <c r="F17" s="6"/>
      <c r="G17" s="6"/>
      <c r="H17" s="6"/>
    </row>
    <row r="18" spans="2:8" ht="21.75" customHeight="1">
      <c r="B18" s="14" t="s">
        <v>518</v>
      </c>
      <c r="C18" s="15">
        <v>8000</v>
      </c>
      <c r="D18" s="15">
        <v>25000</v>
      </c>
      <c r="E18" s="15">
        <v>60000</v>
      </c>
      <c r="F18" s="16">
        <f>CHOOSE(Assumptions!$C$4,C18,D18,E18)</f>
        <v>25000</v>
      </c>
      <c r="G18" s="8" t="s">
        <v>498</v>
      </c>
      <c r="H18" s="9" t="s">
        <v>519</v>
      </c>
    </row>
    <row r="19" spans="2:8" ht="15" customHeight="1">
      <c r="B19" s="7" t="s">
        <v>520</v>
      </c>
      <c r="C19" s="10">
        <v>2000</v>
      </c>
      <c r="D19" s="10">
        <v>6000</v>
      </c>
      <c r="E19" s="10">
        <v>15000</v>
      </c>
      <c r="F19" s="11">
        <f>CHOOSE(Assumptions!$C$4,C19,D19,E19)</f>
        <v>6000</v>
      </c>
      <c r="G19" s="8" t="s">
        <v>498</v>
      </c>
      <c r="H19" s="9" t="s">
        <v>521</v>
      </c>
    </row>
    <row r="20" spans="2:8" ht="15" customHeight="1">
      <c r="B20" s="7" t="s">
        <v>522</v>
      </c>
      <c r="C20" s="10">
        <v>1000</v>
      </c>
      <c r="D20" s="10">
        <v>3000</v>
      </c>
      <c r="E20" s="10">
        <v>8000</v>
      </c>
      <c r="F20" s="11">
        <f>CHOOSE(Assumptions!$C$4,C20,D20,E20)</f>
        <v>3000</v>
      </c>
      <c r="G20" s="8" t="s">
        <v>498</v>
      </c>
      <c r="H20" s="9" t="s">
        <v>523</v>
      </c>
    </row>
    <row r="21" spans="2:8" ht="15" customHeight="1">
      <c r="B21" s="7" t="s">
        <v>524</v>
      </c>
      <c r="C21" s="10">
        <v>52</v>
      </c>
      <c r="D21" s="10">
        <v>60</v>
      </c>
      <c r="E21" s="10">
        <v>60</v>
      </c>
      <c r="F21" s="11">
        <f>CHOOSE(Assumptions!$C$4,C21,D21,E21)</f>
        <v>60</v>
      </c>
      <c r="G21" s="8" t="s">
        <v>498</v>
      </c>
      <c r="H21" s="9" t="s">
        <v>525</v>
      </c>
    </row>
    <row r="22" spans="2:8" ht="15" customHeight="1">
      <c r="B22" s="1" t="s">
        <v>526</v>
      </c>
      <c r="C22" s="6"/>
      <c r="D22" s="6"/>
      <c r="E22" s="6"/>
      <c r="F22" s="6"/>
      <c r="G22" s="6"/>
      <c r="H22" s="6"/>
    </row>
    <row r="23" spans="2:8" ht="15" customHeight="1">
      <c r="B23" s="7" t="s">
        <v>527</v>
      </c>
      <c r="C23" s="10">
        <v>12000</v>
      </c>
      <c r="D23" s="10">
        <v>30000</v>
      </c>
      <c r="E23" s="10">
        <v>60000</v>
      </c>
      <c r="F23" s="11">
        <f>CHOOSE(Assumptions!$C$4,C23,D23,E23)</f>
        <v>30000</v>
      </c>
      <c r="G23" s="8" t="s">
        <v>498</v>
      </c>
      <c r="H23" s="9" t="s">
        <v>528</v>
      </c>
    </row>
    <row r="24" spans="2:8" ht="15" customHeight="1">
      <c r="B24" s="7" t="s">
        <v>529</v>
      </c>
      <c r="C24" s="10">
        <v>3000</v>
      </c>
      <c r="D24" s="10">
        <v>7000</v>
      </c>
      <c r="E24" s="10">
        <v>15000</v>
      </c>
      <c r="F24" s="11">
        <f>CHOOSE(Assumptions!$C$4,C24,D24,E24)</f>
        <v>7000</v>
      </c>
      <c r="G24" s="8" t="s">
        <v>498</v>
      </c>
      <c r="H24" s="9" t="s">
        <v>530</v>
      </c>
    </row>
    <row r="25" spans="2:8" ht="15" customHeight="1">
      <c r="B25" s="1" t="s">
        <v>531</v>
      </c>
      <c r="C25" s="6"/>
      <c r="D25" s="6"/>
      <c r="E25" s="6"/>
      <c r="F25" s="6"/>
      <c r="G25" s="6"/>
      <c r="H25" s="6"/>
    </row>
    <row r="26" spans="2:8" ht="15" customHeight="1">
      <c r="B26" s="7" t="s">
        <v>532</v>
      </c>
      <c r="C26" s="10">
        <v>15000</v>
      </c>
      <c r="D26" s="10">
        <v>40000</v>
      </c>
      <c r="E26" s="10">
        <v>90000</v>
      </c>
      <c r="F26" s="11">
        <f>CHOOSE(Assumptions!$C$4,C26,D26,E26)</f>
        <v>40000</v>
      </c>
      <c r="G26" s="8" t="s">
        <v>498</v>
      </c>
      <c r="H26" s="9" t="s">
        <v>533</v>
      </c>
    </row>
    <row r="27" spans="2:8" ht="15" customHeight="1">
      <c r="B27" s="7" t="s">
        <v>534</v>
      </c>
      <c r="C27" s="10">
        <v>20000</v>
      </c>
      <c r="D27" s="10">
        <v>50000</v>
      </c>
      <c r="E27" s="10">
        <v>110000</v>
      </c>
      <c r="F27" s="11">
        <f>CHOOSE(Assumptions!$C$4,C27,D27,E27)</f>
        <v>50000</v>
      </c>
      <c r="G27" s="8" t="s">
        <v>498</v>
      </c>
      <c r="H27" s="9" t="s">
        <v>535</v>
      </c>
    </row>
    <row r="28" spans="2:8" ht="15" customHeight="1">
      <c r="B28" s="7" t="s">
        <v>536</v>
      </c>
      <c r="C28" s="10">
        <v>3000</v>
      </c>
      <c r="D28" s="10">
        <v>9000</v>
      </c>
      <c r="E28" s="10">
        <v>20000</v>
      </c>
      <c r="F28" s="11">
        <f>CHOOSE(Assumptions!$C$4,C28,D28,E28)</f>
        <v>9000</v>
      </c>
      <c r="G28" s="8" t="s">
        <v>498</v>
      </c>
      <c r="H28" s="9" t="s">
        <v>537</v>
      </c>
    </row>
    <row r="29" spans="2:8" ht="15" customHeight="1">
      <c r="B29" s="1" t="s">
        <v>538</v>
      </c>
      <c r="C29" s="6"/>
      <c r="D29" s="6"/>
      <c r="E29" s="6"/>
      <c r="F29" s="6"/>
      <c r="G29" s="6"/>
      <c r="H29" s="6"/>
    </row>
    <row r="30" spans="2:8" ht="15" customHeight="1">
      <c r="B30" s="7" t="s">
        <v>539</v>
      </c>
      <c r="C30" s="10">
        <v>1500</v>
      </c>
      <c r="D30" s="10">
        <v>5000</v>
      </c>
      <c r="E30" s="10">
        <v>12000</v>
      </c>
      <c r="F30" s="11">
        <f>CHOOSE(Assumptions!$C$4,C30,D30,E30)</f>
        <v>5000</v>
      </c>
      <c r="G30" s="8" t="s">
        <v>498</v>
      </c>
      <c r="H30" s="9" t="s">
        <v>537</v>
      </c>
    </row>
    <row r="31" spans="2:8" ht="15" customHeight="1">
      <c r="B31" s="7" t="s">
        <v>540</v>
      </c>
      <c r="C31" s="10">
        <v>1000</v>
      </c>
      <c r="D31" s="10">
        <v>4000</v>
      </c>
      <c r="E31" s="10">
        <v>10000</v>
      </c>
      <c r="F31" s="11">
        <f>CHOOSE(Assumptions!$C$4,C31,D31,E31)</f>
        <v>4000</v>
      </c>
      <c r="G31" s="8" t="s">
        <v>498</v>
      </c>
      <c r="H31" s="9" t="s">
        <v>537</v>
      </c>
    </row>
    <row r="32" spans="2:8" ht="15" customHeight="1">
      <c r="B32" s="7" t="s">
        <v>541</v>
      </c>
      <c r="C32" s="10">
        <v>100</v>
      </c>
      <c r="D32" s="10">
        <v>300</v>
      </c>
      <c r="E32" s="10">
        <v>800</v>
      </c>
      <c r="F32" s="11">
        <f>CHOOSE(Assumptions!$C$4,C32,D32,E32)</f>
        <v>300</v>
      </c>
      <c r="G32" s="8" t="s">
        <v>498</v>
      </c>
      <c r="H32" s="9" t="s">
        <v>542</v>
      </c>
    </row>
    <row r="33" spans="2:8" ht="15" customHeight="1">
      <c r="B33" s="1" t="s">
        <v>543</v>
      </c>
      <c r="C33" s="6"/>
      <c r="D33" s="6"/>
      <c r="E33" s="6"/>
      <c r="F33" s="6"/>
      <c r="G33" s="6"/>
      <c r="H33" s="6"/>
    </row>
    <row r="34" spans="2:8" ht="15" customHeight="1">
      <c r="B34" s="7" t="s">
        <v>544</v>
      </c>
      <c r="C34" s="10">
        <v>1000</v>
      </c>
      <c r="D34" s="10">
        <v>5000</v>
      </c>
      <c r="E34" s="10">
        <v>15000</v>
      </c>
      <c r="F34" s="11">
        <f>CHOOSE(Assumptions!$C$4,C34,D34,E34)</f>
        <v>5000</v>
      </c>
      <c r="G34" s="8" t="s">
        <v>498</v>
      </c>
      <c r="H34" s="9" t="s">
        <v>545</v>
      </c>
    </row>
    <row r="35" spans="2:8" ht="15" customHeight="1">
      <c r="B35" s="7" t="s">
        <v>546</v>
      </c>
      <c r="C35" s="10">
        <v>1000</v>
      </c>
      <c r="D35" s="10">
        <v>4000</v>
      </c>
      <c r="E35" s="10">
        <v>12000</v>
      </c>
      <c r="F35" s="11">
        <f>CHOOSE(Assumptions!$C$4,C35,D35,E35)</f>
        <v>4000</v>
      </c>
      <c r="G35" s="8" t="s">
        <v>498</v>
      </c>
      <c r="H35" s="9" t="s">
        <v>537</v>
      </c>
    </row>
    <row r="36" spans="2:8" ht="15" customHeight="1">
      <c r="B36" s="1" t="s">
        <v>547</v>
      </c>
      <c r="C36" s="6"/>
      <c r="D36" s="6"/>
      <c r="E36" s="6"/>
      <c r="F36" s="6"/>
      <c r="G36" s="6"/>
      <c r="H36" s="6"/>
    </row>
    <row r="37" spans="2:8" ht="15" customHeight="1">
      <c r="B37" s="7" t="s">
        <v>548</v>
      </c>
      <c r="C37" s="10">
        <v>1200</v>
      </c>
      <c r="D37" s="10">
        <v>3500</v>
      </c>
      <c r="E37" s="10">
        <v>9000</v>
      </c>
      <c r="F37" s="11">
        <f>CHOOSE(Assumptions!$C$4,C37,D37,E37)</f>
        <v>3500</v>
      </c>
      <c r="G37" s="8" t="s">
        <v>498</v>
      </c>
      <c r="H37" s="9" t="s">
        <v>549</v>
      </c>
    </row>
    <row r="38" spans="2:8" ht="15" customHeight="1">
      <c r="B38" s="7" t="s">
        <v>550</v>
      </c>
      <c r="C38" s="10">
        <v>1000</v>
      </c>
      <c r="D38" s="10">
        <v>3000</v>
      </c>
      <c r="E38" s="10">
        <v>8000</v>
      </c>
      <c r="F38" s="11">
        <f>CHOOSE(Assumptions!$C$4,C38,D38,E38)</f>
        <v>3000</v>
      </c>
      <c r="G38" s="8" t="s">
        <v>498</v>
      </c>
      <c r="H38" s="9" t="s">
        <v>549</v>
      </c>
    </row>
    <row r="39" spans="2:8" ht="15" customHeight="1">
      <c r="B39" s="7" t="s">
        <v>551</v>
      </c>
      <c r="C39" s="10">
        <v>800</v>
      </c>
      <c r="D39" s="10">
        <v>2500</v>
      </c>
      <c r="E39" s="10">
        <v>7000</v>
      </c>
      <c r="F39" s="11">
        <f>CHOOSE(Assumptions!$C$4,C39,D39,E39)</f>
        <v>2500</v>
      </c>
      <c r="G39" s="8" t="s">
        <v>498</v>
      </c>
      <c r="H39" s="9" t="s">
        <v>549</v>
      </c>
    </row>
    <row r="40" spans="2:8" ht="15" customHeight="1">
      <c r="B40" s="1" t="s">
        <v>552</v>
      </c>
      <c r="C40" s="6"/>
      <c r="D40" s="6"/>
      <c r="E40" s="6"/>
      <c r="F40" s="6"/>
      <c r="G40" s="6"/>
      <c r="H40" s="6"/>
    </row>
    <row r="41" spans="2:8" ht="15" customHeight="1">
      <c r="B41" s="7" t="s">
        <v>553</v>
      </c>
      <c r="C41" s="12">
        <v>0.1</v>
      </c>
      <c r="D41" s="12">
        <v>0.15</v>
      </c>
      <c r="E41" s="12">
        <v>0.2</v>
      </c>
      <c r="F41" s="13">
        <f>CHOOSE(Assumptions!$C$4,C41,D41,E41)</f>
        <v>0.15</v>
      </c>
      <c r="G41" s="8" t="s">
        <v>87</v>
      </c>
      <c r="H41" s="9" t="s">
        <v>554</v>
      </c>
    </row>
    <row r="42" spans="2:8" ht="15" customHeight="1">
      <c r="B42" s="17" t="s">
        <v>555</v>
      </c>
      <c r="C42" s="18"/>
      <c r="D42" s="18"/>
      <c r="E42" s="18"/>
      <c r="F42" s="19">
        <f>SUMIF($G$6:$G$40,"£",$F$6:$F$40)</f>
        <v>209663</v>
      </c>
    </row>
    <row r="43" spans="2:8" ht="15" customHeight="1">
      <c r="B43" s="7" t="s">
        <v>556</v>
      </c>
      <c r="C43" s="20"/>
      <c r="D43" s="20"/>
      <c r="E43" s="20"/>
      <c r="F43" s="21">
        <f>F42*F41</f>
        <v>31449.449999999997</v>
      </c>
    </row>
    <row r="44" spans="2:8" ht="15" customHeight="1">
      <c r="B44" s="22" t="s">
        <v>557</v>
      </c>
      <c r="C44" s="23"/>
      <c r="D44" s="23"/>
      <c r="E44" s="23"/>
      <c r="F44" s="24">
        <f>F42+F43</f>
        <v>241112.45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5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H12" sqref="H12"/>
    </sheetView>
  </sheetViews>
  <sheetFormatPr defaultRowHeight="14.5"/>
  <cols>
    <col min="1" max="1" width="42" customWidth="1"/>
    <col min="2" max="6" width="14" customWidth="1"/>
    <col min="7" max="7" width="9.1796875" customWidth="1"/>
    <col min="8" max="61" width="11" customWidth="1"/>
    <col min="63" max="63" width="56" customWidth="1"/>
  </cols>
  <sheetData>
    <row r="1" spans="1:63" ht="24" customHeight="1">
      <c r="A1" s="246" t="s">
        <v>558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</row>
    <row r="2" spans="1:63">
      <c r="A2" s="247" t="s">
        <v>559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</row>
    <row r="3" spans="1:63">
      <c r="G3" s="127" t="s">
        <v>560</v>
      </c>
      <c r="J3" s="127" t="s">
        <v>561</v>
      </c>
    </row>
    <row r="4" spans="1:63">
      <c r="A4" s="127" t="s">
        <v>562</v>
      </c>
      <c r="B4" t="str">
        <f>Assumptions!$D$4</f>
        <v>BASE</v>
      </c>
      <c r="D4" s="127" t="s">
        <v>563</v>
      </c>
      <c r="E4" t="str">
        <f>IF(MAX(B38:BI38)&lt;0,"Beyond Month 60",INDEX($B$9:$BI$9,1,MATCH(TRUE,INDEX(B38:BI38&gt;=0,0),0)))</f>
        <v>Y4 M5</v>
      </c>
      <c r="H4">
        <f>-MIN(0,B38:BI38)</f>
        <v>1269402.0625</v>
      </c>
      <c r="K4">
        <f>BI38</f>
        <v>12220136.128125004</v>
      </c>
    </row>
    <row r="6" spans="1:63">
      <c r="A6" s="128" t="s">
        <v>564</v>
      </c>
      <c r="B6" s="128">
        <v>1</v>
      </c>
      <c r="C6" s="128">
        <v>2</v>
      </c>
      <c r="D6" s="128">
        <v>3</v>
      </c>
      <c r="E6" s="128">
        <v>4</v>
      </c>
      <c r="F6" s="128">
        <v>5</v>
      </c>
      <c r="G6" s="128">
        <v>6</v>
      </c>
      <c r="H6" s="128">
        <v>7</v>
      </c>
      <c r="I6" s="128">
        <v>8</v>
      </c>
      <c r="J6" s="128">
        <v>9</v>
      </c>
      <c r="K6" s="128">
        <v>10</v>
      </c>
      <c r="L6" s="128">
        <v>11</v>
      </c>
      <c r="M6" s="128">
        <v>12</v>
      </c>
      <c r="N6" s="128">
        <v>13</v>
      </c>
      <c r="O6" s="128">
        <v>14</v>
      </c>
      <c r="P6" s="128">
        <v>15</v>
      </c>
      <c r="Q6" s="128">
        <v>16</v>
      </c>
      <c r="R6" s="128">
        <v>17</v>
      </c>
      <c r="S6" s="128">
        <v>18</v>
      </c>
      <c r="T6" s="128">
        <v>19</v>
      </c>
      <c r="U6" s="128">
        <v>20</v>
      </c>
      <c r="V6" s="128">
        <v>21</v>
      </c>
      <c r="W6" s="128">
        <v>22</v>
      </c>
      <c r="X6" s="128">
        <v>23</v>
      </c>
      <c r="Y6" s="128">
        <v>24</v>
      </c>
      <c r="Z6" s="128">
        <v>25</v>
      </c>
      <c r="AA6" s="128">
        <v>26</v>
      </c>
      <c r="AB6" s="128">
        <v>27</v>
      </c>
      <c r="AC6" s="128">
        <v>28</v>
      </c>
      <c r="AD6" s="128">
        <v>29</v>
      </c>
      <c r="AE6" s="128">
        <v>30</v>
      </c>
      <c r="AF6" s="128">
        <v>31</v>
      </c>
      <c r="AG6" s="128">
        <v>32</v>
      </c>
      <c r="AH6" s="128">
        <v>33</v>
      </c>
      <c r="AI6" s="128">
        <v>34</v>
      </c>
      <c r="AJ6" s="128">
        <v>35</v>
      </c>
      <c r="AK6" s="128">
        <v>36</v>
      </c>
      <c r="AL6" s="128">
        <v>37</v>
      </c>
      <c r="AM6" s="128">
        <v>38</v>
      </c>
      <c r="AN6" s="128">
        <v>39</v>
      </c>
      <c r="AO6" s="128">
        <v>40</v>
      </c>
      <c r="AP6" s="128">
        <v>41</v>
      </c>
      <c r="AQ6" s="128">
        <v>42</v>
      </c>
      <c r="AR6" s="128">
        <v>43</v>
      </c>
      <c r="AS6" s="128">
        <v>44</v>
      </c>
      <c r="AT6" s="128">
        <v>45</v>
      </c>
      <c r="AU6" s="128">
        <v>46</v>
      </c>
      <c r="AV6" s="128">
        <v>47</v>
      </c>
      <c r="AW6" s="128">
        <v>48</v>
      </c>
      <c r="AX6" s="128">
        <v>49</v>
      </c>
      <c r="AY6" s="128">
        <v>50</v>
      </c>
      <c r="AZ6" s="128">
        <v>51</v>
      </c>
      <c r="BA6" s="128">
        <v>52</v>
      </c>
      <c r="BB6" s="128">
        <v>53</v>
      </c>
      <c r="BC6" s="128">
        <v>54</v>
      </c>
      <c r="BD6" s="128">
        <v>55</v>
      </c>
      <c r="BE6" s="128">
        <v>56</v>
      </c>
      <c r="BF6" s="128">
        <v>57</v>
      </c>
      <c r="BG6" s="128">
        <v>58</v>
      </c>
      <c r="BH6" s="128">
        <v>59</v>
      </c>
      <c r="BI6" s="128">
        <v>60</v>
      </c>
      <c r="BK6" s="129" t="s">
        <v>565</v>
      </c>
    </row>
    <row r="7" spans="1:63">
      <c r="A7" s="128" t="s">
        <v>566</v>
      </c>
      <c r="B7" s="128">
        <f t="shared" ref="B7:AG7" si="0">ROUNDUP(B$6/12,0)</f>
        <v>1</v>
      </c>
      <c r="C7" s="128">
        <f t="shared" si="0"/>
        <v>1</v>
      </c>
      <c r="D7" s="128">
        <f t="shared" si="0"/>
        <v>1</v>
      </c>
      <c r="E7" s="128">
        <f t="shared" si="0"/>
        <v>1</v>
      </c>
      <c r="F7" s="128">
        <f t="shared" si="0"/>
        <v>1</v>
      </c>
      <c r="G7" s="128">
        <f t="shared" si="0"/>
        <v>1</v>
      </c>
      <c r="H7" s="128">
        <f t="shared" si="0"/>
        <v>1</v>
      </c>
      <c r="I7" s="128">
        <f t="shared" si="0"/>
        <v>1</v>
      </c>
      <c r="J7" s="128">
        <f t="shared" si="0"/>
        <v>1</v>
      </c>
      <c r="K7" s="128">
        <f t="shared" si="0"/>
        <v>1</v>
      </c>
      <c r="L7" s="128">
        <f t="shared" si="0"/>
        <v>1</v>
      </c>
      <c r="M7" s="128">
        <f t="shared" si="0"/>
        <v>1</v>
      </c>
      <c r="N7" s="128">
        <f t="shared" si="0"/>
        <v>2</v>
      </c>
      <c r="O7" s="128">
        <f t="shared" si="0"/>
        <v>2</v>
      </c>
      <c r="P7" s="128">
        <f t="shared" si="0"/>
        <v>2</v>
      </c>
      <c r="Q7" s="128">
        <f t="shared" si="0"/>
        <v>2</v>
      </c>
      <c r="R7" s="128">
        <f t="shared" si="0"/>
        <v>2</v>
      </c>
      <c r="S7" s="128">
        <f t="shared" si="0"/>
        <v>2</v>
      </c>
      <c r="T7" s="128">
        <f t="shared" si="0"/>
        <v>2</v>
      </c>
      <c r="U7" s="128">
        <f t="shared" si="0"/>
        <v>2</v>
      </c>
      <c r="V7" s="128">
        <f t="shared" si="0"/>
        <v>2</v>
      </c>
      <c r="W7" s="128">
        <f t="shared" si="0"/>
        <v>2</v>
      </c>
      <c r="X7" s="128">
        <f t="shared" si="0"/>
        <v>2</v>
      </c>
      <c r="Y7" s="128">
        <f t="shared" si="0"/>
        <v>2</v>
      </c>
      <c r="Z7" s="128">
        <f t="shared" si="0"/>
        <v>3</v>
      </c>
      <c r="AA7" s="128">
        <f t="shared" si="0"/>
        <v>3</v>
      </c>
      <c r="AB7" s="128">
        <f t="shared" si="0"/>
        <v>3</v>
      </c>
      <c r="AC7" s="128">
        <f t="shared" si="0"/>
        <v>3</v>
      </c>
      <c r="AD7" s="128">
        <f t="shared" si="0"/>
        <v>3</v>
      </c>
      <c r="AE7" s="128">
        <f t="shared" si="0"/>
        <v>3</v>
      </c>
      <c r="AF7" s="128">
        <f t="shared" si="0"/>
        <v>3</v>
      </c>
      <c r="AG7" s="128">
        <f t="shared" si="0"/>
        <v>3</v>
      </c>
      <c r="AH7" s="128">
        <f t="shared" ref="AH7:BI7" si="1">ROUNDUP(AH$6/12,0)</f>
        <v>3</v>
      </c>
      <c r="AI7" s="128">
        <f t="shared" si="1"/>
        <v>3</v>
      </c>
      <c r="AJ7" s="128">
        <f t="shared" si="1"/>
        <v>3</v>
      </c>
      <c r="AK7" s="128">
        <f t="shared" si="1"/>
        <v>3</v>
      </c>
      <c r="AL7" s="128">
        <f t="shared" si="1"/>
        <v>4</v>
      </c>
      <c r="AM7" s="128">
        <f t="shared" si="1"/>
        <v>4</v>
      </c>
      <c r="AN7" s="128">
        <f t="shared" si="1"/>
        <v>4</v>
      </c>
      <c r="AO7" s="128">
        <f t="shared" si="1"/>
        <v>4</v>
      </c>
      <c r="AP7" s="128">
        <f t="shared" si="1"/>
        <v>4</v>
      </c>
      <c r="AQ7" s="128">
        <f t="shared" si="1"/>
        <v>4</v>
      </c>
      <c r="AR7" s="128">
        <f t="shared" si="1"/>
        <v>4</v>
      </c>
      <c r="AS7" s="128">
        <f t="shared" si="1"/>
        <v>4</v>
      </c>
      <c r="AT7" s="128">
        <f t="shared" si="1"/>
        <v>4</v>
      </c>
      <c r="AU7" s="128">
        <f t="shared" si="1"/>
        <v>4</v>
      </c>
      <c r="AV7" s="128">
        <f t="shared" si="1"/>
        <v>4</v>
      </c>
      <c r="AW7" s="128">
        <f t="shared" si="1"/>
        <v>4</v>
      </c>
      <c r="AX7" s="128">
        <f t="shared" si="1"/>
        <v>5</v>
      </c>
      <c r="AY7" s="128">
        <f t="shared" si="1"/>
        <v>5</v>
      </c>
      <c r="AZ7" s="128">
        <f t="shared" si="1"/>
        <v>5</v>
      </c>
      <c r="BA7" s="128">
        <f t="shared" si="1"/>
        <v>5</v>
      </c>
      <c r="BB7" s="128">
        <f t="shared" si="1"/>
        <v>5</v>
      </c>
      <c r="BC7" s="128">
        <f t="shared" si="1"/>
        <v>5</v>
      </c>
      <c r="BD7" s="128">
        <f t="shared" si="1"/>
        <v>5</v>
      </c>
      <c r="BE7" s="128">
        <f t="shared" si="1"/>
        <v>5</v>
      </c>
      <c r="BF7" s="128">
        <f t="shared" si="1"/>
        <v>5</v>
      </c>
      <c r="BG7" s="128">
        <f t="shared" si="1"/>
        <v>5</v>
      </c>
      <c r="BH7" s="128">
        <f t="shared" si="1"/>
        <v>5</v>
      </c>
      <c r="BI7" s="128">
        <f t="shared" si="1"/>
        <v>5</v>
      </c>
    </row>
    <row r="8" spans="1:63">
      <c r="A8" s="128" t="s">
        <v>567</v>
      </c>
      <c r="B8" s="128">
        <f t="shared" ref="B8:AG8" si="2">MOD(B$6-1,12)+1</f>
        <v>1</v>
      </c>
      <c r="C8" s="128">
        <f t="shared" si="2"/>
        <v>2</v>
      </c>
      <c r="D8" s="128">
        <f t="shared" si="2"/>
        <v>3</v>
      </c>
      <c r="E8" s="128">
        <f t="shared" si="2"/>
        <v>4</v>
      </c>
      <c r="F8" s="128">
        <f t="shared" si="2"/>
        <v>5</v>
      </c>
      <c r="G8" s="128">
        <f t="shared" si="2"/>
        <v>6</v>
      </c>
      <c r="H8" s="128">
        <f t="shared" si="2"/>
        <v>7</v>
      </c>
      <c r="I8" s="128">
        <f t="shared" si="2"/>
        <v>8</v>
      </c>
      <c r="J8" s="128">
        <f t="shared" si="2"/>
        <v>9</v>
      </c>
      <c r="K8" s="128">
        <f t="shared" si="2"/>
        <v>10</v>
      </c>
      <c r="L8" s="128">
        <f t="shared" si="2"/>
        <v>11</v>
      </c>
      <c r="M8" s="128">
        <f t="shared" si="2"/>
        <v>12</v>
      </c>
      <c r="N8" s="128">
        <f t="shared" si="2"/>
        <v>1</v>
      </c>
      <c r="O8" s="128">
        <f t="shared" si="2"/>
        <v>2</v>
      </c>
      <c r="P8" s="128">
        <f t="shared" si="2"/>
        <v>3</v>
      </c>
      <c r="Q8" s="128">
        <f t="shared" si="2"/>
        <v>4</v>
      </c>
      <c r="R8" s="128">
        <f t="shared" si="2"/>
        <v>5</v>
      </c>
      <c r="S8" s="128">
        <f t="shared" si="2"/>
        <v>6</v>
      </c>
      <c r="T8" s="128">
        <f t="shared" si="2"/>
        <v>7</v>
      </c>
      <c r="U8" s="128">
        <f t="shared" si="2"/>
        <v>8</v>
      </c>
      <c r="V8" s="128">
        <f t="shared" si="2"/>
        <v>9</v>
      </c>
      <c r="W8" s="128">
        <f t="shared" si="2"/>
        <v>10</v>
      </c>
      <c r="X8" s="128">
        <f t="shared" si="2"/>
        <v>11</v>
      </c>
      <c r="Y8" s="128">
        <f t="shared" si="2"/>
        <v>12</v>
      </c>
      <c r="Z8" s="128">
        <f t="shared" si="2"/>
        <v>1</v>
      </c>
      <c r="AA8" s="128">
        <f t="shared" si="2"/>
        <v>2</v>
      </c>
      <c r="AB8" s="128">
        <f t="shared" si="2"/>
        <v>3</v>
      </c>
      <c r="AC8" s="128">
        <f t="shared" si="2"/>
        <v>4</v>
      </c>
      <c r="AD8" s="128">
        <f t="shared" si="2"/>
        <v>5</v>
      </c>
      <c r="AE8" s="128">
        <f t="shared" si="2"/>
        <v>6</v>
      </c>
      <c r="AF8" s="128">
        <f t="shared" si="2"/>
        <v>7</v>
      </c>
      <c r="AG8" s="128">
        <f t="shared" si="2"/>
        <v>8</v>
      </c>
      <c r="AH8" s="128">
        <f t="shared" ref="AH8:BI8" si="3">MOD(AH$6-1,12)+1</f>
        <v>9</v>
      </c>
      <c r="AI8" s="128">
        <f t="shared" si="3"/>
        <v>10</v>
      </c>
      <c r="AJ8" s="128">
        <f t="shared" si="3"/>
        <v>11</v>
      </c>
      <c r="AK8" s="128">
        <f t="shared" si="3"/>
        <v>12</v>
      </c>
      <c r="AL8" s="128">
        <f t="shared" si="3"/>
        <v>1</v>
      </c>
      <c r="AM8" s="128">
        <f t="shared" si="3"/>
        <v>2</v>
      </c>
      <c r="AN8" s="128">
        <f t="shared" si="3"/>
        <v>3</v>
      </c>
      <c r="AO8" s="128">
        <f t="shared" si="3"/>
        <v>4</v>
      </c>
      <c r="AP8" s="128">
        <f t="shared" si="3"/>
        <v>5</v>
      </c>
      <c r="AQ8" s="128">
        <f t="shared" si="3"/>
        <v>6</v>
      </c>
      <c r="AR8" s="128">
        <f t="shared" si="3"/>
        <v>7</v>
      </c>
      <c r="AS8" s="128">
        <f t="shared" si="3"/>
        <v>8</v>
      </c>
      <c r="AT8" s="128">
        <f t="shared" si="3"/>
        <v>9</v>
      </c>
      <c r="AU8" s="128">
        <f t="shared" si="3"/>
        <v>10</v>
      </c>
      <c r="AV8" s="128">
        <f t="shared" si="3"/>
        <v>11</v>
      </c>
      <c r="AW8" s="128">
        <f t="shared" si="3"/>
        <v>12</v>
      </c>
      <c r="AX8" s="128">
        <f t="shared" si="3"/>
        <v>1</v>
      </c>
      <c r="AY8" s="128">
        <f t="shared" si="3"/>
        <v>2</v>
      </c>
      <c r="AZ8" s="128">
        <f t="shared" si="3"/>
        <v>3</v>
      </c>
      <c r="BA8" s="128">
        <f t="shared" si="3"/>
        <v>4</v>
      </c>
      <c r="BB8" s="128">
        <f t="shared" si="3"/>
        <v>5</v>
      </c>
      <c r="BC8" s="128">
        <f t="shared" si="3"/>
        <v>6</v>
      </c>
      <c r="BD8" s="128">
        <f t="shared" si="3"/>
        <v>7</v>
      </c>
      <c r="BE8" s="128">
        <f t="shared" si="3"/>
        <v>8</v>
      </c>
      <c r="BF8" s="128">
        <f t="shared" si="3"/>
        <v>9</v>
      </c>
      <c r="BG8" s="128">
        <f t="shared" si="3"/>
        <v>10</v>
      </c>
      <c r="BH8" s="128">
        <f t="shared" si="3"/>
        <v>11</v>
      </c>
      <c r="BI8" s="128">
        <f t="shared" si="3"/>
        <v>12</v>
      </c>
    </row>
    <row r="9" spans="1:63">
      <c r="A9" s="128" t="s">
        <v>568</v>
      </c>
      <c r="B9" s="128" t="str">
        <f t="shared" ref="B9:AG9" si="4">"Y"&amp;B$7&amp;" M"&amp;B$8</f>
        <v>Y1 M1</v>
      </c>
      <c r="C9" s="128" t="str">
        <f t="shared" si="4"/>
        <v>Y1 M2</v>
      </c>
      <c r="D9" s="128" t="str">
        <f t="shared" si="4"/>
        <v>Y1 M3</v>
      </c>
      <c r="E9" s="128" t="str">
        <f t="shared" si="4"/>
        <v>Y1 M4</v>
      </c>
      <c r="F9" s="128" t="str">
        <f t="shared" si="4"/>
        <v>Y1 M5</v>
      </c>
      <c r="G9" s="128" t="str">
        <f t="shared" si="4"/>
        <v>Y1 M6</v>
      </c>
      <c r="H9" s="128" t="str">
        <f t="shared" si="4"/>
        <v>Y1 M7</v>
      </c>
      <c r="I9" s="128" t="str">
        <f t="shared" si="4"/>
        <v>Y1 M8</v>
      </c>
      <c r="J9" s="128" t="str">
        <f t="shared" si="4"/>
        <v>Y1 M9</v>
      </c>
      <c r="K9" s="128" t="str">
        <f t="shared" si="4"/>
        <v>Y1 M10</v>
      </c>
      <c r="L9" s="128" t="str">
        <f t="shared" si="4"/>
        <v>Y1 M11</v>
      </c>
      <c r="M9" s="128" t="str">
        <f t="shared" si="4"/>
        <v>Y1 M12</v>
      </c>
      <c r="N9" s="128" t="str">
        <f t="shared" si="4"/>
        <v>Y2 M1</v>
      </c>
      <c r="O9" s="128" t="str">
        <f t="shared" si="4"/>
        <v>Y2 M2</v>
      </c>
      <c r="P9" s="128" t="str">
        <f t="shared" si="4"/>
        <v>Y2 M3</v>
      </c>
      <c r="Q9" s="128" t="str">
        <f t="shared" si="4"/>
        <v>Y2 M4</v>
      </c>
      <c r="R9" s="128" t="str">
        <f t="shared" si="4"/>
        <v>Y2 M5</v>
      </c>
      <c r="S9" s="128" t="str">
        <f t="shared" si="4"/>
        <v>Y2 M6</v>
      </c>
      <c r="T9" s="128" t="str">
        <f t="shared" si="4"/>
        <v>Y2 M7</v>
      </c>
      <c r="U9" s="128" t="str">
        <f t="shared" si="4"/>
        <v>Y2 M8</v>
      </c>
      <c r="V9" s="128" t="str">
        <f t="shared" si="4"/>
        <v>Y2 M9</v>
      </c>
      <c r="W9" s="128" t="str">
        <f t="shared" si="4"/>
        <v>Y2 M10</v>
      </c>
      <c r="X9" s="128" t="str">
        <f t="shared" si="4"/>
        <v>Y2 M11</v>
      </c>
      <c r="Y9" s="128" t="str">
        <f t="shared" si="4"/>
        <v>Y2 M12</v>
      </c>
      <c r="Z9" s="128" t="str">
        <f t="shared" si="4"/>
        <v>Y3 M1</v>
      </c>
      <c r="AA9" s="128" t="str">
        <f t="shared" si="4"/>
        <v>Y3 M2</v>
      </c>
      <c r="AB9" s="128" t="str">
        <f t="shared" si="4"/>
        <v>Y3 M3</v>
      </c>
      <c r="AC9" s="128" t="str">
        <f t="shared" si="4"/>
        <v>Y3 M4</v>
      </c>
      <c r="AD9" s="128" t="str">
        <f t="shared" si="4"/>
        <v>Y3 M5</v>
      </c>
      <c r="AE9" s="128" t="str">
        <f t="shared" si="4"/>
        <v>Y3 M6</v>
      </c>
      <c r="AF9" s="128" t="str">
        <f t="shared" si="4"/>
        <v>Y3 M7</v>
      </c>
      <c r="AG9" s="128" t="str">
        <f t="shared" si="4"/>
        <v>Y3 M8</v>
      </c>
      <c r="AH9" s="128" t="str">
        <f t="shared" ref="AH9:BI9" si="5">"Y"&amp;AH$7&amp;" M"&amp;AH$8</f>
        <v>Y3 M9</v>
      </c>
      <c r="AI9" s="128" t="str">
        <f t="shared" si="5"/>
        <v>Y3 M10</v>
      </c>
      <c r="AJ9" s="128" t="str">
        <f t="shared" si="5"/>
        <v>Y3 M11</v>
      </c>
      <c r="AK9" s="128" t="str">
        <f t="shared" si="5"/>
        <v>Y3 M12</v>
      </c>
      <c r="AL9" s="128" t="str">
        <f t="shared" si="5"/>
        <v>Y4 M1</v>
      </c>
      <c r="AM9" s="128" t="str">
        <f t="shared" si="5"/>
        <v>Y4 M2</v>
      </c>
      <c r="AN9" s="128" t="str">
        <f t="shared" si="5"/>
        <v>Y4 M3</v>
      </c>
      <c r="AO9" s="128" t="str">
        <f t="shared" si="5"/>
        <v>Y4 M4</v>
      </c>
      <c r="AP9" s="128" t="str">
        <f t="shared" si="5"/>
        <v>Y4 M5</v>
      </c>
      <c r="AQ9" s="128" t="str">
        <f t="shared" si="5"/>
        <v>Y4 M6</v>
      </c>
      <c r="AR9" s="128" t="str">
        <f t="shared" si="5"/>
        <v>Y4 M7</v>
      </c>
      <c r="AS9" s="128" t="str">
        <f t="shared" si="5"/>
        <v>Y4 M8</v>
      </c>
      <c r="AT9" s="128" t="str">
        <f t="shared" si="5"/>
        <v>Y4 M9</v>
      </c>
      <c r="AU9" s="128" t="str">
        <f t="shared" si="5"/>
        <v>Y4 M10</v>
      </c>
      <c r="AV9" s="128" t="str">
        <f t="shared" si="5"/>
        <v>Y4 M11</v>
      </c>
      <c r="AW9" s="128" t="str">
        <f t="shared" si="5"/>
        <v>Y4 M12</v>
      </c>
      <c r="AX9" s="128" t="str">
        <f t="shared" si="5"/>
        <v>Y5 M1</v>
      </c>
      <c r="AY9" s="128" t="str">
        <f t="shared" si="5"/>
        <v>Y5 M2</v>
      </c>
      <c r="AZ9" s="128" t="str">
        <f t="shared" si="5"/>
        <v>Y5 M3</v>
      </c>
      <c r="BA9" s="128" t="str">
        <f t="shared" si="5"/>
        <v>Y5 M4</v>
      </c>
      <c r="BB9" s="128" t="str">
        <f t="shared" si="5"/>
        <v>Y5 M5</v>
      </c>
      <c r="BC9" s="128" t="str">
        <f t="shared" si="5"/>
        <v>Y5 M6</v>
      </c>
      <c r="BD9" s="128" t="str">
        <f t="shared" si="5"/>
        <v>Y5 M7</v>
      </c>
      <c r="BE9" s="128" t="str">
        <f t="shared" si="5"/>
        <v>Y5 M8</v>
      </c>
      <c r="BF9" s="128" t="str">
        <f t="shared" si="5"/>
        <v>Y5 M9</v>
      </c>
      <c r="BG9" s="128" t="str">
        <f t="shared" si="5"/>
        <v>Y5 M10</v>
      </c>
      <c r="BH9" s="128" t="str">
        <f t="shared" si="5"/>
        <v>Y5 M11</v>
      </c>
      <c r="BI9" s="128" t="str">
        <f t="shared" si="5"/>
        <v>Y5 M12</v>
      </c>
    </row>
    <row r="10" spans="1:63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</row>
    <row r="11" spans="1:63" ht="29" customHeight="1">
      <c r="A11" s="131" t="s">
        <v>569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</row>
    <row r="12" spans="1:63" ht="29" customHeight="1">
      <c r="A12" s="132" t="s">
        <v>570</v>
      </c>
      <c r="B12" s="133">
        <f>IF(B$7=1,IF(B$8&lt;=Assumptions!$F$59,0,INDEX('P&amp;L_5yr'!$C$18:$G$18,1,B$7)/MAX(1,12-Assumptions!$F$59)),INDEX('P&amp;L_5yr'!$C$18:$G$18,1,B$7)/12)</f>
        <v>0</v>
      </c>
      <c r="C12" s="133">
        <f>IF(C$7=1,IF(C$8&lt;=Assumptions!$F$59,0,INDEX('P&amp;L_5yr'!$C$18:$G$18,1,C$7)/MAX(1,12-Assumptions!$F$59)),INDEX('P&amp;L_5yr'!$C$18:$G$18,1,C$7)/12)</f>
        <v>0</v>
      </c>
      <c r="D12" s="133">
        <f>IF(D$7=1,IF(D$8&lt;=Assumptions!$F$59,0,INDEX('P&amp;L_5yr'!$C$18:$G$18,1,D$7)/MAX(1,12-Assumptions!$F$59)),INDEX('P&amp;L_5yr'!$C$18:$G$18,1,D$7)/12)</f>
        <v>0</v>
      </c>
      <c r="E12" s="133">
        <f>IF(E$7=1,IF(E$8&lt;=Assumptions!$F$59,0,INDEX('P&amp;L_5yr'!$C$18:$G$18,1,E$7)/MAX(1,12-Assumptions!$F$59)),INDEX('P&amp;L_5yr'!$C$18:$G$18,1,E$7)/12)</f>
        <v>0</v>
      </c>
      <c r="F12" s="133">
        <f>IF(F$7=1,IF(F$8&lt;=Assumptions!$F$59,0,INDEX('P&amp;L_5yr'!$C$18:$G$18,1,F$7)/MAX(1,12-Assumptions!$F$59)),INDEX('P&amp;L_5yr'!$C$18:$G$18,1,F$7)/12)</f>
        <v>0</v>
      </c>
      <c r="G12" s="133">
        <f>IF(G$7=1,IF(G$8&lt;=Assumptions!$F$59,0,INDEX('P&amp;L_5yr'!$C$18:$G$18,1,G$7)/MAX(1,12-Assumptions!$F$59)),INDEX('P&amp;L_5yr'!$C$18:$G$18,1,G$7)/12)</f>
        <v>0</v>
      </c>
      <c r="H12" s="133">
        <f>IF(H$7=1,IF(H$8&lt;=Assumptions!$F$59,0,INDEX('P&amp;L_5yr'!$C$18:$G$18,1,H$7)/MAX(1,12-Assumptions!$F$59)),INDEX('P&amp;L_5yr'!$C$18:$G$18,1,H$7)/12)</f>
        <v>17917.5</v>
      </c>
      <c r="I12" s="133">
        <f>IF(I$7=1,IF(I$8&lt;=Assumptions!$F$59,0,INDEX('P&amp;L_5yr'!$C$18:$G$18,1,I$7)/MAX(1,12-Assumptions!$F$59)),INDEX('P&amp;L_5yr'!$C$18:$G$18,1,I$7)/12)</f>
        <v>17917.5</v>
      </c>
      <c r="J12" s="133">
        <f>IF(J$7=1,IF(J$8&lt;=Assumptions!$F$59,0,INDEX('P&amp;L_5yr'!$C$18:$G$18,1,J$7)/MAX(1,12-Assumptions!$F$59)),INDEX('P&amp;L_5yr'!$C$18:$G$18,1,J$7)/12)</f>
        <v>17917.5</v>
      </c>
      <c r="K12" s="133">
        <f>IF(K$7=1,IF(K$8&lt;=Assumptions!$F$59,0,INDEX('P&amp;L_5yr'!$C$18:$G$18,1,K$7)/MAX(1,12-Assumptions!$F$59)),INDEX('P&amp;L_5yr'!$C$18:$G$18,1,K$7)/12)</f>
        <v>17917.5</v>
      </c>
      <c r="L12" s="133">
        <f>IF(L$7=1,IF(L$8&lt;=Assumptions!$F$59,0,INDEX('P&amp;L_5yr'!$C$18:$G$18,1,L$7)/MAX(1,12-Assumptions!$F$59)),INDEX('P&amp;L_5yr'!$C$18:$G$18,1,L$7)/12)</f>
        <v>17917.5</v>
      </c>
      <c r="M12" s="133">
        <f>IF(M$7=1,IF(M$8&lt;=Assumptions!$F$59,0,INDEX('P&amp;L_5yr'!$C$18:$G$18,1,M$7)/MAX(1,12-Assumptions!$F$59)),INDEX('P&amp;L_5yr'!$C$18:$G$18,1,M$7)/12)</f>
        <v>17917.5</v>
      </c>
      <c r="N12" s="133">
        <f>IF(N$7=1,IF(N$8&lt;=Assumptions!$F$59,0,INDEX('P&amp;L_5yr'!$C$18:$G$18,1,N$7)/MAX(1,12-Assumptions!$F$59)),INDEX('P&amp;L_5yr'!$C$18:$G$18,1,N$7)/12)</f>
        <v>49898.0625</v>
      </c>
      <c r="O12" s="133">
        <f>IF(O$7=1,IF(O$8&lt;=Assumptions!$F$59,0,INDEX('P&amp;L_5yr'!$C$18:$G$18,1,O$7)/MAX(1,12-Assumptions!$F$59)),INDEX('P&amp;L_5yr'!$C$18:$G$18,1,O$7)/12)</f>
        <v>49898.0625</v>
      </c>
      <c r="P12" s="133">
        <f>IF(P$7=1,IF(P$8&lt;=Assumptions!$F$59,0,INDEX('P&amp;L_5yr'!$C$18:$G$18,1,P$7)/MAX(1,12-Assumptions!$F$59)),INDEX('P&amp;L_5yr'!$C$18:$G$18,1,P$7)/12)</f>
        <v>49898.0625</v>
      </c>
      <c r="Q12" s="133">
        <f>IF(Q$7=1,IF(Q$8&lt;=Assumptions!$F$59,0,INDEX('P&amp;L_5yr'!$C$18:$G$18,1,Q$7)/MAX(1,12-Assumptions!$F$59)),INDEX('P&amp;L_5yr'!$C$18:$G$18,1,Q$7)/12)</f>
        <v>49898.0625</v>
      </c>
      <c r="R12" s="133">
        <f>IF(R$7=1,IF(R$8&lt;=Assumptions!$F$59,0,INDEX('P&amp;L_5yr'!$C$18:$G$18,1,R$7)/MAX(1,12-Assumptions!$F$59)),INDEX('P&amp;L_5yr'!$C$18:$G$18,1,R$7)/12)</f>
        <v>49898.0625</v>
      </c>
      <c r="S12" s="133">
        <f>IF(S$7=1,IF(S$8&lt;=Assumptions!$F$59,0,INDEX('P&amp;L_5yr'!$C$18:$G$18,1,S$7)/MAX(1,12-Assumptions!$F$59)),INDEX('P&amp;L_5yr'!$C$18:$G$18,1,S$7)/12)</f>
        <v>49898.0625</v>
      </c>
      <c r="T12" s="133">
        <f>IF(T$7=1,IF(T$8&lt;=Assumptions!$F$59,0,INDEX('P&amp;L_5yr'!$C$18:$G$18,1,T$7)/MAX(1,12-Assumptions!$F$59)),INDEX('P&amp;L_5yr'!$C$18:$G$18,1,T$7)/12)</f>
        <v>49898.0625</v>
      </c>
      <c r="U12" s="133">
        <f>IF(U$7=1,IF(U$8&lt;=Assumptions!$F$59,0,INDEX('P&amp;L_5yr'!$C$18:$G$18,1,U$7)/MAX(1,12-Assumptions!$F$59)),INDEX('P&amp;L_5yr'!$C$18:$G$18,1,U$7)/12)</f>
        <v>49898.0625</v>
      </c>
      <c r="V12" s="133">
        <f>IF(V$7=1,IF(V$8&lt;=Assumptions!$F$59,0,INDEX('P&amp;L_5yr'!$C$18:$G$18,1,V$7)/MAX(1,12-Assumptions!$F$59)),INDEX('P&amp;L_5yr'!$C$18:$G$18,1,V$7)/12)</f>
        <v>49898.0625</v>
      </c>
      <c r="W12" s="133">
        <f>IF(W$7=1,IF(W$8&lt;=Assumptions!$F$59,0,INDEX('P&amp;L_5yr'!$C$18:$G$18,1,W$7)/MAX(1,12-Assumptions!$F$59)),INDEX('P&amp;L_5yr'!$C$18:$G$18,1,W$7)/12)</f>
        <v>49898.0625</v>
      </c>
      <c r="X12" s="133">
        <f>IF(X$7=1,IF(X$8&lt;=Assumptions!$F$59,0,INDEX('P&amp;L_5yr'!$C$18:$G$18,1,X$7)/MAX(1,12-Assumptions!$F$59)),INDEX('P&amp;L_5yr'!$C$18:$G$18,1,X$7)/12)</f>
        <v>49898.0625</v>
      </c>
      <c r="Y12" s="133">
        <f>IF(Y$7=1,IF(Y$8&lt;=Assumptions!$F$59,0,INDEX('P&amp;L_5yr'!$C$18:$G$18,1,Y$7)/MAX(1,12-Assumptions!$F$59)),INDEX('P&amp;L_5yr'!$C$18:$G$18,1,Y$7)/12)</f>
        <v>49898.0625</v>
      </c>
      <c r="Z12" s="133">
        <f>IF(Z$7=1,IF(Z$8&lt;=Assumptions!$F$59,0,INDEX('P&amp;L_5yr'!$C$18:$G$18,1,Z$7)/MAX(1,12-Assumptions!$F$59)),INDEX('P&amp;L_5yr'!$C$18:$G$18,1,Z$7)/12)</f>
        <v>163279.0625</v>
      </c>
      <c r="AA12" s="133">
        <f>IF(AA$7=1,IF(AA$8&lt;=Assumptions!$F$59,0,INDEX('P&amp;L_5yr'!$C$18:$G$18,1,AA$7)/MAX(1,12-Assumptions!$F$59)),INDEX('P&amp;L_5yr'!$C$18:$G$18,1,AA$7)/12)</f>
        <v>163279.0625</v>
      </c>
      <c r="AB12" s="133">
        <f>IF(AB$7=1,IF(AB$8&lt;=Assumptions!$F$59,0,INDEX('P&amp;L_5yr'!$C$18:$G$18,1,AB$7)/MAX(1,12-Assumptions!$F$59)),INDEX('P&amp;L_5yr'!$C$18:$G$18,1,AB$7)/12)</f>
        <v>163279.0625</v>
      </c>
      <c r="AC12" s="133">
        <f>IF(AC$7=1,IF(AC$8&lt;=Assumptions!$F$59,0,INDEX('P&amp;L_5yr'!$C$18:$G$18,1,AC$7)/MAX(1,12-Assumptions!$F$59)),INDEX('P&amp;L_5yr'!$C$18:$G$18,1,AC$7)/12)</f>
        <v>163279.0625</v>
      </c>
      <c r="AD12" s="133">
        <f>IF(AD$7=1,IF(AD$8&lt;=Assumptions!$F$59,0,INDEX('P&amp;L_5yr'!$C$18:$G$18,1,AD$7)/MAX(1,12-Assumptions!$F$59)),INDEX('P&amp;L_5yr'!$C$18:$G$18,1,AD$7)/12)</f>
        <v>163279.0625</v>
      </c>
      <c r="AE12" s="133">
        <f>IF(AE$7=1,IF(AE$8&lt;=Assumptions!$F$59,0,INDEX('P&amp;L_5yr'!$C$18:$G$18,1,AE$7)/MAX(1,12-Assumptions!$F$59)),INDEX('P&amp;L_5yr'!$C$18:$G$18,1,AE$7)/12)</f>
        <v>163279.0625</v>
      </c>
      <c r="AF12" s="133">
        <f>IF(AF$7=1,IF(AF$8&lt;=Assumptions!$F$59,0,INDEX('P&amp;L_5yr'!$C$18:$G$18,1,AF$7)/MAX(1,12-Assumptions!$F$59)),INDEX('P&amp;L_5yr'!$C$18:$G$18,1,AF$7)/12)</f>
        <v>163279.0625</v>
      </c>
      <c r="AG12" s="133">
        <f>IF(AG$7=1,IF(AG$8&lt;=Assumptions!$F$59,0,INDEX('P&amp;L_5yr'!$C$18:$G$18,1,AG$7)/MAX(1,12-Assumptions!$F$59)),INDEX('P&amp;L_5yr'!$C$18:$G$18,1,AG$7)/12)</f>
        <v>163279.0625</v>
      </c>
      <c r="AH12" s="133">
        <f>IF(AH$7=1,IF(AH$8&lt;=Assumptions!$F$59,0,INDEX('P&amp;L_5yr'!$C$18:$G$18,1,AH$7)/MAX(1,12-Assumptions!$F$59)),INDEX('P&amp;L_5yr'!$C$18:$G$18,1,AH$7)/12)</f>
        <v>163279.0625</v>
      </c>
      <c r="AI12" s="133">
        <f>IF(AI$7=1,IF(AI$8&lt;=Assumptions!$F$59,0,INDEX('P&amp;L_5yr'!$C$18:$G$18,1,AI$7)/MAX(1,12-Assumptions!$F$59)),INDEX('P&amp;L_5yr'!$C$18:$G$18,1,AI$7)/12)</f>
        <v>163279.0625</v>
      </c>
      <c r="AJ12" s="133">
        <f>IF(AJ$7=1,IF(AJ$8&lt;=Assumptions!$F$59,0,INDEX('P&amp;L_5yr'!$C$18:$G$18,1,AJ$7)/MAX(1,12-Assumptions!$F$59)),INDEX('P&amp;L_5yr'!$C$18:$G$18,1,AJ$7)/12)</f>
        <v>163279.0625</v>
      </c>
      <c r="AK12" s="133">
        <f>IF(AK$7=1,IF(AK$8&lt;=Assumptions!$F$59,0,INDEX('P&amp;L_5yr'!$C$18:$G$18,1,AK$7)/MAX(1,12-Assumptions!$F$59)),INDEX('P&amp;L_5yr'!$C$18:$G$18,1,AK$7)/12)</f>
        <v>163279.0625</v>
      </c>
      <c r="AL12" s="133">
        <f>IF(AL$7=1,IF(AL$8&lt;=Assumptions!$F$59,0,INDEX('P&amp;L_5yr'!$C$18:$G$18,1,AL$7)/MAX(1,12-Assumptions!$F$59)),INDEX('P&amp;L_5yr'!$C$18:$G$18,1,AL$7)/12)</f>
        <v>434987.875</v>
      </c>
      <c r="AM12" s="133">
        <f>IF(AM$7=1,IF(AM$8&lt;=Assumptions!$F$59,0,INDEX('P&amp;L_5yr'!$C$18:$G$18,1,AM$7)/MAX(1,12-Assumptions!$F$59)),INDEX('P&amp;L_5yr'!$C$18:$G$18,1,AM$7)/12)</f>
        <v>434987.875</v>
      </c>
      <c r="AN12" s="133">
        <f>IF(AN$7=1,IF(AN$8&lt;=Assumptions!$F$59,0,INDEX('P&amp;L_5yr'!$C$18:$G$18,1,AN$7)/MAX(1,12-Assumptions!$F$59)),INDEX('P&amp;L_5yr'!$C$18:$G$18,1,AN$7)/12)</f>
        <v>434987.875</v>
      </c>
      <c r="AO12" s="133">
        <f>IF(AO$7=1,IF(AO$8&lt;=Assumptions!$F$59,0,INDEX('P&amp;L_5yr'!$C$18:$G$18,1,AO$7)/MAX(1,12-Assumptions!$F$59)),INDEX('P&amp;L_5yr'!$C$18:$G$18,1,AO$7)/12)</f>
        <v>434987.875</v>
      </c>
      <c r="AP12" s="133">
        <f>IF(AP$7=1,IF(AP$8&lt;=Assumptions!$F$59,0,INDEX('P&amp;L_5yr'!$C$18:$G$18,1,AP$7)/MAX(1,12-Assumptions!$F$59)),INDEX('P&amp;L_5yr'!$C$18:$G$18,1,AP$7)/12)</f>
        <v>434987.875</v>
      </c>
      <c r="AQ12" s="133">
        <f>IF(AQ$7=1,IF(AQ$8&lt;=Assumptions!$F$59,0,INDEX('P&amp;L_5yr'!$C$18:$G$18,1,AQ$7)/MAX(1,12-Assumptions!$F$59)),INDEX('P&amp;L_5yr'!$C$18:$G$18,1,AQ$7)/12)</f>
        <v>434987.875</v>
      </c>
      <c r="AR12" s="133">
        <f>IF(AR$7=1,IF(AR$8&lt;=Assumptions!$F$59,0,INDEX('P&amp;L_5yr'!$C$18:$G$18,1,AR$7)/MAX(1,12-Assumptions!$F$59)),INDEX('P&amp;L_5yr'!$C$18:$G$18,1,AR$7)/12)</f>
        <v>434987.875</v>
      </c>
      <c r="AS12" s="133">
        <f>IF(AS$7=1,IF(AS$8&lt;=Assumptions!$F$59,0,INDEX('P&amp;L_5yr'!$C$18:$G$18,1,AS$7)/MAX(1,12-Assumptions!$F$59)),INDEX('P&amp;L_5yr'!$C$18:$G$18,1,AS$7)/12)</f>
        <v>434987.875</v>
      </c>
      <c r="AT12" s="133">
        <f>IF(AT$7=1,IF(AT$8&lt;=Assumptions!$F$59,0,INDEX('P&amp;L_5yr'!$C$18:$G$18,1,AT$7)/MAX(1,12-Assumptions!$F$59)),INDEX('P&amp;L_5yr'!$C$18:$G$18,1,AT$7)/12)</f>
        <v>434987.875</v>
      </c>
      <c r="AU12" s="133">
        <f>IF(AU$7=1,IF(AU$8&lt;=Assumptions!$F$59,0,INDEX('P&amp;L_5yr'!$C$18:$G$18,1,AU$7)/MAX(1,12-Assumptions!$F$59)),INDEX('P&amp;L_5yr'!$C$18:$G$18,1,AU$7)/12)</f>
        <v>434987.875</v>
      </c>
      <c r="AV12" s="133">
        <f>IF(AV$7=1,IF(AV$8&lt;=Assumptions!$F$59,0,INDEX('P&amp;L_5yr'!$C$18:$G$18,1,AV$7)/MAX(1,12-Assumptions!$F$59)),INDEX('P&amp;L_5yr'!$C$18:$G$18,1,AV$7)/12)</f>
        <v>434987.875</v>
      </c>
      <c r="AW12" s="133">
        <f>IF(AW$7=1,IF(AW$8&lt;=Assumptions!$F$59,0,INDEX('P&amp;L_5yr'!$C$18:$G$18,1,AW$7)/MAX(1,12-Assumptions!$F$59)),INDEX('P&amp;L_5yr'!$C$18:$G$18,1,AW$7)/12)</f>
        <v>434987.875</v>
      </c>
      <c r="AX12" s="133">
        <f>IF(AX$7=1,IF(AX$8&lt;=Assumptions!$F$59,0,INDEX('P&amp;L_5yr'!$C$18:$G$18,1,AX$7)/MAX(1,12-Assumptions!$F$59)),INDEX('P&amp;L_5yr'!$C$18:$G$18,1,AX$7)/12)</f>
        <v>1228354.5523437501</v>
      </c>
      <c r="AY12" s="133">
        <f>IF(AY$7=1,IF(AY$8&lt;=Assumptions!$F$59,0,INDEX('P&amp;L_5yr'!$C$18:$G$18,1,AY$7)/MAX(1,12-Assumptions!$F$59)),INDEX('P&amp;L_5yr'!$C$18:$G$18,1,AY$7)/12)</f>
        <v>1228354.5523437501</v>
      </c>
      <c r="AZ12" s="133">
        <f>IF(AZ$7=1,IF(AZ$8&lt;=Assumptions!$F$59,0,INDEX('P&amp;L_5yr'!$C$18:$G$18,1,AZ$7)/MAX(1,12-Assumptions!$F$59)),INDEX('P&amp;L_5yr'!$C$18:$G$18,1,AZ$7)/12)</f>
        <v>1228354.5523437501</v>
      </c>
      <c r="BA12" s="133">
        <f>IF(BA$7=1,IF(BA$8&lt;=Assumptions!$F$59,0,INDEX('P&amp;L_5yr'!$C$18:$G$18,1,BA$7)/MAX(1,12-Assumptions!$F$59)),INDEX('P&amp;L_5yr'!$C$18:$G$18,1,BA$7)/12)</f>
        <v>1228354.5523437501</v>
      </c>
      <c r="BB12" s="133">
        <f>IF(BB$7=1,IF(BB$8&lt;=Assumptions!$F$59,0,INDEX('P&amp;L_5yr'!$C$18:$G$18,1,BB$7)/MAX(1,12-Assumptions!$F$59)),INDEX('P&amp;L_5yr'!$C$18:$G$18,1,BB$7)/12)</f>
        <v>1228354.5523437501</v>
      </c>
      <c r="BC12" s="133">
        <f>IF(BC$7=1,IF(BC$8&lt;=Assumptions!$F$59,0,INDEX('P&amp;L_5yr'!$C$18:$G$18,1,BC$7)/MAX(1,12-Assumptions!$F$59)),INDEX('P&amp;L_5yr'!$C$18:$G$18,1,BC$7)/12)</f>
        <v>1228354.5523437501</v>
      </c>
      <c r="BD12" s="133">
        <f>IF(BD$7=1,IF(BD$8&lt;=Assumptions!$F$59,0,INDEX('P&amp;L_5yr'!$C$18:$G$18,1,BD$7)/MAX(1,12-Assumptions!$F$59)),INDEX('P&amp;L_5yr'!$C$18:$G$18,1,BD$7)/12)</f>
        <v>1228354.5523437501</v>
      </c>
      <c r="BE12" s="133">
        <f>IF(BE$7=1,IF(BE$8&lt;=Assumptions!$F$59,0,INDEX('P&amp;L_5yr'!$C$18:$G$18,1,BE$7)/MAX(1,12-Assumptions!$F$59)),INDEX('P&amp;L_5yr'!$C$18:$G$18,1,BE$7)/12)</f>
        <v>1228354.5523437501</v>
      </c>
      <c r="BF12" s="133">
        <f>IF(BF$7=1,IF(BF$8&lt;=Assumptions!$F$59,0,INDEX('P&amp;L_5yr'!$C$18:$G$18,1,BF$7)/MAX(1,12-Assumptions!$F$59)),INDEX('P&amp;L_5yr'!$C$18:$G$18,1,BF$7)/12)</f>
        <v>1228354.5523437501</v>
      </c>
      <c r="BG12" s="133">
        <f>IF(BG$7=1,IF(BG$8&lt;=Assumptions!$F$59,0,INDEX('P&amp;L_5yr'!$C$18:$G$18,1,BG$7)/MAX(1,12-Assumptions!$F$59)),INDEX('P&amp;L_5yr'!$C$18:$G$18,1,BG$7)/12)</f>
        <v>1228354.5523437501</v>
      </c>
      <c r="BH12" s="133">
        <f>IF(BH$7=1,IF(BH$8&lt;=Assumptions!$F$59,0,INDEX('P&amp;L_5yr'!$C$18:$G$18,1,BH$7)/MAX(1,12-Assumptions!$F$59)),INDEX('P&amp;L_5yr'!$C$18:$G$18,1,BH$7)/12)</f>
        <v>1228354.5523437501</v>
      </c>
      <c r="BI12" s="133">
        <f>IF(BI$7=1,IF(BI$8&lt;=Assumptions!$F$59,0,INDEX('P&amp;L_5yr'!$C$18:$G$18,1,BI$7)/MAX(1,12-Assumptions!$F$59)),INDEX('P&amp;L_5yr'!$C$18:$G$18,1,BI$7)/12)</f>
        <v>1228354.5523437501</v>
      </c>
      <c r="BK12" s="126" t="s">
        <v>571</v>
      </c>
    </row>
    <row r="13" spans="1:63">
      <c r="A13" s="132" t="s">
        <v>572</v>
      </c>
      <c r="B13" s="133">
        <f>-IF(B$7=1,IF(B$8&lt;=Assumptions!$F$59,0,INDEX('P&amp;L_5yr'!$C$29:$G$29,1,B$7)/MAX(1,12-Assumptions!$F$59)),INDEX('P&amp;L_5yr'!$C$29:$G$29,1,B$7)/12)</f>
        <v>0</v>
      </c>
      <c r="C13" s="133">
        <f>-IF(C$7=1,IF(C$8&lt;=Assumptions!$F$59,0,INDEX('P&amp;L_5yr'!$C$29:$G$29,1,C$7)/MAX(1,12-Assumptions!$F$59)),INDEX('P&amp;L_5yr'!$C$29:$G$29,1,C$7)/12)</f>
        <v>0</v>
      </c>
      <c r="D13" s="133">
        <f>-IF(D$7=1,IF(D$8&lt;=Assumptions!$F$59,0,INDEX('P&amp;L_5yr'!$C$29:$G$29,1,D$7)/MAX(1,12-Assumptions!$F$59)),INDEX('P&amp;L_5yr'!$C$29:$G$29,1,D$7)/12)</f>
        <v>0</v>
      </c>
      <c r="E13" s="133">
        <f>-IF(E$7=1,IF(E$8&lt;=Assumptions!$F$59,0,INDEX('P&amp;L_5yr'!$C$29:$G$29,1,E$7)/MAX(1,12-Assumptions!$F$59)),INDEX('P&amp;L_5yr'!$C$29:$G$29,1,E$7)/12)</f>
        <v>0</v>
      </c>
      <c r="F13" s="133">
        <f>-IF(F$7=1,IF(F$8&lt;=Assumptions!$F$59,0,INDEX('P&amp;L_5yr'!$C$29:$G$29,1,F$7)/MAX(1,12-Assumptions!$F$59)),INDEX('P&amp;L_5yr'!$C$29:$G$29,1,F$7)/12)</f>
        <v>0</v>
      </c>
      <c r="G13" s="133">
        <f>-IF(G$7=1,IF(G$8&lt;=Assumptions!$F$59,0,INDEX('P&amp;L_5yr'!$C$29:$G$29,1,G$7)/MAX(1,12-Assumptions!$F$59)),INDEX('P&amp;L_5yr'!$C$29:$G$29,1,G$7)/12)</f>
        <v>0</v>
      </c>
      <c r="H13" s="133">
        <f>-IF(H$7=1,IF(H$8&lt;=Assumptions!$F$59,0,INDEX('P&amp;L_5yr'!$C$29:$G$29,1,H$7)/MAX(1,12-Assumptions!$F$59)),INDEX('P&amp;L_5yr'!$C$29:$G$29,1,H$7)/12)</f>
        <v>-7745.0096354166672</v>
      </c>
      <c r="I13" s="133">
        <f>-IF(I$7=1,IF(I$8&lt;=Assumptions!$F$59,0,INDEX('P&amp;L_5yr'!$C$29:$G$29,1,I$7)/MAX(1,12-Assumptions!$F$59)),INDEX('P&amp;L_5yr'!$C$29:$G$29,1,I$7)/12)</f>
        <v>-7745.0096354166672</v>
      </c>
      <c r="J13" s="133">
        <f>-IF(J$7=1,IF(J$8&lt;=Assumptions!$F$59,0,INDEX('P&amp;L_5yr'!$C$29:$G$29,1,J$7)/MAX(1,12-Assumptions!$F$59)),INDEX('P&amp;L_5yr'!$C$29:$G$29,1,J$7)/12)</f>
        <v>-7745.0096354166672</v>
      </c>
      <c r="K13" s="133">
        <f>-IF(K$7=1,IF(K$8&lt;=Assumptions!$F$59,0,INDEX('P&amp;L_5yr'!$C$29:$G$29,1,K$7)/MAX(1,12-Assumptions!$F$59)),INDEX('P&amp;L_5yr'!$C$29:$G$29,1,K$7)/12)</f>
        <v>-7745.0096354166672</v>
      </c>
      <c r="L13" s="133">
        <f>-IF(L$7=1,IF(L$8&lt;=Assumptions!$F$59,0,INDEX('P&amp;L_5yr'!$C$29:$G$29,1,L$7)/MAX(1,12-Assumptions!$F$59)),INDEX('P&amp;L_5yr'!$C$29:$G$29,1,L$7)/12)</f>
        <v>-7745.0096354166672</v>
      </c>
      <c r="M13" s="133">
        <f>-IF(M$7=1,IF(M$8&lt;=Assumptions!$F$59,0,INDEX('P&amp;L_5yr'!$C$29:$G$29,1,M$7)/MAX(1,12-Assumptions!$F$59)),INDEX('P&amp;L_5yr'!$C$29:$G$29,1,M$7)/12)</f>
        <v>-7745.0096354166672</v>
      </c>
      <c r="N13" s="133">
        <f>-IF(N$7=1,IF(N$8&lt;=Assumptions!$F$59,0,INDEX('P&amp;L_5yr'!$C$29:$G$29,1,N$7)/MAX(1,12-Assumptions!$F$59)),INDEX('P&amp;L_5yr'!$C$29:$G$29,1,N$7)/12)</f>
        <v>-15755.942057291666</v>
      </c>
      <c r="O13" s="133">
        <f>-IF(O$7=1,IF(O$8&lt;=Assumptions!$F$59,0,INDEX('P&amp;L_5yr'!$C$29:$G$29,1,O$7)/MAX(1,12-Assumptions!$F$59)),INDEX('P&amp;L_5yr'!$C$29:$G$29,1,O$7)/12)</f>
        <v>-15755.942057291666</v>
      </c>
      <c r="P13" s="133">
        <f>-IF(P$7=1,IF(P$8&lt;=Assumptions!$F$59,0,INDEX('P&amp;L_5yr'!$C$29:$G$29,1,P$7)/MAX(1,12-Assumptions!$F$59)),INDEX('P&amp;L_5yr'!$C$29:$G$29,1,P$7)/12)</f>
        <v>-15755.942057291666</v>
      </c>
      <c r="Q13" s="133">
        <f>-IF(Q$7=1,IF(Q$8&lt;=Assumptions!$F$59,0,INDEX('P&amp;L_5yr'!$C$29:$G$29,1,Q$7)/MAX(1,12-Assumptions!$F$59)),INDEX('P&amp;L_5yr'!$C$29:$G$29,1,Q$7)/12)</f>
        <v>-15755.942057291666</v>
      </c>
      <c r="R13" s="133">
        <f>-IF(R$7=1,IF(R$8&lt;=Assumptions!$F$59,0,INDEX('P&amp;L_5yr'!$C$29:$G$29,1,R$7)/MAX(1,12-Assumptions!$F$59)),INDEX('P&amp;L_5yr'!$C$29:$G$29,1,R$7)/12)</f>
        <v>-15755.942057291666</v>
      </c>
      <c r="S13" s="133">
        <f>-IF(S$7=1,IF(S$8&lt;=Assumptions!$F$59,0,INDEX('P&amp;L_5yr'!$C$29:$G$29,1,S$7)/MAX(1,12-Assumptions!$F$59)),INDEX('P&amp;L_5yr'!$C$29:$G$29,1,S$7)/12)</f>
        <v>-15755.942057291666</v>
      </c>
      <c r="T13" s="133">
        <f>-IF(T$7=1,IF(T$8&lt;=Assumptions!$F$59,0,INDEX('P&amp;L_5yr'!$C$29:$G$29,1,T$7)/MAX(1,12-Assumptions!$F$59)),INDEX('P&amp;L_5yr'!$C$29:$G$29,1,T$7)/12)</f>
        <v>-15755.942057291666</v>
      </c>
      <c r="U13" s="133">
        <f>-IF(U$7=1,IF(U$8&lt;=Assumptions!$F$59,0,INDEX('P&amp;L_5yr'!$C$29:$G$29,1,U$7)/MAX(1,12-Assumptions!$F$59)),INDEX('P&amp;L_5yr'!$C$29:$G$29,1,U$7)/12)</f>
        <v>-15755.942057291666</v>
      </c>
      <c r="V13" s="133">
        <f>-IF(V$7=1,IF(V$8&lt;=Assumptions!$F$59,0,INDEX('P&amp;L_5yr'!$C$29:$G$29,1,V$7)/MAX(1,12-Assumptions!$F$59)),INDEX('P&amp;L_5yr'!$C$29:$G$29,1,V$7)/12)</f>
        <v>-15755.942057291666</v>
      </c>
      <c r="W13" s="133">
        <f>-IF(W$7=1,IF(W$8&lt;=Assumptions!$F$59,0,INDEX('P&amp;L_5yr'!$C$29:$G$29,1,W$7)/MAX(1,12-Assumptions!$F$59)),INDEX('P&amp;L_5yr'!$C$29:$G$29,1,W$7)/12)</f>
        <v>-15755.942057291666</v>
      </c>
      <c r="X13" s="133">
        <f>-IF(X$7=1,IF(X$8&lt;=Assumptions!$F$59,0,INDEX('P&amp;L_5yr'!$C$29:$G$29,1,X$7)/MAX(1,12-Assumptions!$F$59)),INDEX('P&amp;L_5yr'!$C$29:$G$29,1,X$7)/12)</f>
        <v>-15755.942057291666</v>
      </c>
      <c r="Y13" s="133">
        <f>-IF(Y$7=1,IF(Y$8&lt;=Assumptions!$F$59,0,INDEX('P&amp;L_5yr'!$C$29:$G$29,1,Y$7)/MAX(1,12-Assumptions!$F$59)),INDEX('P&amp;L_5yr'!$C$29:$G$29,1,Y$7)/12)</f>
        <v>-15755.942057291666</v>
      </c>
      <c r="Z13" s="133">
        <f>-IF(Z$7=1,IF(Z$8&lt;=Assumptions!$F$59,0,INDEX('P&amp;L_5yr'!$C$29:$G$29,1,Z$7)/MAX(1,12-Assumptions!$F$59)),INDEX('P&amp;L_5yr'!$C$29:$G$29,1,Z$7)/12)</f>
        <v>-43061.356770833336</v>
      </c>
      <c r="AA13" s="133">
        <f>-IF(AA$7=1,IF(AA$8&lt;=Assumptions!$F$59,0,INDEX('P&amp;L_5yr'!$C$29:$G$29,1,AA$7)/MAX(1,12-Assumptions!$F$59)),INDEX('P&amp;L_5yr'!$C$29:$G$29,1,AA$7)/12)</f>
        <v>-43061.356770833336</v>
      </c>
      <c r="AB13" s="133">
        <f>-IF(AB$7=1,IF(AB$8&lt;=Assumptions!$F$59,0,INDEX('P&amp;L_5yr'!$C$29:$G$29,1,AB$7)/MAX(1,12-Assumptions!$F$59)),INDEX('P&amp;L_5yr'!$C$29:$G$29,1,AB$7)/12)</f>
        <v>-43061.356770833336</v>
      </c>
      <c r="AC13" s="133">
        <f>-IF(AC$7=1,IF(AC$8&lt;=Assumptions!$F$59,0,INDEX('P&amp;L_5yr'!$C$29:$G$29,1,AC$7)/MAX(1,12-Assumptions!$F$59)),INDEX('P&amp;L_5yr'!$C$29:$G$29,1,AC$7)/12)</f>
        <v>-43061.356770833336</v>
      </c>
      <c r="AD13" s="133">
        <f>-IF(AD$7=1,IF(AD$8&lt;=Assumptions!$F$59,0,INDEX('P&amp;L_5yr'!$C$29:$G$29,1,AD$7)/MAX(1,12-Assumptions!$F$59)),INDEX('P&amp;L_5yr'!$C$29:$G$29,1,AD$7)/12)</f>
        <v>-43061.356770833336</v>
      </c>
      <c r="AE13" s="133">
        <f>-IF(AE$7=1,IF(AE$8&lt;=Assumptions!$F$59,0,INDEX('P&amp;L_5yr'!$C$29:$G$29,1,AE$7)/MAX(1,12-Assumptions!$F$59)),INDEX('P&amp;L_5yr'!$C$29:$G$29,1,AE$7)/12)</f>
        <v>-43061.356770833336</v>
      </c>
      <c r="AF13" s="133">
        <f>-IF(AF$7=1,IF(AF$8&lt;=Assumptions!$F$59,0,INDEX('P&amp;L_5yr'!$C$29:$G$29,1,AF$7)/MAX(1,12-Assumptions!$F$59)),INDEX('P&amp;L_5yr'!$C$29:$G$29,1,AF$7)/12)</f>
        <v>-43061.356770833336</v>
      </c>
      <c r="AG13" s="133">
        <f>-IF(AG$7=1,IF(AG$8&lt;=Assumptions!$F$59,0,INDEX('P&amp;L_5yr'!$C$29:$G$29,1,AG$7)/MAX(1,12-Assumptions!$F$59)),INDEX('P&amp;L_5yr'!$C$29:$G$29,1,AG$7)/12)</f>
        <v>-43061.356770833336</v>
      </c>
      <c r="AH13" s="133">
        <f>-IF(AH$7=1,IF(AH$8&lt;=Assumptions!$F$59,0,INDEX('P&amp;L_5yr'!$C$29:$G$29,1,AH$7)/MAX(1,12-Assumptions!$F$59)),INDEX('P&amp;L_5yr'!$C$29:$G$29,1,AH$7)/12)</f>
        <v>-43061.356770833336</v>
      </c>
      <c r="AI13" s="133">
        <f>-IF(AI$7=1,IF(AI$8&lt;=Assumptions!$F$59,0,INDEX('P&amp;L_5yr'!$C$29:$G$29,1,AI$7)/MAX(1,12-Assumptions!$F$59)),INDEX('P&amp;L_5yr'!$C$29:$G$29,1,AI$7)/12)</f>
        <v>-43061.356770833336</v>
      </c>
      <c r="AJ13" s="133">
        <f>-IF(AJ$7=1,IF(AJ$8&lt;=Assumptions!$F$59,0,INDEX('P&amp;L_5yr'!$C$29:$G$29,1,AJ$7)/MAX(1,12-Assumptions!$F$59)),INDEX('P&amp;L_5yr'!$C$29:$G$29,1,AJ$7)/12)</f>
        <v>-43061.356770833336</v>
      </c>
      <c r="AK13" s="133">
        <f>-IF(AK$7=1,IF(AK$8&lt;=Assumptions!$F$59,0,INDEX('P&amp;L_5yr'!$C$29:$G$29,1,AK$7)/MAX(1,12-Assumptions!$F$59)),INDEX('P&amp;L_5yr'!$C$29:$G$29,1,AK$7)/12)</f>
        <v>-43061.356770833336</v>
      </c>
      <c r="AL13" s="133">
        <f>-IF(AL$7=1,IF(AL$8&lt;=Assumptions!$F$59,0,INDEX('P&amp;L_5yr'!$C$29:$G$29,1,AL$7)/MAX(1,12-Assumptions!$F$59)),INDEX('P&amp;L_5yr'!$C$29:$G$29,1,AL$7)/12)</f>
        <v>-91920.473958333328</v>
      </c>
      <c r="AM13" s="133">
        <f>-IF(AM$7=1,IF(AM$8&lt;=Assumptions!$F$59,0,INDEX('P&amp;L_5yr'!$C$29:$G$29,1,AM$7)/MAX(1,12-Assumptions!$F$59)),INDEX('P&amp;L_5yr'!$C$29:$G$29,1,AM$7)/12)</f>
        <v>-91920.473958333328</v>
      </c>
      <c r="AN13" s="133">
        <f>-IF(AN$7=1,IF(AN$8&lt;=Assumptions!$F$59,0,INDEX('P&amp;L_5yr'!$C$29:$G$29,1,AN$7)/MAX(1,12-Assumptions!$F$59)),INDEX('P&amp;L_5yr'!$C$29:$G$29,1,AN$7)/12)</f>
        <v>-91920.473958333328</v>
      </c>
      <c r="AO13" s="133">
        <f>-IF(AO$7=1,IF(AO$8&lt;=Assumptions!$F$59,0,INDEX('P&amp;L_5yr'!$C$29:$G$29,1,AO$7)/MAX(1,12-Assumptions!$F$59)),INDEX('P&amp;L_5yr'!$C$29:$G$29,1,AO$7)/12)</f>
        <v>-91920.473958333328</v>
      </c>
      <c r="AP13" s="133">
        <f>-IF(AP$7=1,IF(AP$8&lt;=Assumptions!$F$59,0,INDEX('P&amp;L_5yr'!$C$29:$G$29,1,AP$7)/MAX(1,12-Assumptions!$F$59)),INDEX('P&amp;L_5yr'!$C$29:$G$29,1,AP$7)/12)</f>
        <v>-91920.473958333328</v>
      </c>
      <c r="AQ13" s="133">
        <f>-IF(AQ$7=1,IF(AQ$8&lt;=Assumptions!$F$59,0,INDEX('P&amp;L_5yr'!$C$29:$G$29,1,AQ$7)/MAX(1,12-Assumptions!$F$59)),INDEX('P&amp;L_5yr'!$C$29:$G$29,1,AQ$7)/12)</f>
        <v>-91920.473958333328</v>
      </c>
      <c r="AR13" s="133">
        <f>-IF(AR$7=1,IF(AR$8&lt;=Assumptions!$F$59,0,INDEX('P&amp;L_5yr'!$C$29:$G$29,1,AR$7)/MAX(1,12-Assumptions!$F$59)),INDEX('P&amp;L_5yr'!$C$29:$G$29,1,AR$7)/12)</f>
        <v>-91920.473958333328</v>
      </c>
      <c r="AS13" s="133">
        <f>-IF(AS$7=1,IF(AS$8&lt;=Assumptions!$F$59,0,INDEX('P&amp;L_5yr'!$C$29:$G$29,1,AS$7)/MAX(1,12-Assumptions!$F$59)),INDEX('P&amp;L_5yr'!$C$29:$G$29,1,AS$7)/12)</f>
        <v>-91920.473958333328</v>
      </c>
      <c r="AT13" s="133">
        <f>-IF(AT$7=1,IF(AT$8&lt;=Assumptions!$F$59,0,INDEX('P&amp;L_5yr'!$C$29:$G$29,1,AT$7)/MAX(1,12-Assumptions!$F$59)),INDEX('P&amp;L_5yr'!$C$29:$G$29,1,AT$7)/12)</f>
        <v>-91920.473958333328</v>
      </c>
      <c r="AU13" s="133">
        <f>-IF(AU$7=1,IF(AU$8&lt;=Assumptions!$F$59,0,INDEX('P&amp;L_5yr'!$C$29:$G$29,1,AU$7)/MAX(1,12-Assumptions!$F$59)),INDEX('P&amp;L_5yr'!$C$29:$G$29,1,AU$7)/12)</f>
        <v>-91920.473958333328</v>
      </c>
      <c r="AV13" s="133">
        <f>-IF(AV$7=1,IF(AV$8&lt;=Assumptions!$F$59,0,INDEX('P&amp;L_5yr'!$C$29:$G$29,1,AV$7)/MAX(1,12-Assumptions!$F$59)),INDEX('P&amp;L_5yr'!$C$29:$G$29,1,AV$7)/12)</f>
        <v>-91920.473958333328</v>
      </c>
      <c r="AW13" s="133">
        <f>-IF(AW$7=1,IF(AW$8&lt;=Assumptions!$F$59,0,INDEX('P&amp;L_5yr'!$C$29:$G$29,1,AW$7)/MAX(1,12-Assumptions!$F$59)),INDEX('P&amp;L_5yr'!$C$29:$G$29,1,AW$7)/12)</f>
        <v>-91920.473958333328</v>
      </c>
      <c r="AX13" s="133">
        <f>-IF(AX$7=1,IF(AX$8&lt;=Assumptions!$F$59,0,INDEX('P&amp;L_5yr'!$C$29:$G$29,1,AX$7)/MAX(1,12-Assumptions!$F$59)),INDEX('P&amp;L_5yr'!$C$29:$G$29,1,AX$7)/12)</f>
        <v>-211688.9765625</v>
      </c>
      <c r="AY13" s="133">
        <f>-IF(AY$7=1,IF(AY$8&lt;=Assumptions!$F$59,0,INDEX('P&amp;L_5yr'!$C$29:$G$29,1,AY$7)/MAX(1,12-Assumptions!$F$59)),INDEX('P&amp;L_5yr'!$C$29:$G$29,1,AY$7)/12)</f>
        <v>-211688.9765625</v>
      </c>
      <c r="AZ13" s="133">
        <f>-IF(AZ$7=1,IF(AZ$8&lt;=Assumptions!$F$59,0,INDEX('P&amp;L_5yr'!$C$29:$G$29,1,AZ$7)/MAX(1,12-Assumptions!$F$59)),INDEX('P&amp;L_5yr'!$C$29:$G$29,1,AZ$7)/12)</f>
        <v>-211688.9765625</v>
      </c>
      <c r="BA13" s="133">
        <f>-IF(BA$7=1,IF(BA$8&lt;=Assumptions!$F$59,0,INDEX('P&amp;L_5yr'!$C$29:$G$29,1,BA$7)/MAX(1,12-Assumptions!$F$59)),INDEX('P&amp;L_5yr'!$C$29:$G$29,1,BA$7)/12)</f>
        <v>-211688.9765625</v>
      </c>
      <c r="BB13" s="133">
        <f>-IF(BB$7=1,IF(BB$8&lt;=Assumptions!$F$59,0,INDEX('P&amp;L_5yr'!$C$29:$G$29,1,BB$7)/MAX(1,12-Assumptions!$F$59)),INDEX('P&amp;L_5yr'!$C$29:$G$29,1,BB$7)/12)</f>
        <v>-211688.9765625</v>
      </c>
      <c r="BC13" s="133">
        <f>-IF(BC$7=1,IF(BC$8&lt;=Assumptions!$F$59,0,INDEX('P&amp;L_5yr'!$C$29:$G$29,1,BC$7)/MAX(1,12-Assumptions!$F$59)),INDEX('P&amp;L_5yr'!$C$29:$G$29,1,BC$7)/12)</f>
        <v>-211688.9765625</v>
      </c>
      <c r="BD13" s="133">
        <f>-IF(BD$7=1,IF(BD$8&lt;=Assumptions!$F$59,0,INDEX('P&amp;L_5yr'!$C$29:$G$29,1,BD$7)/MAX(1,12-Assumptions!$F$59)),INDEX('P&amp;L_5yr'!$C$29:$G$29,1,BD$7)/12)</f>
        <v>-211688.9765625</v>
      </c>
      <c r="BE13" s="133">
        <f>-IF(BE$7=1,IF(BE$8&lt;=Assumptions!$F$59,0,INDEX('P&amp;L_5yr'!$C$29:$G$29,1,BE$7)/MAX(1,12-Assumptions!$F$59)),INDEX('P&amp;L_5yr'!$C$29:$G$29,1,BE$7)/12)</f>
        <v>-211688.9765625</v>
      </c>
      <c r="BF13" s="133">
        <f>-IF(BF$7=1,IF(BF$8&lt;=Assumptions!$F$59,0,INDEX('P&amp;L_5yr'!$C$29:$G$29,1,BF$7)/MAX(1,12-Assumptions!$F$59)),INDEX('P&amp;L_5yr'!$C$29:$G$29,1,BF$7)/12)</f>
        <v>-211688.9765625</v>
      </c>
      <c r="BG13" s="133">
        <f>-IF(BG$7=1,IF(BG$8&lt;=Assumptions!$F$59,0,INDEX('P&amp;L_5yr'!$C$29:$G$29,1,BG$7)/MAX(1,12-Assumptions!$F$59)),INDEX('P&amp;L_5yr'!$C$29:$G$29,1,BG$7)/12)</f>
        <v>-211688.9765625</v>
      </c>
      <c r="BH13" s="133">
        <f>-IF(BH$7=1,IF(BH$8&lt;=Assumptions!$F$59,0,INDEX('P&amp;L_5yr'!$C$29:$G$29,1,BH$7)/MAX(1,12-Assumptions!$F$59)),INDEX('P&amp;L_5yr'!$C$29:$G$29,1,BH$7)/12)</f>
        <v>-211688.9765625</v>
      </c>
      <c r="BI13" s="133">
        <f>-IF(BI$7=1,IF(BI$8&lt;=Assumptions!$F$59,0,INDEX('P&amp;L_5yr'!$C$29:$G$29,1,BI$7)/MAX(1,12-Assumptions!$F$59)),INDEX('P&amp;L_5yr'!$C$29:$G$29,1,BI$7)/12)</f>
        <v>-211688.9765625</v>
      </c>
      <c r="BK13" s="126" t="s">
        <v>573</v>
      </c>
    </row>
    <row r="14" spans="1:63">
      <c r="A14" s="132" t="s">
        <v>574</v>
      </c>
      <c r="B14" s="133">
        <f t="shared" ref="B14:AG14" si="6">SUM(B12:B13)</f>
        <v>0</v>
      </c>
      <c r="C14" s="133">
        <f t="shared" si="6"/>
        <v>0</v>
      </c>
      <c r="D14" s="133">
        <f t="shared" si="6"/>
        <v>0</v>
      </c>
      <c r="E14" s="133">
        <f t="shared" si="6"/>
        <v>0</v>
      </c>
      <c r="F14" s="133">
        <f t="shared" si="6"/>
        <v>0</v>
      </c>
      <c r="G14" s="133">
        <f t="shared" si="6"/>
        <v>0</v>
      </c>
      <c r="H14" s="133">
        <f t="shared" si="6"/>
        <v>10172.490364583333</v>
      </c>
      <c r="I14" s="133">
        <f t="shared" si="6"/>
        <v>10172.490364583333</v>
      </c>
      <c r="J14" s="133">
        <f t="shared" si="6"/>
        <v>10172.490364583333</v>
      </c>
      <c r="K14" s="133">
        <f t="shared" si="6"/>
        <v>10172.490364583333</v>
      </c>
      <c r="L14" s="133">
        <f t="shared" si="6"/>
        <v>10172.490364583333</v>
      </c>
      <c r="M14" s="133">
        <f t="shared" si="6"/>
        <v>10172.490364583333</v>
      </c>
      <c r="N14" s="133">
        <f t="shared" si="6"/>
        <v>34142.120442708336</v>
      </c>
      <c r="O14" s="133">
        <f t="shared" si="6"/>
        <v>34142.120442708336</v>
      </c>
      <c r="P14" s="133">
        <f t="shared" si="6"/>
        <v>34142.120442708336</v>
      </c>
      <c r="Q14" s="133">
        <f t="shared" si="6"/>
        <v>34142.120442708336</v>
      </c>
      <c r="R14" s="133">
        <f t="shared" si="6"/>
        <v>34142.120442708336</v>
      </c>
      <c r="S14" s="133">
        <f t="shared" si="6"/>
        <v>34142.120442708336</v>
      </c>
      <c r="T14" s="133">
        <f t="shared" si="6"/>
        <v>34142.120442708336</v>
      </c>
      <c r="U14" s="133">
        <f t="shared" si="6"/>
        <v>34142.120442708336</v>
      </c>
      <c r="V14" s="133">
        <f t="shared" si="6"/>
        <v>34142.120442708336</v>
      </c>
      <c r="W14" s="133">
        <f t="shared" si="6"/>
        <v>34142.120442708336</v>
      </c>
      <c r="X14" s="133">
        <f t="shared" si="6"/>
        <v>34142.120442708336</v>
      </c>
      <c r="Y14" s="133">
        <f t="shared" si="6"/>
        <v>34142.120442708336</v>
      </c>
      <c r="Z14" s="133">
        <f t="shared" si="6"/>
        <v>120217.70572916666</v>
      </c>
      <c r="AA14" s="133">
        <f t="shared" si="6"/>
        <v>120217.70572916666</v>
      </c>
      <c r="AB14" s="133">
        <f t="shared" si="6"/>
        <v>120217.70572916666</v>
      </c>
      <c r="AC14" s="133">
        <f t="shared" si="6"/>
        <v>120217.70572916666</v>
      </c>
      <c r="AD14" s="133">
        <f t="shared" si="6"/>
        <v>120217.70572916666</v>
      </c>
      <c r="AE14" s="133">
        <f t="shared" si="6"/>
        <v>120217.70572916666</v>
      </c>
      <c r="AF14" s="133">
        <f t="shared" si="6"/>
        <v>120217.70572916666</v>
      </c>
      <c r="AG14" s="133">
        <f t="shared" si="6"/>
        <v>120217.70572916666</v>
      </c>
      <c r="AH14" s="133">
        <f t="shared" ref="AH14:BI14" si="7">SUM(AH12:AH13)</f>
        <v>120217.70572916666</v>
      </c>
      <c r="AI14" s="133">
        <f t="shared" si="7"/>
        <v>120217.70572916666</v>
      </c>
      <c r="AJ14" s="133">
        <f t="shared" si="7"/>
        <v>120217.70572916666</v>
      </c>
      <c r="AK14" s="133">
        <f t="shared" si="7"/>
        <v>120217.70572916666</v>
      </c>
      <c r="AL14" s="133">
        <f t="shared" si="7"/>
        <v>343067.40104166669</v>
      </c>
      <c r="AM14" s="133">
        <f t="shared" si="7"/>
        <v>343067.40104166669</v>
      </c>
      <c r="AN14" s="133">
        <f t="shared" si="7"/>
        <v>343067.40104166669</v>
      </c>
      <c r="AO14" s="133">
        <f t="shared" si="7"/>
        <v>343067.40104166669</v>
      </c>
      <c r="AP14" s="133">
        <f t="shared" si="7"/>
        <v>343067.40104166669</v>
      </c>
      <c r="AQ14" s="133">
        <f t="shared" si="7"/>
        <v>343067.40104166669</v>
      </c>
      <c r="AR14" s="133">
        <f t="shared" si="7"/>
        <v>343067.40104166669</v>
      </c>
      <c r="AS14" s="133">
        <f t="shared" si="7"/>
        <v>343067.40104166669</v>
      </c>
      <c r="AT14" s="133">
        <f t="shared" si="7"/>
        <v>343067.40104166669</v>
      </c>
      <c r="AU14" s="133">
        <f t="shared" si="7"/>
        <v>343067.40104166669</v>
      </c>
      <c r="AV14" s="133">
        <f t="shared" si="7"/>
        <v>343067.40104166669</v>
      </c>
      <c r="AW14" s="133">
        <f t="shared" si="7"/>
        <v>343067.40104166669</v>
      </c>
      <c r="AX14" s="133">
        <f t="shared" si="7"/>
        <v>1016665.5757812501</v>
      </c>
      <c r="AY14" s="133">
        <f t="shared" si="7"/>
        <v>1016665.5757812501</v>
      </c>
      <c r="AZ14" s="133">
        <f t="shared" si="7"/>
        <v>1016665.5757812501</v>
      </c>
      <c r="BA14" s="133">
        <f t="shared" si="7"/>
        <v>1016665.5757812501</v>
      </c>
      <c r="BB14" s="133">
        <f t="shared" si="7"/>
        <v>1016665.5757812501</v>
      </c>
      <c r="BC14" s="133">
        <f t="shared" si="7"/>
        <v>1016665.5757812501</v>
      </c>
      <c r="BD14" s="133">
        <f t="shared" si="7"/>
        <v>1016665.5757812501</v>
      </c>
      <c r="BE14" s="133">
        <f t="shared" si="7"/>
        <v>1016665.5757812501</v>
      </c>
      <c r="BF14" s="133">
        <f t="shared" si="7"/>
        <v>1016665.5757812501</v>
      </c>
      <c r="BG14" s="133">
        <f t="shared" si="7"/>
        <v>1016665.5757812501</v>
      </c>
      <c r="BH14" s="133">
        <f t="shared" si="7"/>
        <v>1016665.5757812501</v>
      </c>
      <c r="BI14" s="133">
        <f t="shared" si="7"/>
        <v>1016665.5757812501</v>
      </c>
    </row>
    <row r="15" spans="1:63">
      <c r="A15" s="132" t="s">
        <v>575</v>
      </c>
      <c r="B15" s="133">
        <f>-INDEX('P&amp;L_5yr'!$C$42:$G$42,1,B$7)/12</f>
        <v>-33316.666666666664</v>
      </c>
      <c r="C15" s="133">
        <f>-INDEX('P&amp;L_5yr'!$C$42:$G$42,1,C$7)/12</f>
        <v>-33316.666666666664</v>
      </c>
      <c r="D15" s="133">
        <f>-INDEX('P&amp;L_5yr'!$C$42:$G$42,1,D$7)/12</f>
        <v>-33316.666666666664</v>
      </c>
      <c r="E15" s="133">
        <f>-INDEX('P&amp;L_5yr'!$C$42:$G$42,1,E$7)/12</f>
        <v>-33316.666666666664</v>
      </c>
      <c r="F15" s="133">
        <f>-INDEX('P&amp;L_5yr'!$C$42:$G$42,1,F$7)/12</f>
        <v>-33316.666666666664</v>
      </c>
      <c r="G15" s="133">
        <f>-INDEX('P&amp;L_5yr'!$C$42:$G$42,1,G$7)/12</f>
        <v>-33316.666666666664</v>
      </c>
      <c r="H15" s="133">
        <f>-INDEX('P&amp;L_5yr'!$C$42:$G$42,1,H$7)/12</f>
        <v>-33316.666666666664</v>
      </c>
      <c r="I15" s="133">
        <f>-INDEX('P&amp;L_5yr'!$C$42:$G$42,1,I$7)/12</f>
        <v>-33316.666666666664</v>
      </c>
      <c r="J15" s="133">
        <f>-INDEX('P&amp;L_5yr'!$C$42:$G$42,1,J$7)/12</f>
        <v>-33316.666666666664</v>
      </c>
      <c r="K15" s="133">
        <f>-INDEX('P&amp;L_5yr'!$C$42:$G$42,1,K$7)/12</f>
        <v>-33316.666666666664</v>
      </c>
      <c r="L15" s="133">
        <f>-INDEX('P&amp;L_5yr'!$C$42:$G$42,1,L$7)/12</f>
        <v>-33316.666666666664</v>
      </c>
      <c r="M15" s="133">
        <f>-INDEX('P&amp;L_5yr'!$C$42:$G$42,1,M$7)/12</f>
        <v>-33316.666666666664</v>
      </c>
      <c r="N15" s="133">
        <f>-INDEX('P&amp;L_5yr'!$C$42:$G$42,1,N$7)/12</f>
        <v>-51429.166666666664</v>
      </c>
      <c r="O15" s="133">
        <f>-INDEX('P&amp;L_5yr'!$C$42:$G$42,1,O$7)/12</f>
        <v>-51429.166666666664</v>
      </c>
      <c r="P15" s="133">
        <f>-INDEX('P&amp;L_5yr'!$C$42:$G$42,1,P$7)/12</f>
        <v>-51429.166666666664</v>
      </c>
      <c r="Q15" s="133">
        <f>-INDEX('P&amp;L_5yr'!$C$42:$G$42,1,Q$7)/12</f>
        <v>-51429.166666666664</v>
      </c>
      <c r="R15" s="133">
        <f>-INDEX('P&amp;L_5yr'!$C$42:$G$42,1,R$7)/12</f>
        <v>-51429.166666666664</v>
      </c>
      <c r="S15" s="133">
        <f>-INDEX('P&amp;L_5yr'!$C$42:$G$42,1,S$7)/12</f>
        <v>-51429.166666666664</v>
      </c>
      <c r="T15" s="133">
        <f>-INDEX('P&amp;L_5yr'!$C$42:$G$42,1,T$7)/12</f>
        <v>-51429.166666666664</v>
      </c>
      <c r="U15" s="133">
        <f>-INDEX('P&amp;L_5yr'!$C$42:$G$42,1,U$7)/12</f>
        <v>-51429.166666666664</v>
      </c>
      <c r="V15" s="133">
        <f>-INDEX('P&amp;L_5yr'!$C$42:$G$42,1,V$7)/12</f>
        <v>-51429.166666666664</v>
      </c>
      <c r="W15" s="133">
        <f>-INDEX('P&amp;L_5yr'!$C$42:$G$42,1,W$7)/12</f>
        <v>-51429.166666666664</v>
      </c>
      <c r="X15" s="133">
        <f>-INDEX('P&amp;L_5yr'!$C$42:$G$42,1,X$7)/12</f>
        <v>-51429.166666666664</v>
      </c>
      <c r="Y15" s="133">
        <f>-INDEX('P&amp;L_5yr'!$C$42:$G$42,1,Y$7)/12</f>
        <v>-51429.166666666664</v>
      </c>
      <c r="Z15" s="133">
        <f>-INDEX('P&amp;L_5yr'!$C$42:$G$42,1,Z$7)/12</f>
        <v>-69541.666666666672</v>
      </c>
      <c r="AA15" s="133">
        <f>-INDEX('P&amp;L_5yr'!$C$42:$G$42,1,AA$7)/12</f>
        <v>-69541.666666666672</v>
      </c>
      <c r="AB15" s="133">
        <f>-INDEX('P&amp;L_5yr'!$C$42:$G$42,1,AB$7)/12</f>
        <v>-69541.666666666672</v>
      </c>
      <c r="AC15" s="133">
        <f>-INDEX('P&amp;L_5yr'!$C$42:$G$42,1,AC$7)/12</f>
        <v>-69541.666666666672</v>
      </c>
      <c r="AD15" s="133">
        <f>-INDEX('P&amp;L_5yr'!$C$42:$G$42,1,AD$7)/12</f>
        <v>-69541.666666666672</v>
      </c>
      <c r="AE15" s="133">
        <f>-INDEX('P&amp;L_5yr'!$C$42:$G$42,1,AE$7)/12</f>
        <v>-69541.666666666672</v>
      </c>
      <c r="AF15" s="133">
        <f>-INDEX('P&amp;L_5yr'!$C$42:$G$42,1,AF$7)/12</f>
        <v>-69541.666666666672</v>
      </c>
      <c r="AG15" s="133">
        <f>-INDEX('P&amp;L_5yr'!$C$42:$G$42,1,AG$7)/12</f>
        <v>-69541.666666666672</v>
      </c>
      <c r="AH15" s="133">
        <f>-INDEX('P&amp;L_5yr'!$C$42:$G$42,1,AH$7)/12</f>
        <v>-69541.666666666672</v>
      </c>
      <c r="AI15" s="133">
        <f>-INDEX('P&amp;L_5yr'!$C$42:$G$42,1,AI$7)/12</f>
        <v>-69541.666666666672</v>
      </c>
      <c r="AJ15" s="133">
        <f>-INDEX('P&amp;L_5yr'!$C$42:$G$42,1,AJ$7)/12</f>
        <v>-69541.666666666672</v>
      </c>
      <c r="AK15" s="133">
        <f>-INDEX('P&amp;L_5yr'!$C$42:$G$42,1,AK$7)/12</f>
        <v>-69541.666666666672</v>
      </c>
      <c r="AL15" s="133">
        <f>-INDEX('P&amp;L_5yr'!$C$42:$G$42,1,AL$7)/12</f>
        <v>-87654.166666666672</v>
      </c>
      <c r="AM15" s="133">
        <f>-INDEX('P&amp;L_5yr'!$C$42:$G$42,1,AM$7)/12</f>
        <v>-87654.166666666672</v>
      </c>
      <c r="AN15" s="133">
        <f>-INDEX('P&amp;L_5yr'!$C$42:$G$42,1,AN$7)/12</f>
        <v>-87654.166666666672</v>
      </c>
      <c r="AO15" s="133">
        <f>-INDEX('P&amp;L_5yr'!$C$42:$G$42,1,AO$7)/12</f>
        <v>-87654.166666666672</v>
      </c>
      <c r="AP15" s="133">
        <f>-INDEX('P&amp;L_5yr'!$C$42:$G$42,1,AP$7)/12</f>
        <v>-87654.166666666672</v>
      </c>
      <c r="AQ15" s="133">
        <f>-INDEX('P&amp;L_5yr'!$C$42:$G$42,1,AQ$7)/12</f>
        <v>-87654.166666666672</v>
      </c>
      <c r="AR15" s="133">
        <f>-INDEX('P&amp;L_5yr'!$C$42:$G$42,1,AR$7)/12</f>
        <v>-87654.166666666672</v>
      </c>
      <c r="AS15" s="133">
        <f>-INDEX('P&amp;L_5yr'!$C$42:$G$42,1,AS$7)/12</f>
        <v>-87654.166666666672</v>
      </c>
      <c r="AT15" s="133">
        <f>-INDEX('P&amp;L_5yr'!$C$42:$G$42,1,AT$7)/12</f>
        <v>-87654.166666666672</v>
      </c>
      <c r="AU15" s="133">
        <f>-INDEX('P&amp;L_5yr'!$C$42:$G$42,1,AU$7)/12</f>
        <v>-87654.166666666672</v>
      </c>
      <c r="AV15" s="133">
        <f>-INDEX('P&amp;L_5yr'!$C$42:$G$42,1,AV$7)/12</f>
        <v>-87654.166666666672</v>
      </c>
      <c r="AW15" s="133">
        <f>-INDEX('P&amp;L_5yr'!$C$42:$G$42,1,AW$7)/12</f>
        <v>-87654.166666666672</v>
      </c>
      <c r="AX15" s="133">
        <f>-INDEX('P&amp;L_5yr'!$C$42:$G$42,1,AX$7)/12</f>
        <v>-105766.66666666667</v>
      </c>
      <c r="AY15" s="133">
        <f>-INDEX('P&amp;L_5yr'!$C$42:$G$42,1,AY$7)/12</f>
        <v>-105766.66666666667</v>
      </c>
      <c r="AZ15" s="133">
        <f>-INDEX('P&amp;L_5yr'!$C$42:$G$42,1,AZ$7)/12</f>
        <v>-105766.66666666667</v>
      </c>
      <c r="BA15" s="133">
        <f>-INDEX('P&amp;L_5yr'!$C$42:$G$42,1,BA$7)/12</f>
        <v>-105766.66666666667</v>
      </c>
      <c r="BB15" s="133">
        <f>-INDEX('P&amp;L_5yr'!$C$42:$G$42,1,BB$7)/12</f>
        <v>-105766.66666666667</v>
      </c>
      <c r="BC15" s="133">
        <f>-INDEX('P&amp;L_5yr'!$C$42:$G$42,1,BC$7)/12</f>
        <v>-105766.66666666667</v>
      </c>
      <c r="BD15" s="133">
        <f>-INDEX('P&amp;L_5yr'!$C$42:$G$42,1,BD$7)/12</f>
        <v>-105766.66666666667</v>
      </c>
      <c r="BE15" s="133">
        <f>-INDEX('P&amp;L_5yr'!$C$42:$G$42,1,BE$7)/12</f>
        <v>-105766.66666666667</v>
      </c>
      <c r="BF15" s="133">
        <f>-INDEX('P&amp;L_5yr'!$C$42:$G$42,1,BF$7)/12</f>
        <v>-105766.66666666667</v>
      </c>
      <c r="BG15" s="133">
        <f>-INDEX('P&amp;L_5yr'!$C$42:$G$42,1,BG$7)/12</f>
        <v>-105766.66666666667</v>
      </c>
      <c r="BH15" s="133">
        <f>-INDEX('P&amp;L_5yr'!$C$42:$G$42,1,BH$7)/12</f>
        <v>-105766.66666666667</v>
      </c>
      <c r="BI15" s="133">
        <f>-INDEX('P&amp;L_5yr'!$C$42:$G$42,1,BI$7)/12</f>
        <v>-105766.66666666667</v>
      </c>
      <c r="BK15" s="126" t="s">
        <v>576</v>
      </c>
    </row>
    <row r="16" spans="1:63">
      <c r="A16" s="132" t="s">
        <v>577</v>
      </c>
      <c r="B16" s="133">
        <f>-INDEX('P&amp;L_5yr'!$C$56:$G$56,1,B$7)/12</f>
        <v>-19800</v>
      </c>
      <c r="C16" s="133">
        <f>-INDEX('P&amp;L_5yr'!$C$56:$G$56,1,C$7)/12</f>
        <v>-19800</v>
      </c>
      <c r="D16" s="133">
        <f>-INDEX('P&amp;L_5yr'!$C$56:$G$56,1,D$7)/12</f>
        <v>-19800</v>
      </c>
      <c r="E16" s="133">
        <f>-INDEX('P&amp;L_5yr'!$C$56:$G$56,1,E$7)/12</f>
        <v>-19800</v>
      </c>
      <c r="F16" s="133">
        <f>-INDEX('P&amp;L_5yr'!$C$56:$G$56,1,F$7)/12</f>
        <v>-19800</v>
      </c>
      <c r="G16" s="133">
        <f>-INDEX('P&amp;L_5yr'!$C$56:$G$56,1,G$7)/12</f>
        <v>-19800</v>
      </c>
      <c r="H16" s="133">
        <f>-INDEX('P&amp;L_5yr'!$C$56:$G$56,1,H$7)/12</f>
        <v>-19800</v>
      </c>
      <c r="I16" s="133">
        <f>-INDEX('P&amp;L_5yr'!$C$56:$G$56,1,I$7)/12</f>
        <v>-19800</v>
      </c>
      <c r="J16" s="133">
        <f>-INDEX('P&amp;L_5yr'!$C$56:$G$56,1,J$7)/12</f>
        <v>-19800</v>
      </c>
      <c r="K16" s="133">
        <f>-INDEX('P&amp;L_5yr'!$C$56:$G$56,1,K$7)/12</f>
        <v>-19800</v>
      </c>
      <c r="L16" s="133">
        <f>-INDEX('P&amp;L_5yr'!$C$56:$G$56,1,L$7)/12</f>
        <v>-19800</v>
      </c>
      <c r="M16" s="133">
        <f>-INDEX('P&amp;L_5yr'!$C$56:$G$56,1,M$7)/12</f>
        <v>-19800</v>
      </c>
      <c r="N16" s="133">
        <f>-INDEX('P&amp;L_5yr'!$C$56:$G$56,1,N$7)/12</f>
        <v>-20373.333333333332</v>
      </c>
      <c r="O16" s="133">
        <f>-INDEX('P&amp;L_5yr'!$C$56:$G$56,1,O$7)/12</f>
        <v>-20373.333333333332</v>
      </c>
      <c r="P16" s="133">
        <f>-INDEX('P&amp;L_5yr'!$C$56:$G$56,1,P$7)/12</f>
        <v>-20373.333333333332</v>
      </c>
      <c r="Q16" s="133">
        <f>-INDEX('P&amp;L_5yr'!$C$56:$G$56,1,Q$7)/12</f>
        <v>-20373.333333333332</v>
      </c>
      <c r="R16" s="133">
        <f>-INDEX('P&amp;L_5yr'!$C$56:$G$56,1,R$7)/12</f>
        <v>-20373.333333333332</v>
      </c>
      <c r="S16" s="133">
        <f>-INDEX('P&amp;L_5yr'!$C$56:$G$56,1,S$7)/12</f>
        <v>-20373.333333333332</v>
      </c>
      <c r="T16" s="133">
        <f>-INDEX('P&amp;L_5yr'!$C$56:$G$56,1,T$7)/12</f>
        <v>-20373.333333333332</v>
      </c>
      <c r="U16" s="133">
        <f>-INDEX('P&amp;L_5yr'!$C$56:$G$56,1,U$7)/12</f>
        <v>-20373.333333333332</v>
      </c>
      <c r="V16" s="133">
        <f>-INDEX('P&amp;L_5yr'!$C$56:$G$56,1,V$7)/12</f>
        <v>-20373.333333333332</v>
      </c>
      <c r="W16" s="133">
        <f>-INDEX('P&amp;L_5yr'!$C$56:$G$56,1,W$7)/12</f>
        <v>-20373.333333333332</v>
      </c>
      <c r="X16" s="133">
        <f>-INDEX('P&amp;L_5yr'!$C$56:$G$56,1,X$7)/12</f>
        <v>-20373.333333333332</v>
      </c>
      <c r="Y16" s="133">
        <f>-INDEX('P&amp;L_5yr'!$C$56:$G$56,1,Y$7)/12</f>
        <v>-20373.333333333332</v>
      </c>
      <c r="Z16" s="133">
        <f>-INDEX('P&amp;L_5yr'!$C$56:$G$56,1,Z$7)/12</f>
        <v>-25090</v>
      </c>
      <c r="AA16" s="133">
        <f>-INDEX('P&amp;L_5yr'!$C$56:$G$56,1,AA$7)/12</f>
        <v>-25090</v>
      </c>
      <c r="AB16" s="133">
        <f>-INDEX('P&amp;L_5yr'!$C$56:$G$56,1,AB$7)/12</f>
        <v>-25090</v>
      </c>
      <c r="AC16" s="133">
        <f>-INDEX('P&amp;L_5yr'!$C$56:$G$56,1,AC$7)/12</f>
        <v>-25090</v>
      </c>
      <c r="AD16" s="133">
        <f>-INDEX('P&amp;L_5yr'!$C$56:$G$56,1,AD$7)/12</f>
        <v>-25090</v>
      </c>
      <c r="AE16" s="133">
        <f>-INDEX('P&amp;L_5yr'!$C$56:$G$56,1,AE$7)/12</f>
        <v>-25090</v>
      </c>
      <c r="AF16" s="133">
        <f>-INDEX('P&amp;L_5yr'!$C$56:$G$56,1,AF$7)/12</f>
        <v>-25090</v>
      </c>
      <c r="AG16" s="133">
        <f>-INDEX('P&amp;L_5yr'!$C$56:$G$56,1,AG$7)/12</f>
        <v>-25090</v>
      </c>
      <c r="AH16" s="133">
        <f>-INDEX('P&amp;L_5yr'!$C$56:$G$56,1,AH$7)/12</f>
        <v>-25090</v>
      </c>
      <c r="AI16" s="133">
        <f>-INDEX('P&amp;L_5yr'!$C$56:$G$56,1,AI$7)/12</f>
        <v>-25090</v>
      </c>
      <c r="AJ16" s="133">
        <f>-INDEX('P&amp;L_5yr'!$C$56:$G$56,1,AJ$7)/12</f>
        <v>-25090</v>
      </c>
      <c r="AK16" s="133">
        <f>-INDEX('P&amp;L_5yr'!$C$56:$G$56,1,AK$7)/12</f>
        <v>-25090</v>
      </c>
      <c r="AL16" s="133">
        <f>-INDEX('P&amp;L_5yr'!$C$56:$G$56,1,AL$7)/12</f>
        <v>-30866.666666666668</v>
      </c>
      <c r="AM16" s="133">
        <f>-INDEX('P&amp;L_5yr'!$C$56:$G$56,1,AM$7)/12</f>
        <v>-30866.666666666668</v>
      </c>
      <c r="AN16" s="133">
        <f>-INDEX('P&amp;L_5yr'!$C$56:$G$56,1,AN$7)/12</f>
        <v>-30866.666666666668</v>
      </c>
      <c r="AO16" s="133">
        <f>-INDEX('P&amp;L_5yr'!$C$56:$G$56,1,AO$7)/12</f>
        <v>-30866.666666666668</v>
      </c>
      <c r="AP16" s="133">
        <f>-INDEX('P&amp;L_5yr'!$C$56:$G$56,1,AP$7)/12</f>
        <v>-30866.666666666668</v>
      </c>
      <c r="AQ16" s="133">
        <f>-INDEX('P&amp;L_5yr'!$C$56:$G$56,1,AQ$7)/12</f>
        <v>-30866.666666666668</v>
      </c>
      <c r="AR16" s="133">
        <f>-INDEX('P&amp;L_5yr'!$C$56:$G$56,1,AR$7)/12</f>
        <v>-30866.666666666668</v>
      </c>
      <c r="AS16" s="133">
        <f>-INDEX('P&amp;L_5yr'!$C$56:$G$56,1,AS$7)/12</f>
        <v>-30866.666666666668</v>
      </c>
      <c r="AT16" s="133">
        <f>-INDEX('P&amp;L_5yr'!$C$56:$G$56,1,AT$7)/12</f>
        <v>-30866.666666666668</v>
      </c>
      <c r="AU16" s="133">
        <f>-INDEX('P&amp;L_5yr'!$C$56:$G$56,1,AU$7)/12</f>
        <v>-30866.666666666668</v>
      </c>
      <c r="AV16" s="133">
        <f>-INDEX('P&amp;L_5yr'!$C$56:$G$56,1,AV$7)/12</f>
        <v>-30866.666666666668</v>
      </c>
      <c r="AW16" s="133">
        <f>-INDEX('P&amp;L_5yr'!$C$56:$G$56,1,AW$7)/12</f>
        <v>-30866.666666666668</v>
      </c>
      <c r="AX16" s="133">
        <f>-INDEX('P&amp;L_5yr'!$C$56:$G$56,1,AX$7)/12</f>
        <v>-36903.333333333336</v>
      </c>
      <c r="AY16" s="133">
        <f>-INDEX('P&amp;L_5yr'!$C$56:$G$56,1,AY$7)/12</f>
        <v>-36903.333333333336</v>
      </c>
      <c r="AZ16" s="133">
        <f>-INDEX('P&amp;L_5yr'!$C$56:$G$56,1,AZ$7)/12</f>
        <v>-36903.333333333336</v>
      </c>
      <c r="BA16" s="133">
        <f>-INDEX('P&amp;L_5yr'!$C$56:$G$56,1,BA$7)/12</f>
        <v>-36903.333333333336</v>
      </c>
      <c r="BB16" s="133">
        <f>-INDEX('P&amp;L_5yr'!$C$56:$G$56,1,BB$7)/12</f>
        <v>-36903.333333333336</v>
      </c>
      <c r="BC16" s="133">
        <f>-INDEX('P&amp;L_5yr'!$C$56:$G$56,1,BC$7)/12</f>
        <v>-36903.333333333336</v>
      </c>
      <c r="BD16" s="133">
        <f>-INDEX('P&amp;L_5yr'!$C$56:$G$56,1,BD$7)/12</f>
        <v>-36903.333333333336</v>
      </c>
      <c r="BE16" s="133">
        <f>-INDEX('P&amp;L_5yr'!$C$56:$G$56,1,BE$7)/12</f>
        <v>-36903.333333333336</v>
      </c>
      <c r="BF16" s="133">
        <f>-INDEX('P&amp;L_5yr'!$C$56:$G$56,1,BF$7)/12</f>
        <v>-36903.333333333336</v>
      </c>
      <c r="BG16" s="133">
        <f>-INDEX('P&amp;L_5yr'!$C$56:$G$56,1,BG$7)/12</f>
        <v>-36903.333333333336</v>
      </c>
      <c r="BH16" s="133">
        <f>-INDEX('P&amp;L_5yr'!$C$56:$G$56,1,BH$7)/12</f>
        <v>-36903.333333333336</v>
      </c>
      <c r="BI16" s="133">
        <f>-INDEX('P&amp;L_5yr'!$C$56:$G$56,1,BI$7)/12</f>
        <v>-36903.333333333336</v>
      </c>
      <c r="BK16" s="126" t="s">
        <v>578</v>
      </c>
    </row>
    <row r="17" spans="1:63">
      <c r="A17" s="132" t="s">
        <v>579</v>
      </c>
      <c r="B17" s="133">
        <f>-IF(B$6&lt;=6,'P&amp;L_5yr'!$C$58/6,0)</f>
        <v>-40185.408333333333</v>
      </c>
      <c r="C17" s="133">
        <f>-IF(C$6&lt;=6,'P&amp;L_5yr'!$C$58/6,0)</f>
        <v>-40185.408333333333</v>
      </c>
      <c r="D17" s="133">
        <f>-IF(D$6&lt;=6,'P&amp;L_5yr'!$C$58/6,0)</f>
        <v>-40185.408333333333</v>
      </c>
      <c r="E17" s="133">
        <f>-IF(E$6&lt;=6,'P&amp;L_5yr'!$C$58/6,0)</f>
        <v>-40185.408333333333</v>
      </c>
      <c r="F17" s="133">
        <f>-IF(F$6&lt;=6,'P&amp;L_5yr'!$C$58/6,0)</f>
        <v>-40185.408333333333</v>
      </c>
      <c r="G17" s="133">
        <f>-IF(G$6&lt;=6,'P&amp;L_5yr'!$C$58/6,0)</f>
        <v>-40185.408333333333</v>
      </c>
      <c r="H17" s="133">
        <f>-IF(H$6&lt;=6,'P&amp;L_5yr'!$C$58/6,0)</f>
        <v>0</v>
      </c>
      <c r="I17" s="133">
        <f>-IF(I$6&lt;=6,'P&amp;L_5yr'!$C$58/6,0)</f>
        <v>0</v>
      </c>
      <c r="J17" s="133">
        <f>-IF(J$6&lt;=6,'P&amp;L_5yr'!$C$58/6,0)</f>
        <v>0</v>
      </c>
      <c r="K17" s="133">
        <f>-IF(K$6&lt;=6,'P&amp;L_5yr'!$C$58/6,0)</f>
        <v>0</v>
      </c>
      <c r="L17" s="133">
        <f>-IF(L$6&lt;=6,'P&amp;L_5yr'!$C$58/6,0)</f>
        <v>0</v>
      </c>
      <c r="M17" s="133">
        <f>-IF(M$6&lt;=6,'P&amp;L_5yr'!$C$58/6,0)</f>
        <v>0</v>
      </c>
      <c r="N17" s="133">
        <f>-IF(N$6&lt;=6,'P&amp;L_5yr'!$C$58/6,0)</f>
        <v>0</v>
      </c>
      <c r="O17" s="133">
        <f>-IF(O$6&lt;=6,'P&amp;L_5yr'!$C$58/6,0)</f>
        <v>0</v>
      </c>
      <c r="P17" s="133">
        <f>-IF(P$6&lt;=6,'P&amp;L_5yr'!$C$58/6,0)</f>
        <v>0</v>
      </c>
      <c r="Q17" s="133">
        <f>-IF(Q$6&lt;=6,'P&amp;L_5yr'!$C$58/6,0)</f>
        <v>0</v>
      </c>
      <c r="R17" s="133">
        <f>-IF(R$6&lt;=6,'P&amp;L_5yr'!$C$58/6,0)</f>
        <v>0</v>
      </c>
      <c r="S17" s="133">
        <f>-IF(S$6&lt;=6,'P&amp;L_5yr'!$C$58/6,0)</f>
        <v>0</v>
      </c>
      <c r="T17" s="133">
        <f>-IF(T$6&lt;=6,'P&amp;L_5yr'!$C$58/6,0)</f>
        <v>0</v>
      </c>
      <c r="U17" s="133">
        <f>-IF(U$6&lt;=6,'P&amp;L_5yr'!$C$58/6,0)</f>
        <v>0</v>
      </c>
      <c r="V17" s="133">
        <f>-IF(V$6&lt;=6,'P&amp;L_5yr'!$C$58/6,0)</f>
        <v>0</v>
      </c>
      <c r="W17" s="133">
        <f>-IF(W$6&lt;=6,'P&amp;L_5yr'!$C$58/6,0)</f>
        <v>0</v>
      </c>
      <c r="X17" s="133">
        <f>-IF(X$6&lt;=6,'P&amp;L_5yr'!$C$58/6,0)</f>
        <v>0</v>
      </c>
      <c r="Y17" s="133">
        <f>-IF(Y$6&lt;=6,'P&amp;L_5yr'!$C$58/6,0)</f>
        <v>0</v>
      </c>
      <c r="Z17" s="133">
        <f>-IF(Z$6&lt;=6,'P&amp;L_5yr'!$C$58/6,0)</f>
        <v>0</v>
      </c>
      <c r="AA17" s="133">
        <f>-IF(AA$6&lt;=6,'P&amp;L_5yr'!$C$58/6,0)</f>
        <v>0</v>
      </c>
      <c r="AB17" s="133">
        <f>-IF(AB$6&lt;=6,'P&amp;L_5yr'!$C$58/6,0)</f>
        <v>0</v>
      </c>
      <c r="AC17" s="133">
        <f>-IF(AC$6&lt;=6,'P&amp;L_5yr'!$C$58/6,0)</f>
        <v>0</v>
      </c>
      <c r="AD17" s="133">
        <f>-IF(AD$6&lt;=6,'P&amp;L_5yr'!$C$58/6,0)</f>
        <v>0</v>
      </c>
      <c r="AE17" s="133">
        <f>-IF(AE$6&lt;=6,'P&amp;L_5yr'!$C$58/6,0)</f>
        <v>0</v>
      </c>
      <c r="AF17" s="133">
        <f>-IF(AF$6&lt;=6,'P&amp;L_5yr'!$C$58/6,0)</f>
        <v>0</v>
      </c>
      <c r="AG17" s="133">
        <f>-IF(AG$6&lt;=6,'P&amp;L_5yr'!$C$58/6,0)</f>
        <v>0</v>
      </c>
      <c r="AH17" s="133">
        <f>-IF(AH$6&lt;=6,'P&amp;L_5yr'!$C$58/6,0)</f>
        <v>0</v>
      </c>
      <c r="AI17" s="133">
        <f>-IF(AI$6&lt;=6,'P&amp;L_5yr'!$C$58/6,0)</f>
        <v>0</v>
      </c>
      <c r="AJ17" s="133">
        <f>-IF(AJ$6&lt;=6,'P&amp;L_5yr'!$C$58/6,0)</f>
        <v>0</v>
      </c>
      <c r="AK17" s="133">
        <f>-IF(AK$6&lt;=6,'P&amp;L_5yr'!$C$58/6,0)</f>
        <v>0</v>
      </c>
      <c r="AL17" s="133">
        <f>-IF(AL$6&lt;=6,'P&amp;L_5yr'!$C$58/6,0)</f>
        <v>0</v>
      </c>
      <c r="AM17" s="133">
        <f>-IF(AM$6&lt;=6,'P&amp;L_5yr'!$C$58/6,0)</f>
        <v>0</v>
      </c>
      <c r="AN17" s="133">
        <f>-IF(AN$6&lt;=6,'P&amp;L_5yr'!$C$58/6,0)</f>
        <v>0</v>
      </c>
      <c r="AO17" s="133">
        <f>-IF(AO$6&lt;=6,'P&amp;L_5yr'!$C$58/6,0)</f>
        <v>0</v>
      </c>
      <c r="AP17" s="133">
        <f>-IF(AP$6&lt;=6,'P&amp;L_5yr'!$C$58/6,0)</f>
        <v>0</v>
      </c>
      <c r="AQ17" s="133">
        <f>-IF(AQ$6&lt;=6,'P&amp;L_5yr'!$C$58/6,0)</f>
        <v>0</v>
      </c>
      <c r="AR17" s="133">
        <f>-IF(AR$6&lt;=6,'P&amp;L_5yr'!$C$58/6,0)</f>
        <v>0</v>
      </c>
      <c r="AS17" s="133">
        <f>-IF(AS$6&lt;=6,'P&amp;L_5yr'!$C$58/6,0)</f>
        <v>0</v>
      </c>
      <c r="AT17" s="133">
        <f>-IF(AT$6&lt;=6,'P&amp;L_5yr'!$C$58/6,0)</f>
        <v>0</v>
      </c>
      <c r="AU17" s="133">
        <f>-IF(AU$6&lt;=6,'P&amp;L_5yr'!$C$58/6,0)</f>
        <v>0</v>
      </c>
      <c r="AV17" s="133">
        <f>-IF(AV$6&lt;=6,'P&amp;L_5yr'!$C$58/6,0)</f>
        <v>0</v>
      </c>
      <c r="AW17" s="133">
        <f>-IF(AW$6&lt;=6,'P&amp;L_5yr'!$C$58/6,0)</f>
        <v>0</v>
      </c>
      <c r="AX17" s="133">
        <f>-IF(AX$6&lt;=6,'P&amp;L_5yr'!$C$58/6,0)</f>
        <v>0</v>
      </c>
      <c r="AY17" s="133">
        <f>-IF(AY$6&lt;=6,'P&amp;L_5yr'!$C$58/6,0)</f>
        <v>0</v>
      </c>
      <c r="AZ17" s="133">
        <f>-IF(AZ$6&lt;=6,'P&amp;L_5yr'!$C$58/6,0)</f>
        <v>0</v>
      </c>
      <c r="BA17" s="133">
        <f>-IF(BA$6&lt;=6,'P&amp;L_5yr'!$C$58/6,0)</f>
        <v>0</v>
      </c>
      <c r="BB17" s="133">
        <f>-IF(BB$6&lt;=6,'P&amp;L_5yr'!$C$58/6,0)</f>
        <v>0</v>
      </c>
      <c r="BC17" s="133">
        <f>-IF(BC$6&lt;=6,'P&amp;L_5yr'!$C$58/6,0)</f>
        <v>0</v>
      </c>
      <c r="BD17" s="133">
        <f>-IF(BD$6&lt;=6,'P&amp;L_5yr'!$C$58/6,0)</f>
        <v>0</v>
      </c>
      <c r="BE17" s="133">
        <f>-IF(BE$6&lt;=6,'P&amp;L_5yr'!$C$58/6,0)</f>
        <v>0</v>
      </c>
      <c r="BF17" s="133">
        <f>-IF(BF$6&lt;=6,'P&amp;L_5yr'!$C$58/6,0)</f>
        <v>0</v>
      </c>
      <c r="BG17" s="133">
        <f>-IF(BG$6&lt;=6,'P&amp;L_5yr'!$C$58/6,0)</f>
        <v>0</v>
      </c>
      <c r="BH17" s="133">
        <f>-IF(BH$6&lt;=6,'P&amp;L_5yr'!$C$58/6,0)</f>
        <v>0</v>
      </c>
      <c r="BI17" s="133">
        <f>-IF(BI$6&lt;=6,'P&amp;L_5yr'!$C$58/6,0)</f>
        <v>0</v>
      </c>
      <c r="BK17" s="126" t="s">
        <v>580</v>
      </c>
    </row>
    <row r="18" spans="1:63" ht="29" customHeight="1">
      <c r="A18" s="132" t="s">
        <v>581</v>
      </c>
      <c r="B18" s="133">
        <f>0</f>
        <v>0</v>
      </c>
      <c r="C18" s="133">
        <f>0</f>
        <v>0</v>
      </c>
      <c r="D18" s="133">
        <f>0</f>
        <v>0</v>
      </c>
      <c r="E18" s="133">
        <f>0</f>
        <v>0</v>
      </c>
      <c r="F18" s="133">
        <f>0</f>
        <v>0</v>
      </c>
      <c r="G18" s="133">
        <f>0</f>
        <v>0</v>
      </c>
      <c r="H18" s="133">
        <f>0</f>
        <v>0</v>
      </c>
      <c r="I18" s="133">
        <f>0</f>
        <v>0</v>
      </c>
      <c r="J18" s="133">
        <f>0</f>
        <v>0</v>
      </c>
      <c r="K18" s="133">
        <f>0</f>
        <v>0</v>
      </c>
      <c r="L18" s="133">
        <f>0</f>
        <v>0</v>
      </c>
      <c r="M18" s="133">
        <f>0</f>
        <v>0</v>
      </c>
      <c r="N18" s="133">
        <f>0</f>
        <v>0</v>
      </c>
      <c r="O18" s="133">
        <f>0</f>
        <v>0</v>
      </c>
      <c r="P18" s="133">
        <f>0</f>
        <v>0</v>
      </c>
      <c r="Q18" s="133">
        <f>0</f>
        <v>0</v>
      </c>
      <c r="R18" s="133">
        <f>0</f>
        <v>0</v>
      </c>
      <c r="S18" s="133">
        <f>0</f>
        <v>0</v>
      </c>
      <c r="T18" s="133">
        <f>0</f>
        <v>0</v>
      </c>
      <c r="U18" s="133">
        <f>0</f>
        <v>0</v>
      </c>
      <c r="V18" s="133">
        <f>0</f>
        <v>0</v>
      </c>
      <c r="W18" s="133">
        <f>0</f>
        <v>0</v>
      </c>
      <c r="X18" s="133">
        <f>0</f>
        <v>0</v>
      </c>
      <c r="Y18" s="133">
        <f>0</f>
        <v>0</v>
      </c>
      <c r="Z18" s="133">
        <f>0</f>
        <v>0</v>
      </c>
      <c r="AA18" s="133">
        <f>0</f>
        <v>0</v>
      </c>
      <c r="AB18" s="133">
        <f>0</f>
        <v>0</v>
      </c>
      <c r="AC18" s="133">
        <f>0</f>
        <v>0</v>
      </c>
      <c r="AD18" s="133">
        <f>0</f>
        <v>0</v>
      </c>
      <c r="AE18" s="133">
        <f>0</f>
        <v>0</v>
      </c>
      <c r="AF18" s="133">
        <f>0</f>
        <v>0</v>
      </c>
      <c r="AG18" s="133">
        <f>0</f>
        <v>0</v>
      </c>
      <c r="AH18" s="133">
        <f>0</f>
        <v>0</v>
      </c>
      <c r="AI18" s="133">
        <f>0</f>
        <v>0</v>
      </c>
      <c r="AJ18" s="133">
        <f>0</f>
        <v>0</v>
      </c>
      <c r="AK18" s="133">
        <f>0</f>
        <v>0</v>
      </c>
      <c r="AL18" s="133">
        <f>0</f>
        <v>0</v>
      </c>
      <c r="AM18" s="133">
        <f>0</f>
        <v>0</v>
      </c>
      <c r="AN18" s="133">
        <f>0</f>
        <v>0</v>
      </c>
      <c r="AO18" s="133">
        <f>0</f>
        <v>0</v>
      </c>
      <c r="AP18" s="133">
        <f>0</f>
        <v>0</v>
      </c>
      <c r="AQ18" s="133">
        <f>0</f>
        <v>0</v>
      </c>
      <c r="AR18" s="133">
        <f>0</f>
        <v>0</v>
      </c>
      <c r="AS18" s="133">
        <f>0</f>
        <v>0</v>
      </c>
      <c r="AT18" s="133">
        <f>0</f>
        <v>0</v>
      </c>
      <c r="AU18" s="133">
        <f>0</f>
        <v>0</v>
      </c>
      <c r="AV18" s="133">
        <f>0</f>
        <v>0</v>
      </c>
      <c r="AW18" s="133">
        <f>0</f>
        <v>0</v>
      </c>
      <c r="AX18" s="133">
        <f>0</f>
        <v>0</v>
      </c>
      <c r="AY18" s="133">
        <f>0</f>
        <v>0</v>
      </c>
      <c r="AZ18" s="133">
        <f>0</f>
        <v>0</v>
      </c>
      <c r="BA18" s="133">
        <f>0</f>
        <v>0</v>
      </c>
      <c r="BB18" s="133">
        <f>0</f>
        <v>0</v>
      </c>
      <c r="BC18" s="133">
        <f>0</f>
        <v>0</v>
      </c>
      <c r="BD18" s="133">
        <f>0</f>
        <v>0</v>
      </c>
      <c r="BE18" s="133">
        <f>0</f>
        <v>0</v>
      </c>
      <c r="BF18" s="133">
        <f>0</f>
        <v>0</v>
      </c>
      <c r="BG18" s="133">
        <f>0</f>
        <v>0</v>
      </c>
      <c r="BH18" s="133">
        <f>0</f>
        <v>0</v>
      </c>
      <c r="BI18" s="133">
        <f>0</f>
        <v>0</v>
      </c>
      <c r="BK18" s="126" t="s">
        <v>582</v>
      </c>
    </row>
    <row r="19" spans="1:63" ht="29" customHeight="1">
      <c r="A19" s="132" t="s">
        <v>583</v>
      </c>
      <c r="B19" s="133">
        <f t="shared" ref="B19:AG19" si="8">B14+SUM(B15:B18)</f>
        <v>-93302.074999999997</v>
      </c>
      <c r="C19" s="133">
        <f t="shared" si="8"/>
        <v>-93302.074999999997</v>
      </c>
      <c r="D19" s="133">
        <f t="shared" si="8"/>
        <v>-93302.074999999997</v>
      </c>
      <c r="E19" s="133">
        <f t="shared" si="8"/>
        <v>-93302.074999999997</v>
      </c>
      <c r="F19" s="133">
        <f t="shared" si="8"/>
        <v>-93302.074999999997</v>
      </c>
      <c r="G19" s="133">
        <f t="shared" si="8"/>
        <v>-93302.074999999997</v>
      </c>
      <c r="H19" s="133">
        <f t="shared" si="8"/>
        <v>-42944.176302083331</v>
      </c>
      <c r="I19" s="133">
        <f t="shared" si="8"/>
        <v>-42944.176302083331</v>
      </c>
      <c r="J19" s="133">
        <f t="shared" si="8"/>
        <v>-42944.176302083331</v>
      </c>
      <c r="K19" s="133">
        <f t="shared" si="8"/>
        <v>-42944.176302083331</v>
      </c>
      <c r="L19" s="133">
        <f t="shared" si="8"/>
        <v>-42944.176302083331</v>
      </c>
      <c r="M19" s="133">
        <f t="shared" si="8"/>
        <v>-42944.176302083331</v>
      </c>
      <c r="N19" s="133">
        <f t="shared" si="8"/>
        <v>-37660.379557291664</v>
      </c>
      <c r="O19" s="133">
        <f t="shared" si="8"/>
        <v>-37660.379557291664</v>
      </c>
      <c r="P19" s="133">
        <f t="shared" si="8"/>
        <v>-37660.379557291664</v>
      </c>
      <c r="Q19" s="133">
        <f t="shared" si="8"/>
        <v>-37660.379557291664</v>
      </c>
      <c r="R19" s="133">
        <f t="shared" si="8"/>
        <v>-37660.379557291664</v>
      </c>
      <c r="S19" s="133">
        <f t="shared" si="8"/>
        <v>-37660.379557291664</v>
      </c>
      <c r="T19" s="133">
        <f t="shared" si="8"/>
        <v>-37660.379557291664</v>
      </c>
      <c r="U19" s="133">
        <f t="shared" si="8"/>
        <v>-37660.379557291664</v>
      </c>
      <c r="V19" s="133">
        <f t="shared" si="8"/>
        <v>-37660.379557291664</v>
      </c>
      <c r="W19" s="133">
        <f t="shared" si="8"/>
        <v>-37660.379557291664</v>
      </c>
      <c r="X19" s="133">
        <f t="shared" si="8"/>
        <v>-37660.379557291664</v>
      </c>
      <c r="Y19" s="133">
        <f t="shared" si="8"/>
        <v>-37660.379557291664</v>
      </c>
      <c r="Z19" s="133">
        <f t="shared" si="8"/>
        <v>25586.039062499985</v>
      </c>
      <c r="AA19" s="133">
        <f t="shared" si="8"/>
        <v>25586.039062499985</v>
      </c>
      <c r="AB19" s="133">
        <f t="shared" si="8"/>
        <v>25586.039062499985</v>
      </c>
      <c r="AC19" s="133">
        <f t="shared" si="8"/>
        <v>25586.039062499985</v>
      </c>
      <c r="AD19" s="133">
        <f t="shared" si="8"/>
        <v>25586.039062499985</v>
      </c>
      <c r="AE19" s="133">
        <f t="shared" si="8"/>
        <v>25586.039062499985</v>
      </c>
      <c r="AF19" s="133">
        <f t="shared" si="8"/>
        <v>25586.039062499985</v>
      </c>
      <c r="AG19" s="133">
        <f t="shared" si="8"/>
        <v>25586.039062499985</v>
      </c>
      <c r="AH19" s="133">
        <f t="shared" ref="AH19:BI19" si="9">AH14+SUM(AH15:AH18)</f>
        <v>25586.039062499985</v>
      </c>
      <c r="AI19" s="133">
        <f t="shared" si="9"/>
        <v>25586.039062499985</v>
      </c>
      <c r="AJ19" s="133">
        <f t="shared" si="9"/>
        <v>25586.039062499985</v>
      </c>
      <c r="AK19" s="133">
        <f t="shared" si="9"/>
        <v>25586.039062499985</v>
      </c>
      <c r="AL19" s="133">
        <f t="shared" si="9"/>
        <v>224546.56770833334</v>
      </c>
      <c r="AM19" s="133">
        <f t="shared" si="9"/>
        <v>224546.56770833334</v>
      </c>
      <c r="AN19" s="133">
        <f t="shared" si="9"/>
        <v>224546.56770833334</v>
      </c>
      <c r="AO19" s="133">
        <f t="shared" si="9"/>
        <v>224546.56770833334</v>
      </c>
      <c r="AP19" s="133">
        <f t="shared" si="9"/>
        <v>224546.56770833334</v>
      </c>
      <c r="AQ19" s="133">
        <f t="shared" si="9"/>
        <v>224546.56770833334</v>
      </c>
      <c r="AR19" s="133">
        <f t="shared" si="9"/>
        <v>224546.56770833334</v>
      </c>
      <c r="AS19" s="133">
        <f t="shared" si="9"/>
        <v>224546.56770833334</v>
      </c>
      <c r="AT19" s="133">
        <f t="shared" si="9"/>
        <v>224546.56770833334</v>
      </c>
      <c r="AU19" s="133">
        <f t="shared" si="9"/>
        <v>224546.56770833334</v>
      </c>
      <c r="AV19" s="133">
        <f t="shared" si="9"/>
        <v>224546.56770833334</v>
      </c>
      <c r="AW19" s="133">
        <f t="shared" si="9"/>
        <v>224546.56770833334</v>
      </c>
      <c r="AX19" s="133">
        <f t="shared" si="9"/>
        <v>873995.57578125014</v>
      </c>
      <c r="AY19" s="133">
        <f t="shared" si="9"/>
        <v>873995.57578125014</v>
      </c>
      <c r="AZ19" s="133">
        <f t="shared" si="9"/>
        <v>873995.57578125014</v>
      </c>
      <c r="BA19" s="133">
        <f t="shared" si="9"/>
        <v>873995.57578125014</v>
      </c>
      <c r="BB19" s="133">
        <f t="shared" si="9"/>
        <v>873995.57578125014</v>
      </c>
      <c r="BC19" s="133">
        <f t="shared" si="9"/>
        <v>873995.57578125014</v>
      </c>
      <c r="BD19" s="133">
        <f t="shared" si="9"/>
        <v>873995.57578125014</v>
      </c>
      <c r="BE19" s="133">
        <f t="shared" si="9"/>
        <v>873995.57578125014</v>
      </c>
      <c r="BF19" s="133">
        <f t="shared" si="9"/>
        <v>873995.57578125014</v>
      </c>
      <c r="BG19" s="133">
        <f t="shared" si="9"/>
        <v>873995.57578125014</v>
      </c>
      <c r="BH19" s="133">
        <f t="shared" si="9"/>
        <v>873995.57578125014</v>
      </c>
      <c r="BI19" s="133">
        <f t="shared" si="9"/>
        <v>873995.57578125014</v>
      </c>
    </row>
    <row r="20" spans="1:63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</row>
    <row r="21" spans="1:63">
      <c r="A21" s="131" t="s">
        <v>584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</row>
    <row r="22" spans="1:63">
      <c r="A22" s="132" t="s">
        <v>585</v>
      </c>
      <c r="B22" s="133">
        <f>0</f>
        <v>0</v>
      </c>
      <c r="C22" s="133">
        <f>0</f>
        <v>0</v>
      </c>
      <c r="D22" s="133">
        <f>0</f>
        <v>0</v>
      </c>
      <c r="E22" s="133">
        <f>0</f>
        <v>0</v>
      </c>
      <c r="F22" s="133">
        <f>0</f>
        <v>0</v>
      </c>
      <c r="G22" s="133">
        <f>0</f>
        <v>0</v>
      </c>
      <c r="H22" s="133">
        <f>0</f>
        <v>0</v>
      </c>
      <c r="I22" s="133">
        <f>0</f>
        <v>0</v>
      </c>
      <c r="J22" s="133">
        <f>0</f>
        <v>0</v>
      </c>
      <c r="K22" s="133">
        <f>0</f>
        <v>0</v>
      </c>
      <c r="L22" s="133">
        <f>0</f>
        <v>0</v>
      </c>
      <c r="M22" s="133">
        <f>0</f>
        <v>0</v>
      </c>
      <c r="N22" s="133">
        <f>0</f>
        <v>0</v>
      </c>
      <c r="O22" s="133">
        <f>0</f>
        <v>0</v>
      </c>
      <c r="P22" s="133">
        <f>0</f>
        <v>0</v>
      </c>
      <c r="Q22" s="133">
        <f>0</f>
        <v>0</v>
      </c>
      <c r="R22" s="133">
        <f>0</f>
        <v>0</v>
      </c>
      <c r="S22" s="133">
        <f>0</f>
        <v>0</v>
      </c>
      <c r="T22" s="133">
        <f>0</f>
        <v>0</v>
      </c>
      <c r="U22" s="133">
        <f>0</f>
        <v>0</v>
      </c>
      <c r="V22" s="133">
        <f>0</f>
        <v>0</v>
      </c>
      <c r="W22" s="133">
        <f>0</f>
        <v>0</v>
      </c>
      <c r="X22" s="133">
        <f>0</f>
        <v>0</v>
      </c>
      <c r="Y22" s="133">
        <f>0</f>
        <v>0</v>
      </c>
      <c r="Z22" s="133">
        <f>0</f>
        <v>0</v>
      </c>
      <c r="AA22" s="133">
        <f>0</f>
        <v>0</v>
      </c>
      <c r="AB22" s="133">
        <f>0</f>
        <v>0</v>
      </c>
      <c r="AC22" s="133">
        <f>0</f>
        <v>0</v>
      </c>
      <c r="AD22" s="133">
        <f>0</f>
        <v>0</v>
      </c>
      <c r="AE22" s="133">
        <f>0</f>
        <v>0</v>
      </c>
      <c r="AF22" s="133">
        <f>0</f>
        <v>0</v>
      </c>
      <c r="AG22" s="133">
        <f>0</f>
        <v>0</v>
      </c>
      <c r="AH22" s="133">
        <f>0</f>
        <v>0</v>
      </c>
      <c r="AI22" s="133">
        <f>0</f>
        <v>0</v>
      </c>
      <c r="AJ22" s="133">
        <f>0</f>
        <v>0</v>
      </c>
      <c r="AK22" s="133">
        <f>0</f>
        <v>0</v>
      </c>
      <c r="AL22" s="133">
        <f>0</f>
        <v>0</v>
      </c>
      <c r="AM22" s="133">
        <f>0</f>
        <v>0</v>
      </c>
      <c r="AN22" s="133">
        <f>0</f>
        <v>0</v>
      </c>
      <c r="AO22" s="133">
        <f>0</f>
        <v>0</v>
      </c>
      <c r="AP22" s="133">
        <f>0</f>
        <v>0</v>
      </c>
      <c r="AQ22" s="133">
        <f>0</f>
        <v>0</v>
      </c>
      <c r="AR22" s="133">
        <f>0</f>
        <v>0</v>
      </c>
      <c r="AS22" s="133">
        <f>0</f>
        <v>0</v>
      </c>
      <c r="AT22" s="133">
        <f>0</f>
        <v>0</v>
      </c>
      <c r="AU22" s="133">
        <f>0</f>
        <v>0</v>
      </c>
      <c r="AV22" s="133">
        <f>0</f>
        <v>0</v>
      </c>
      <c r="AW22" s="133">
        <f>0</f>
        <v>0</v>
      </c>
      <c r="AX22" s="133">
        <f>0</f>
        <v>0</v>
      </c>
      <c r="AY22" s="133">
        <f>0</f>
        <v>0</v>
      </c>
      <c r="AZ22" s="133">
        <f>0</f>
        <v>0</v>
      </c>
      <c r="BA22" s="133">
        <f>0</f>
        <v>0</v>
      </c>
      <c r="BB22" s="133">
        <f>0</f>
        <v>0</v>
      </c>
      <c r="BC22" s="133">
        <f>0</f>
        <v>0</v>
      </c>
      <c r="BD22" s="133">
        <f>0</f>
        <v>0</v>
      </c>
      <c r="BE22" s="133">
        <f>0</f>
        <v>0</v>
      </c>
      <c r="BF22" s="133">
        <f>0</f>
        <v>0</v>
      </c>
      <c r="BG22" s="133">
        <f>0</f>
        <v>0</v>
      </c>
      <c r="BH22" s="133">
        <f>0</f>
        <v>0</v>
      </c>
      <c r="BI22" s="133">
        <f>0</f>
        <v>0</v>
      </c>
    </row>
    <row r="23" spans="1:63">
      <c r="A23" s="132" t="s">
        <v>586</v>
      </c>
      <c r="B23" s="133">
        <f t="shared" ref="B23:AG23" si="10">B22</f>
        <v>0</v>
      </c>
      <c r="C23" s="133">
        <f t="shared" si="10"/>
        <v>0</v>
      </c>
      <c r="D23" s="133">
        <f t="shared" si="10"/>
        <v>0</v>
      </c>
      <c r="E23" s="133">
        <f t="shared" si="10"/>
        <v>0</v>
      </c>
      <c r="F23" s="133">
        <f t="shared" si="10"/>
        <v>0</v>
      </c>
      <c r="G23" s="133">
        <f t="shared" si="10"/>
        <v>0</v>
      </c>
      <c r="H23" s="133">
        <f t="shared" si="10"/>
        <v>0</v>
      </c>
      <c r="I23" s="133">
        <f t="shared" si="10"/>
        <v>0</v>
      </c>
      <c r="J23" s="133">
        <f t="shared" si="10"/>
        <v>0</v>
      </c>
      <c r="K23" s="133">
        <f t="shared" si="10"/>
        <v>0</v>
      </c>
      <c r="L23" s="133">
        <f t="shared" si="10"/>
        <v>0</v>
      </c>
      <c r="M23" s="133">
        <f t="shared" si="10"/>
        <v>0</v>
      </c>
      <c r="N23" s="133">
        <f t="shared" si="10"/>
        <v>0</v>
      </c>
      <c r="O23" s="133">
        <f t="shared" si="10"/>
        <v>0</v>
      </c>
      <c r="P23" s="133">
        <f t="shared" si="10"/>
        <v>0</v>
      </c>
      <c r="Q23" s="133">
        <f t="shared" si="10"/>
        <v>0</v>
      </c>
      <c r="R23" s="133">
        <f t="shared" si="10"/>
        <v>0</v>
      </c>
      <c r="S23" s="133">
        <f t="shared" si="10"/>
        <v>0</v>
      </c>
      <c r="T23" s="133">
        <f t="shared" si="10"/>
        <v>0</v>
      </c>
      <c r="U23" s="133">
        <f t="shared" si="10"/>
        <v>0</v>
      </c>
      <c r="V23" s="133">
        <f t="shared" si="10"/>
        <v>0</v>
      </c>
      <c r="W23" s="133">
        <f t="shared" si="10"/>
        <v>0</v>
      </c>
      <c r="X23" s="133">
        <f t="shared" si="10"/>
        <v>0</v>
      </c>
      <c r="Y23" s="133">
        <f t="shared" si="10"/>
        <v>0</v>
      </c>
      <c r="Z23" s="133">
        <f t="shared" si="10"/>
        <v>0</v>
      </c>
      <c r="AA23" s="133">
        <f t="shared" si="10"/>
        <v>0</v>
      </c>
      <c r="AB23" s="133">
        <f t="shared" si="10"/>
        <v>0</v>
      </c>
      <c r="AC23" s="133">
        <f t="shared" si="10"/>
        <v>0</v>
      </c>
      <c r="AD23" s="133">
        <f t="shared" si="10"/>
        <v>0</v>
      </c>
      <c r="AE23" s="133">
        <f t="shared" si="10"/>
        <v>0</v>
      </c>
      <c r="AF23" s="133">
        <f t="shared" si="10"/>
        <v>0</v>
      </c>
      <c r="AG23" s="133">
        <f t="shared" si="10"/>
        <v>0</v>
      </c>
      <c r="AH23" s="133">
        <f t="shared" ref="AH23:BI23" si="11">AH22</f>
        <v>0</v>
      </c>
      <c r="AI23" s="133">
        <f t="shared" si="11"/>
        <v>0</v>
      </c>
      <c r="AJ23" s="133">
        <f t="shared" si="11"/>
        <v>0</v>
      </c>
      <c r="AK23" s="133">
        <f t="shared" si="11"/>
        <v>0</v>
      </c>
      <c r="AL23" s="133">
        <f t="shared" si="11"/>
        <v>0</v>
      </c>
      <c r="AM23" s="133">
        <f t="shared" si="11"/>
        <v>0</v>
      </c>
      <c r="AN23" s="133">
        <f t="shared" si="11"/>
        <v>0</v>
      </c>
      <c r="AO23" s="133">
        <f t="shared" si="11"/>
        <v>0</v>
      </c>
      <c r="AP23" s="133">
        <f t="shared" si="11"/>
        <v>0</v>
      </c>
      <c r="AQ23" s="133">
        <f t="shared" si="11"/>
        <v>0</v>
      </c>
      <c r="AR23" s="133">
        <f t="shared" si="11"/>
        <v>0</v>
      </c>
      <c r="AS23" s="133">
        <f t="shared" si="11"/>
        <v>0</v>
      </c>
      <c r="AT23" s="133">
        <f t="shared" si="11"/>
        <v>0</v>
      </c>
      <c r="AU23" s="133">
        <f t="shared" si="11"/>
        <v>0</v>
      </c>
      <c r="AV23" s="133">
        <f t="shared" si="11"/>
        <v>0</v>
      </c>
      <c r="AW23" s="133">
        <f t="shared" si="11"/>
        <v>0</v>
      </c>
      <c r="AX23" s="133">
        <f t="shared" si="11"/>
        <v>0</v>
      </c>
      <c r="AY23" s="133">
        <f t="shared" si="11"/>
        <v>0</v>
      </c>
      <c r="AZ23" s="133">
        <f t="shared" si="11"/>
        <v>0</v>
      </c>
      <c r="BA23" s="133">
        <f t="shared" si="11"/>
        <v>0</v>
      </c>
      <c r="BB23" s="133">
        <f t="shared" si="11"/>
        <v>0</v>
      </c>
      <c r="BC23" s="133">
        <f t="shared" si="11"/>
        <v>0</v>
      </c>
      <c r="BD23" s="133">
        <f t="shared" si="11"/>
        <v>0</v>
      </c>
      <c r="BE23" s="133">
        <f t="shared" si="11"/>
        <v>0</v>
      </c>
      <c r="BF23" s="133">
        <f t="shared" si="11"/>
        <v>0</v>
      </c>
      <c r="BG23" s="133">
        <f t="shared" si="11"/>
        <v>0</v>
      </c>
      <c r="BH23" s="133">
        <f t="shared" si="11"/>
        <v>0</v>
      </c>
      <c r="BI23" s="133">
        <f t="shared" si="11"/>
        <v>0</v>
      </c>
    </row>
    <row r="24" spans="1:63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</row>
    <row r="25" spans="1:63">
      <c r="A25" s="131" t="s">
        <v>587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</row>
    <row r="26" spans="1:63" ht="29" customHeight="1">
      <c r="A26" s="132" t="s">
        <v>588</v>
      </c>
      <c r="B26" s="133">
        <f>IF(B$8=1,IF(B$7=1,'P&amp;L_5yr'!$C$66,MAX(0,INDEX('P&amp;L_5yr'!$C$66:$G$66,1,B$7)-INDEX('P&amp;L_5yr'!$C$66:$G$66,1,B$7-1))),0)</f>
        <v>1302721</v>
      </c>
      <c r="C26" s="133">
        <f>IF(C$8=1,IF(C$7=1,'P&amp;L_5yr'!$C$66,MAX(0,INDEX('P&amp;L_5yr'!$C$66:$G$66,1,C$7)-INDEX('P&amp;L_5yr'!$C$66:$G$66,1,C$7-1))),0)</f>
        <v>0</v>
      </c>
      <c r="D26" s="133">
        <f>IF(D$8=1,IF(D$7=1,'P&amp;L_5yr'!$C$66,MAX(0,INDEX('P&amp;L_5yr'!$C$66:$G$66,1,D$7)-INDEX('P&amp;L_5yr'!$C$66:$G$66,1,D$7-1))),0)</f>
        <v>0</v>
      </c>
      <c r="E26" s="133">
        <f>IF(E$8=1,IF(E$7=1,'P&amp;L_5yr'!$C$66,MAX(0,INDEX('P&amp;L_5yr'!$C$66:$G$66,1,E$7)-INDEX('P&amp;L_5yr'!$C$66:$G$66,1,E$7-1))),0)</f>
        <v>0</v>
      </c>
      <c r="F26" s="133">
        <f>IF(F$8=1,IF(F$7=1,'P&amp;L_5yr'!$C$66,MAX(0,INDEX('P&amp;L_5yr'!$C$66:$G$66,1,F$7)-INDEX('P&amp;L_5yr'!$C$66:$G$66,1,F$7-1))),0)</f>
        <v>0</v>
      </c>
      <c r="G26" s="133">
        <f>IF(G$8=1,IF(G$7=1,'P&amp;L_5yr'!$C$66,MAX(0,INDEX('P&amp;L_5yr'!$C$66:$G$66,1,G$7)-INDEX('P&amp;L_5yr'!$C$66:$G$66,1,G$7-1))),0)</f>
        <v>0</v>
      </c>
      <c r="H26" s="133">
        <f>IF(H$8=1,IF(H$7=1,'P&amp;L_5yr'!$C$66,MAX(0,INDEX('P&amp;L_5yr'!$C$66:$G$66,1,H$7)-INDEX('P&amp;L_5yr'!$C$66:$G$66,1,H$7-1))),0)</f>
        <v>0</v>
      </c>
      <c r="I26" s="133">
        <f>IF(I$8=1,IF(I$7=1,'P&amp;L_5yr'!$C$66,MAX(0,INDEX('P&amp;L_5yr'!$C$66:$G$66,1,I$7)-INDEX('P&amp;L_5yr'!$C$66:$G$66,1,I$7-1))),0)</f>
        <v>0</v>
      </c>
      <c r="J26" s="133">
        <f>IF(J$8=1,IF(J$7=1,'P&amp;L_5yr'!$C$66,MAX(0,INDEX('P&amp;L_5yr'!$C$66:$G$66,1,J$7)-INDEX('P&amp;L_5yr'!$C$66:$G$66,1,J$7-1))),0)</f>
        <v>0</v>
      </c>
      <c r="K26" s="133">
        <f>IF(K$8=1,IF(K$7=1,'P&amp;L_5yr'!$C$66,MAX(0,INDEX('P&amp;L_5yr'!$C$66:$G$66,1,K$7)-INDEX('P&amp;L_5yr'!$C$66:$G$66,1,K$7-1))),0)</f>
        <v>0</v>
      </c>
      <c r="L26" s="133">
        <f>IF(L$8=1,IF(L$7=1,'P&amp;L_5yr'!$C$66,MAX(0,INDEX('P&amp;L_5yr'!$C$66:$G$66,1,L$7)-INDEX('P&amp;L_5yr'!$C$66:$G$66,1,L$7-1))),0)</f>
        <v>0</v>
      </c>
      <c r="M26" s="133">
        <f>IF(M$8=1,IF(M$7=1,'P&amp;L_5yr'!$C$66,MAX(0,INDEX('P&amp;L_5yr'!$C$66:$G$66,1,M$7)-INDEX('P&amp;L_5yr'!$C$66:$G$66,1,M$7-1))),0)</f>
        <v>0</v>
      </c>
      <c r="N26" s="133">
        <f>IF(N$8=1,IF(N$7=1,'P&amp;L_5yr'!$C$66,MAX(0,INDEX('P&amp;L_5yr'!$C$66:$G$66,1,N$7)-INDEX('P&amp;L_5yr'!$C$66:$G$66,1,N$7-1))),0)</f>
        <v>347502</v>
      </c>
      <c r="O26" s="133">
        <f>IF(O$8=1,IF(O$7=1,'P&amp;L_5yr'!$C$66,MAX(0,INDEX('P&amp;L_5yr'!$C$66:$G$66,1,O$7)-INDEX('P&amp;L_5yr'!$C$66:$G$66,1,O$7-1))),0)</f>
        <v>0</v>
      </c>
      <c r="P26" s="133">
        <f>IF(P$8=1,IF(P$7=1,'P&amp;L_5yr'!$C$66,MAX(0,INDEX('P&amp;L_5yr'!$C$66:$G$66,1,P$7)-INDEX('P&amp;L_5yr'!$C$66:$G$66,1,P$7-1))),0)</f>
        <v>0</v>
      </c>
      <c r="Q26" s="133">
        <f>IF(Q$8=1,IF(Q$7=1,'P&amp;L_5yr'!$C$66,MAX(0,INDEX('P&amp;L_5yr'!$C$66:$G$66,1,Q$7)-INDEX('P&amp;L_5yr'!$C$66:$G$66,1,Q$7-1))),0)</f>
        <v>0</v>
      </c>
      <c r="R26" s="133">
        <f>IF(R$8=1,IF(R$7=1,'P&amp;L_5yr'!$C$66,MAX(0,INDEX('P&amp;L_5yr'!$C$66:$G$66,1,R$7)-INDEX('P&amp;L_5yr'!$C$66:$G$66,1,R$7-1))),0)</f>
        <v>0</v>
      </c>
      <c r="S26" s="133">
        <f>IF(S$8=1,IF(S$7=1,'P&amp;L_5yr'!$C$66,MAX(0,INDEX('P&amp;L_5yr'!$C$66:$G$66,1,S$7)-INDEX('P&amp;L_5yr'!$C$66:$G$66,1,S$7-1))),0)</f>
        <v>0</v>
      </c>
      <c r="T26" s="133">
        <f>IF(T$8=1,IF(T$7=1,'P&amp;L_5yr'!$C$66,MAX(0,INDEX('P&amp;L_5yr'!$C$66:$G$66,1,T$7)-INDEX('P&amp;L_5yr'!$C$66:$G$66,1,T$7-1))),0)</f>
        <v>0</v>
      </c>
      <c r="U26" s="133">
        <f>IF(U$8=1,IF(U$7=1,'P&amp;L_5yr'!$C$66,MAX(0,INDEX('P&amp;L_5yr'!$C$66:$G$66,1,U$7)-INDEX('P&amp;L_5yr'!$C$66:$G$66,1,U$7-1))),0)</f>
        <v>0</v>
      </c>
      <c r="V26" s="133">
        <f>IF(V$8=1,IF(V$7=1,'P&amp;L_5yr'!$C$66,MAX(0,INDEX('P&amp;L_5yr'!$C$66:$G$66,1,V$7)-INDEX('P&amp;L_5yr'!$C$66:$G$66,1,V$7-1))),0)</f>
        <v>0</v>
      </c>
      <c r="W26" s="133">
        <f>IF(W$8=1,IF(W$7=1,'P&amp;L_5yr'!$C$66,MAX(0,INDEX('P&amp;L_5yr'!$C$66:$G$66,1,W$7)-INDEX('P&amp;L_5yr'!$C$66:$G$66,1,W$7-1))),0)</f>
        <v>0</v>
      </c>
      <c r="X26" s="133">
        <f>IF(X$8=1,IF(X$7=1,'P&amp;L_5yr'!$C$66,MAX(0,INDEX('P&amp;L_5yr'!$C$66:$G$66,1,X$7)-INDEX('P&amp;L_5yr'!$C$66:$G$66,1,X$7-1))),0)</f>
        <v>0</v>
      </c>
      <c r="Y26" s="133">
        <f>IF(Y$8=1,IF(Y$7=1,'P&amp;L_5yr'!$C$66,MAX(0,INDEX('P&amp;L_5yr'!$C$66:$G$66,1,Y$7)-INDEX('P&amp;L_5yr'!$C$66:$G$66,1,Y$7-1))),0)</f>
        <v>0</v>
      </c>
      <c r="Z26" s="133">
        <f>IF(Z$8=1,IF(Z$7=1,'P&amp;L_5yr'!$C$66,MAX(0,INDEX('P&amp;L_5yr'!$C$66:$G$66,1,Z$7)-INDEX('P&amp;L_5yr'!$C$66:$G$66,1,Z$7-1))),0)</f>
        <v>0</v>
      </c>
      <c r="AA26" s="133">
        <f>IF(AA$8=1,IF(AA$7=1,'P&amp;L_5yr'!$C$66,MAX(0,INDEX('P&amp;L_5yr'!$C$66:$G$66,1,AA$7)-INDEX('P&amp;L_5yr'!$C$66:$G$66,1,AA$7-1))),0)</f>
        <v>0</v>
      </c>
      <c r="AB26" s="133">
        <f>IF(AB$8=1,IF(AB$7=1,'P&amp;L_5yr'!$C$66,MAX(0,INDEX('P&amp;L_5yr'!$C$66:$G$66,1,AB$7)-INDEX('P&amp;L_5yr'!$C$66:$G$66,1,AB$7-1))),0)</f>
        <v>0</v>
      </c>
      <c r="AC26" s="133">
        <f>IF(AC$8=1,IF(AC$7=1,'P&amp;L_5yr'!$C$66,MAX(0,INDEX('P&amp;L_5yr'!$C$66:$G$66,1,AC$7)-INDEX('P&amp;L_5yr'!$C$66:$G$66,1,AC$7-1))),0)</f>
        <v>0</v>
      </c>
      <c r="AD26" s="133">
        <f>IF(AD$8=1,IF(AD$7=1,'P&amp;L_5yr'!$C$66,MAX(0,INDEX('P&amp;L_5yr'!$C$66:$G$66,1,AD$7)-INDEX('P&amp;L_5yr'!$C$66:$G$66,1,AD$7-1))),0)</f>
        <v>0</v>
      </c>
      <c r="AE26" s="133">
        <f>IF(AE$8=1,IF(AE$7=1,'P&amp;L_5yr'!$C$66,MAX(0,INDEX('P&amp;L_5yr'!$C$66:$G$66,1,AE$7)-INDEX('P&amp;L_5yr'!$C$66:$G$66,1,AE$7-1))),0)</f>
        <v>0</v>
      </c>
      <c r="AF26" s="133">
        <f>IF(AF$8=1,IF(AF$7=1,'P&amp;L_5yr'!$C$66,MAX(0,INDEX('P&amp;L_5yr'!$C$66:$G$66,1,AF$7)-INDEX('P&amp;L_5yr'!$C$66:$G$66,1,AF$7-1))),0)</f>
        <v>0</v>
      </c>
      <c r="AG26" s="133">
        <f>IF(AG$8=1,IF(AG$7=1,'P&amp;L_5yr'!$C$66,MAX(0,INDEX('P&amp;L_5yr'!$C$66:$G$66,1,AG$7)-INDEX('P&amp;L_5yr'!$C$66:$G$66,1,AG$7-1))),0)</f>
        <v>0</v>
      </c>
      <c r="AH26" s="133">
        <f>IF(AH$8=1,IF(AH$7=1,'P&amp;L_5yr'!$C$66,MAX(0,INDEX('P&amp;L_5yr'!$C$66:$G$66,1,AH$7)-INDEX('P&amp;L_5yr'!$C$66:$G$66,1,AH$7-1))),0)</f>
        <v>0</v>
      </c>
      <c r="AI26" s="133">
        <f>IF(AI$8=1,IF(AI$7=1,'P&amp;L_5yr'!$C$66,MAX(0,INDEX('P&amp;L_5yr'!$C$66:$G$66,1,AI$7)-INDEX('P&amp;L_5yr'!$C$66:$G$66,1,AI$7-1))),0)</f>
        <v>0</v>
      </c>
      <c r="AJ26" s="133">
        <f>IF(AJ$8=1,IF(AJ$7=1,'P&amp;L_5yr'!$C$66,MAX(0,INDEX('P&amp;L_5yr'!$C$66:$G$66,1,AJ$7)-INDEX('P&amp;L_5yr'!$C$66:$G$66,1,AJ$7-1))),0)</f>
        <v>0</v>
      </c>
      <c r="AK26" s="133">
        <f>IF(AK$8=1,IF(AK$7=1,'P&amp;L_5yr'!$C$66,MAX(0,INDEX('P&amp;L_5yr'!$C$66:$G$66,1,AK$7)-INDEX('P&amp;L_5yr'!$C$66:$G$66,1,AK$7-1))),0)</f>
        <v>0</v>
      </c>
      <c r="AL26" s="133">
        <f>IF(AL$8=1,IF(AL$7=1,'P&amp;L_5yr'!$C$66,MAX(0,INDEX('P&amp;L_5yr'!$C$66:$G$66,1,AL$7)-INDEX('P&amp;L_5yr'!$C$66:$G$66,1,AL$7-1))),0)</f>
        <v>0</v>
      </c>
      <c r="AM26" s="133">
        <f>IF(AM$8=1,IF(AM$7=1,'P&amp;L_5yr'!$C$66,MAX(0,INDEX('P&amp;L_5yr'!$C$66:$G$66,1,AM$7)-INDEX('P&amp;L_5yr'!$C$66:$G$66,1,AM$7-1))),0)</f>
        <v>0</v>
      </c>
      <c r="AN26" s="133">
        <f>IF(AN$8=1,IF(AN$7=1,'P&amp;L_5yr'!$C$66,MAX(0,INDEX('P&amp;L_5yr'!$C$66:$G$66,1,AN$7)-INDEX('P&amp;L_5yr'!$C$66:$G$66,1,AN$7-1))),0)</f>
        <v>0</v>
      </c>
      <c r="AO26" s="133">
        <f>IF(AO$8=1,IF(AO$7=1,'P&amp;L_5yr'!$C$66,MAX(0,INDEX('P&amp;L_5yr'!$C$66:$G$66,1,AO$7)-INDEX('P&amp;L_5yr'!$C$66:$G$66,1,AO$7-1))),0)</f>
        <v>0</v>
      </c>
      <c r="AP26" s="133">
        <f>IF(AP$8=1,IF(AP$7=1,'P&amp;L_5yr'!$C$66,MAX(0,INDEX('P&amp;L_5yr'!$C$66:$G$66,1,AP$7)-INDEX('P&amp;L_5yr'!$C$66:$G$66,1,AP$7-1))),0)</f>
        <v>0</v>
      </c>
      <c r="AQ26" s="133">
        <f>IF(AQ$8=1,IF(AQ$7=1,'P&amp;L_5yr'!$C$66,MAX(0,INDEX('P&amp;L_5yr'!$C$66:$G$66,1,AQ$7)-INDEX('P&amp;L_5yr'!$C$66:$G$66,1,AQ$7-1))),0)</f>
        <v>0</v>
      </c>
      <c r="AR26" s="133">
        <f>IF(AR$8=1,IF(AR$7=1,'P&amp;L_5yr'!$C$66,MAX(0,INDEX('P&amp;L_5yr'!$C$66:$G$66,1,AR$7)-INDEX('P&amp;L_5yr'!$C$66:$G$66,1,AR$7-1))),0)</f>
        <v>0</v>
      </c>
      <c r="AS26" s="133">
        <f>IF(AS$8=1,IF(AS$7=1,'P&amp;L_5yr'!$C$66,MAX(0,INDEX('P&amp;L_5yr'!$C$66:$G$66,1,AS$7)-INDEX('P&amp;L_5yr'!$C$66:$G$66,1,AS$7-1))),0)</f>
        <v>0</v>
      </c>
      <c r="AT26" s="133">
        <f>IF(AT$8=1,IF(AT$7=1,'P&amp;L_5yr'!$C$66,MAX(0,INDEX('P&amp;L_5yr'!$C$66:$G$66,1,AT$7)-INDEX('P&amp;L_5yr'!$C$66:$G$66,1,AT$7-1))),0)</f>
        <v>0</v>
      </c>
      <c r="AU26" s="133">
        <f>IF(AU$8=1,IF(AU$7=1,'P&amp;L_5yr'!$C$66,MAX(0,INDEX('P&amp;L_5yr'!$C$66:$G$66,1,AU$7)-INDEX('P&amp;L_5yr'!$C$66:$G$66,1,AU$7-1))),0)</f>
        <v>0</v>
      </c>
      <c r="AV26" s="133">
        <f>IF(AV$8=1,IF(AV$7=1,'P&amp;L_5yr'!$C$66,MAX(0,INDEX('P&amp;L_5yr'!$C$66:$G$66,1,AV$7)-INDEX('P&amp;L_5yr'!$C$66:$G$66,1,AV$7-1))),0)</f>
        <v>0</v>
      </c>
      <c r="AW26" s="133">
        <f>IF(AW$8=1,IF(AW$7=1,'P&amp;L_5yr'!$C$66,MAX(0,INDEX('P&amp;L_5yr'!$C$66:$G$66,1,AW$7)-INDEX('P&amp;L_5yr'!$C$66:$G$66,1,AW$7-1))),0)</f>
        <v>0</v>
      </c>
      <c r="AX26" s="133">
        <f>IF(AX$8=1,IF(AX$7=1,'P&amp;L_5yr'!$C$66,MAX(0,INDEX('P&amp;L_5yr'!$C$66:$G$66,1,AX$7)-INDEX('P&amp;L_5yr'!$C$66:$G$66,1,AX$7-1))),0)</f>
        <v>0</v>
      </c>
      <c r="AY26" s="133">
        <f>IF(AY$8=1,IF(AY$7=1,'P&amp;L_5yr'!$C$66,MAX(0,INDEX('P&amp;L_5yr'!$C$66:$G$66,1,AY$7)-INDEX('P&amp;L_5yr'!$C$66:$G$66,1,AY$7-1))),0)</f>
        <v>0</v>
      </c>
      <c r="AZ26" s="133">
        <f>IF(AZ$8=1,IF(AZ$7=1,'P&amp;L_5yr'!$C$66,MAX(0,INDEX('P&amp;L_5yr'!$C$66:$G$66,1,AZ$7)-INDEX('P&amp;L_5yr'!$C$66:$G$66,1,AZ$7-1))),0)</f>
        <v>0</v>
      </c>
      <c r="BA26" s="133">
        <f>IF(BA$8=1,IF(BA$7=1,'P&amp;L_5yr'!$C$66,MAX(0,INDEX('P&amp;L_5yr'!$C$66:$G$66,1,BA$7)-INDEX('P&amp;L_5yr'!$C$66:$G$66,1,BA$7-1))),0)</f>
        <v>0</v>
      </c>
      <c r="BB26" s="133">
        <f>IF(BB$8=1,IF(BB$7=1,'P&amp;L_5yr'!$C$66,MAX(0,INDEX('P&amp;L_5yr'!$C$66:$G$66,1,BB$7)-INDEX('P&amp;L_5yr'!$C$66:$G$66,1,BB$7-1))),0)</f>
        <v>0</v>
      </c>
      <c r="BC26" s="133">
        <f>IF(BC$8=1,IF(BC$7=1,'P&amp;L_5yr'!$C$66,MAX(0,INDEX('P&amp;L_5yr'!$C$66:$G$66,1,BC$7)-INDEX('P&amp;L_5yr'!$C$66:$G$66,1,BC$7-1))),0)</f>
        <v>0</v>
      </c>
      <c r="BD26" s="133">
        <f>IF(BD$8=1,IF(BD$7=1,'P&amp;L_5yr'!$C$66,MAX(0,INDEX('P&amp;L_5yr'!$C$66:$G$66,1,BD$7)-INDEX('P&amp;L_5yr'!$C$66:$G$66,1,BD$7-1))),0)</f>
        <v>0</v>
      </c>
      <c r="BE26" s="133">
        <f>IF(BE$8=1,IF(BE$7=1,'P&amp;L_5yr'!$C$66,MAX(0,INDEX('P&amp;L_5yr'!$C$66:$G$66,1,BE$7)-INDEX('P&amp;L_5yr'!$C$66:$G$66,1,BE$7-1))),0)</f>
        <v>0</v>
      </c>
      <c r="BF26" s="133">
        <f>IF(BF$8=1,IF(BF$7=1,'P&amp;L_5yr'!$C$66,MAX(0,INDEX('P&amp;L_5yr'!$C$66:$G$66,1,BF$7)-INDEX('P&amp;L_5yr'!$C$66:$G$66,1,BF$7-1))),0)</f>
        <v>0</v>
      </c>
      <c r="BG26" s="133">
        <f>IF(BG$8=1,IF(BG$7=1,'P&amp;L_5yr'!$C$66,MAX(0,INDEX('P&amp;L_5yr'!$C$66:$G$66,1,BG$7)-INDEX('P&amp;L_5yr'!$C$66:$G$66,1,BG$7-1))),0)</f>
        <v>0</v>
      </c>
      <c r="BH26" s="133">
        <f>IF(BH$8=1,IF(BH$7=1,'P&amp;L_5yr'!$C$66,MAX(0,INDEX('P&amp;L_5yr'!$C$66:$G$66,1,BH$7)-INDEX('P&amp;L_5yr'!$C$66:$G$66,1,BH$7-1))),0)</f>
        <v>0</v>
      </c>
      <c r="BI26" s="133">
        <f>IF(BI$8=1,IF(BI$7=1,'P&amp;L_5yr'!$C$66,MAX(0,INDEX('P&amp;L_5yr'!$C$66:$G$66,1,BI$7)-INDEX('P&amp;L_5yr'!$C$66:$G$66,1,BI$7-1))),0)</f>
        <v>0</v>
      </c>
      <c r="BK26" s="126" t="s">
        <v>589</v>
      </c>
    </row>
    <row r="27" spans="1:63" ht="29" customHeight="1">
      <c r="A27" s="132" t="s">
        <v>590</v>
      </c>
      <c r="B27" s="133">
        <f>IF(B$8=1,-INDEX('P&amp;L_5yr'!$C$65:$G$65,1,B$7),0)</f>
        <v>-240000</v>
      </c>
      <c r="C27" s="133">
        <f>IF(C$8=1,-INDEX('P&amp;L_5yr'!$C$65:$G$65,1,C$7),0)</f>
        <v>0</v>
      </c>
      <c r="D27" s="133">
        <f>IF(D$8=1,-INDEX('P&amp;L_5yr'!$C$65:$G$65,1,D$7),0)</f>
        <v>0</v>
      </c>
      <c r="E27" s="133">
        <f>IF(E$8=1,-INDEX('P&amp;L_5yr'!$C$65:$G$65,1,E$7),0)</f>
        <v>0</v>
      </c>
      <c r="F27" s="133">
        <f>IF(F$8=1,-INDEX('P&amp;L_5yr'!$C$65:$G$65,1,F$7),0)</f>
        <v>0</v>
      </c>
      <c r="G27" s="133">
        <f>IF(G$8=1,-INDEX('P&amp;L_5yr'!$C$65:$G$65,1,G$7),0)</f>
        <v>0</v>
      </c>
      <c r="H27" s="133">
        <f>IF(H$8=1,-INDEX('P&amp;L_5yr'!$C$65:$G$65,1,H$7),0)</f>
        <v>0</v>
      </c>
      <c r="I27" s="133">
        <f>IF(I$8=1,-INDEX('P&amp;L_5yr'!$C$65:$G$65,1,I$7),0)</f>
        <v>0</v>
      </c>
      <c r="J27" s="133">
        <f>IF(J$8=1,-INDEX('P&amp;L_5yr'!$C$65:$G$65,1,J$7),0)</f>
        <v>0</v>
      </c>
      <c r="K27" s="133">
        <f>IF(K$8=1,-INDEX('P&amp;L_5yr'!$C$65:$G$65,1,K$7),0)</f>
        <v>0</v>
      </c>
      <c r="L27" s="133">
        <f>IF(L$8=1,-INDEX('P&amp;L_5yr'!$C$65:$G$65,1,L$7),0)</f>
        <v>0</v>
      </c>
      <c r="M27" s="133">
        <f>IF(M$8=1,-INDEX('P&amp;L_5yr'!$C$65:$G$65,1,M$7),0)</f>
        <v>0</v>
      </c>
      <c r="N27" s="133">
        <f>IF(N$8=1,-INDEX('P&amp;L_5yr'!$C$65:$G$65,1,N$7),0)</f>
        <v>0</v>
      </c>
      <c r="O27" s="133">
        <f>IF(O$8=1,-INDEX('P&amp;L_5yr'!$C$65:$G$65,1,O$7),0)</f>
        <v>0</v>
      </c>
      <c r="P27" s="133">
        <f>IF(P$8=1,-INDEX('P&amp;L_5yr'!$C$65:$G$65,1,P$7),0)</f>
        <v>0</v>
      </c>
      <c r="Q27" s="133">
        <f>IF(Q$8=1,-INDEX('P&amp;L_5yr'!$C$65:$G$65,1,Q$7),0)</f>
        <v>0</v>
      </c>
      <c r="R27" s="133">
        <f>IF(R$8=1,-INDEX('P&amp;L_5yr'!$C$65:$G$65,1,R$7),0)</f>
        <v>0</v>
      </c>
      <c r="S27" s="133">
        <f>IF(S$8=1,-INDEX('P&amp;L_5yr'!$C$65:$G$65,1,S$7),0)</f>
        <v>0</v>
      </c>
      <c r="T27" s="133">
        <f>IF(T$8=1,-INDEX('P&amp;L_5yr'!$C$65:$G$65,1,T$7),0)</f>
        <v>0</v>
      </c>
      <c r="U27" s="133">
        <f>IF(U$8=1,-INDEX('P&amp;L_5yr'!$C$65:$G$65,1,U$7),0)</f>
        <v>0</v>
      </c>
      <c r="V27" s="133">
        <f>IF(V$8=1,-INDEX('P&amp;L_5yr'!$C$65:$G$65,1,V$7),0)</f>
        <v>0</v>
      </c>
      <c r="W27" s="133">
        <f>IF(W$8=1,-INDEX('P&amp;L_5yr'!$C$65:$G$65,1,W$7),0)</f>
        <v>0</v>
      </c>
      <c r="X27" s="133">
        <f>IF(X$8=1,-INDEX('P&amp;L_5yr'!$C$65:$G$65,1,X$7),0)</f>
        <v>0</v>
      </c>
      <c r="Y27" s="133">
        <f>IF(Y$8=1,-INDEX('P&amp;L_5yr'!$C$65:$G$65,1,Y$7),0)</f>
        <v>0</v>
      </c>
      <c r="Z27" s="133">
        <f>IF(Z$8=1,-INDEX('P&amp;L_5yr'!$C$65:$G$65,1,Z$7),0)</f>
        <v>0</v>
      </c>
      <c r="AA27" s="133">
        <f>IF(AA$8=1,-INDEX('P&amp;L_5yr'!$C$65:$G$65,1,AA$7),0)</f>
        <v>0</v>
      </c>
      <c r="AB27" s="133">
        <f>IF(AB$8=1,-INDEX('P&amp;L_5yr'!$C$65:$G$65,1,AB$7),0)</f>
        <v>0</v>
      </c>
      <c r="AC27" s="133">
        <f>IF(AC$8=1,-INDEX('P&amp;L_5yr'!$C$65:$G$65,1,AC$7),0)</f>
        <v>0</v>
      </c>
      <c r="AD27" s="133">
        <f>IF(AD$8=1,-INDEX('P&amp;L_5yr'!$C$65:$G$65,1,AD$7),0)</f>
        <v>0</v>
      </c>
      <c r="AE27" s="133">
        <f>IF(AE$8=1,-INDEX('P&amp;L_5yr'!$C$65:$G$65,1,AE$7),0)</f>
        <v>0</v>
      </c>
      <c r="AF27" s="133">
        <f>IF(AF$8=1,-INDEX('P&amp;L_5yr'!$C$65:$G$65,1,AF$7),0)</f>
        <v>0</v>
      </c>
      <c r="AG27" s="133">
        <f>IF(AG$8=1,-INDEX('P&amp;L_5yr'!$C$65:$G$65,1,AG$7),0)</f>
        <v>0</v>
      </c>
      <c r="AH27" s="133">
        <f>IF(AH$8=1,-INDEX('P&amp;L_5yr'!$C$65:$G$65,1,AH$7),0)</f>
        <v>0</v>
      </c>
      <c r="AI27" s="133">
        <f>IF(AI$8=1,-INDEX('P&amp;L_5yr'!$C$65:$G$65,1,AI$7),0)</f>
        <v>0</v>
      </c>
      <c r="AJ27" s="133">
        <f>IF(AJ$8=1,-INDEX('P&amp;L_5yr'!$C$65:$G$65,1,AJ$7),0)</f>
        <v>0</v>
      </c>
      <c r="AK27" s="133">
        <f>IF(AK$8=1,-INDEX('P&amp;L_5yr'!$C$65:$G$65,1,AK$7),0)</f>
        <v>0</v>
      </c>
      <c r="AL27" s="133">
        <f>IF(AL$8=1,-INDEX('P&amp;L_5yr'!$C$65:$G$65,1,AL$7),0)</f>
        <v>0</v>
      </c>
      <c r="AM27" s="133">
        <f>IF(AM$8=1,-INDEX('P&amp;L_5yr'!$C$65:$G$65,1,AM$7),0)</f>
        <v>0</v>
      </c>
      <c r="AN27" s="133">
        <f>IF(AN$8=1,-INDEX('P&amp;L_5yr'!$C$65:$G$65,1,AN$7),0)</f>
        <v>0</v>
      </c>
      <c r="AO27" s="133">
        <f>IF(AO$8=1,-INDEX('P&amp;L_5yr'!$C$65:$G$65,1,AO$7),0)</f>
        <v>0</v>
      </c>
      <c r="AP27" s="133">
        <f>IF(AP$8=1,-INDEX('P&amp;L_5yr'!$C$65:$G$65,1,AP$7),0)</f>
        <v>0</v>
      </c>
      <c r="AQ27" s="133">
        <f>IF(AQ$8=1,-INDEX('P&amp;L_5yr'!$C$65:$G$65,1,AQ$7),0)</f>
        <v>0</v>
      </c>
      <c r="AR27" s="133">
        <f>IF(AR$8=1,-INDEX('P&amp;L_5yr'!$C$65:$G$65,1,AR$7),0)</f>
        <v>0</v>
      </c>
      <c r="AS27" s="133">
        <f>IF(AS$8=1,-INDEX('P&amp;L_5yr'!$C$65:$G$65,1,AS$7),0)</f>
        <v>0</v>
      </c>
      <c r="AT27" s="133">
        <f>IF(AT$8=1,-INDEX('P&amp;L_5yr'!$C$65:$G$65,1,AT$7),0)</f>
        <v>0</v>
      </c>
      <c r="AU27" s="133">
        <f>IF(AU$8=1,-INDEX('P&amp;L_5yr'!$C$65:$G$65,1,AU$7),0)</f>
        <v>0</v>
      </c>
      <c r="AV27" s="133">
        <f>IF(AV$8=1,-INDEX('P&amp;L_5yr'!$C$65:$G$65,1,AV$7),0)</f>
        <v>0</v>
      </c>
      <c r="AW27" s="133">
        <f>IF(AW$8=1,-INDEX('P&amp;L_5yr'!$C$65:$G$65,1,AW$7),0)</f>
        <v>0</v>
      </c>
      <c r="AX27" s="133">
        <f>IF(AX$8=1,-INDEX('P&amp;L_5yr'!$C$65:$G$65,1,AX$7),0)</f>
        <v>0</v>
      </c>
      <c r="AY27" s="133">
        <f>IF(AY$8=1,-INDEX('P&amp;L_5yr'!$C$65:$G$65,1,AY$7),0)</f>
        <v>0</v>
      </c>
      <c r="AZ27" s="133">
        <f>IF(AZ$8=1,-INDEX('P&amp;L_5yr'!$C$65:$G$65,1,AZ$7),0)</f>
        <v>0</v>
      </c>
      <c r="BA27" s="133">
        <f>IF(BA$8=1,-INDEX('P&amp;L_5yr'!$C$65:$G$65,1,BA$7),0)</f>
        <v>0</v>
      </c>
      <c r="BB27" s="133">
        <f>IF(BB$8=1,-INDEX('P&amp;L_5yr'!$C$65:$G$65,1,BB$7),0)</f>
        <v>0</v>
      </c>
      <c r="BC27" s="133">
        <f>IF(BC$8=1,-INDEX('P&amp;L_5yr'!$C$65:$G$65,1,BC$7),0)</f>
        <v>0</v>
      </c>
      <c r="BD27" s="133">
        <f>IF(BD$8=1,-INDEX('P&amp;L_5yr'!$C$65:$G$65,1,BD$7),0)</f>
        <v>0</v>
      </c>
      <c r="BE27" s="133">
        <f>IF(BE$8=1,-INDEX('P&amp;L_5yr'!$C$65:$G$65,1,BE$7),0)</f>
        <v>0</v>
      </c>
      <c r="BF27" s="133">
        <f>IF(BF$8=1,-INDEX('P&amp;L_5yr'!$C$65:$G$65,1,BF$7),0)</f>
        <v>0</v>
      </c>
      <c r="BG27" s="133">
        <f>IF(BG$8=1,-INDEX('P&amp;L_5yr'!$C$65:$G$65,1,BG$7),0)</f>
        <v>0</v>
      </c>
      <c r="BH27" s="133">
        <f>IF(BH$8=1,-INDEX('P&amp;L_5yr'!$C$65:$G$65,1,BH$7),0)</f>
        <v>0</v>
      </c>
      <c r="BI27" s="133">
        <f>IF(BI$8=1,-INDEX('P&amp;L_5yr'!$C$65:$G$65,1,BI$7),0)</f>
        <v>0</v>
      </c>
      <c r="BK27" s="126" t="s">
        <v>591</v>
      </c>
    </row>
    <row r="28" spans="1:63">
      <c r="A28" s="132" t="s">
        <v>592</v>
      </c>
      <c r="B28" s="133">
        <f t="shared" ref="B28:AG28" si="12">SUM(B26:B27)</f>
        <v>1062721</v>
      </c>
      <c r="C28" s="133">
        <f t="shared" si="12"/>
        <v>0</v>
      </c>
      <c r="D28" s="133">
        <f t="shared" si="12"/>
        <v>0</v>
      </c>
      <c r="E28" s="133">
        <f t="shared" si="12"/>
        <v>0</v>
      </c>
      <c r="F28" s="133">
        <f t="shared" si="12"/>
        <v>0</v>
      </c>
      <c r="G28" s="133">
        <f t="shared" si="12"/>
        <v>0</v>
      </c>
      <c r="H28" s="133">
        <f t="shared" si="12"/>
        <v>0</v>
      </c>
      <c r="I28" s="133">
        <f t="shared" si="12"/>
        <v>0</v>
      </c>
      <c r="J28" s="133">
        <f t="shared" si="12"/>
        <v>0</v>
      </c>
      <c r="K28" s="133">
        <f t="shared" si="12"/>
        <v>0</v>
      </c>
      <c r="L28" s="133">
        <f t="shared" si="12"/>
        <v>0</v>
      </c>
      <c r="M28" s="133">
        <f t="shared" si="12"/>
        <v>0</v>
      </c>
      <c r="N28" s="133">
        <f t="shared" si="12"/>
        <v>347502</v>
      </c>
      <c r="O28" s="133">
        <f t="shared" si="12"/>
        <v>0</v>
      </c>
      <c r="P28" s="133">
        <f t="shared" si="12"/>
        <v>0</v>
      </c>
      <c r="Q28" s="133">
        <f t="shared" si="12"/>
        <v>0</v>
      </c>
      <c r="R28" s="133">
        <f t="shared" si="12"/>
        <v>0</v>
      </c>
      <c r="S28" s="133">
        <f t="shared" si="12"/>
        <v>0</v>
      </c>
      <c r="T28" s="133">
        <f t="shared" si="12"/>
        <v>0</v>
      </c>
      <c r="U28" s="133">
        <f t="shared" si="12"/>
        <v>0</v>
      </c>
      <c r="V28" s="133">
        <f t="shared" si="12"/>
        <v>0</v>
      </c>
      <c r="W28" s="133">
        <f t="shared" si="12"/>
        <v>0</v>
      </c>
      <c r="X28" s="133">
        <f t="shared" si="12"/>
        <v>0</v>
      </c>
      <c r="Y28" s="133">
        <f t="shared" si="12"/>
        <v>0</v>
      </c>
      <c r="Z28" s="133">
        <f t="shared" si="12"/>
        <v>0</v>
      </c>
      <c r="AA28" s="133">
        <f t="shared" si="12"/>
        <v>0</v>
      </c>
      <c r="AB28" s="133">
        <f t="shared" si="12"/>
        <v>0</v>
      </c>
      <c r="AC28" s="133">
        <f t="shared" si="12"/>
        <v>0</v>
      </c>
      <c r="AD28" s="133">
        <f t="shared" si="12"/>
        <v>0</v>
      </c>
      <c r="AE28" s="133">
        <f t="shared" si="12"/>
        <v>0</v>
      </c>
      <c r="AF28" s="133">
        <f t="shared" si="12"/>
        <v>0</v>
      </c>
      <c r="AG28" s="133">
        <f t="shared" si="12"/>
        <v>0</v>
      </c>
      <c r="AH28" s="133">
        <f t="shared" ref="AH28:BI28" si="13">SUM(AH26:AH27)</f>
        <v>0</v>
      </c>
      <c r="AI28" s="133">
        <f t="shared" si="13"/>
        <v>0</v>
      </c>
      <c r="AJ28" s="133">
        <f t="shared" si="13"/>
        <v>0</v>
      </c>
      <c r="AK28" s="133">
        <f t="shared" si="13"/>
        <v>0</v>
      </c>
      <c r="AL28" s="133">
        <f t="shared" si="13"/>
        <v>0</v>
      </c>
      <c r="AM28" s="133">
        <f t="shared" si="13"/>
        <v>0</v>
      </c>
      <c r="AN28" s="133">
        <f t="shared" si="13"/>
        <v>0</v>
      </c>
      <c r="AO28" s="133">
        <f t="shared" si="13"/>
        <v>0</v>
      </c>
      <c r="AP28" s="133">
        <f t="shared" si="13"/>
        <v>0</v>
      </c>
      <c r="AQ28" s="133">
        <f t="shared" si="13"/>
        <v>0</v>
      </c>
      <c r="AR28" s="133">
        <f t="shared" si="13"/>
        <v>0</v>
      </c>
      <c r="AS28" s="133">
        <f t="shared" si="13"/>
        <v>0</v>
      </c>
      <c r="AT28" s="133">
        <f t="shared" si="13"/>
        <v>0</v>
      </c>
      <c r="AU28" s="133">
        <f t="shared" si="13"/>
        <v>0</v>
      </c>
      <c r="AV28" s="133">
        <f t="shared" si="13"/>
        <v>0</v>
      </c>
      <c r="AW28" s="133">
        <f t="shared" si="13"/>
        <v>0</v>
      </c>
      <c r="AX28" s="133">
        <f t="shared" si="13"/>
        <v>0</v>
      </c>
      <c r="AY28" s="133">
        <f t="shared" si="13"/>
        <v>0</v>
      </c>
      <c r="AZ28" s="133">
        <f t="shared" si="13"/>
        <v>0</v>
      </c>
      <c r="BA28" s="133">
        <f t="shared" si="13"/>
        <v>0</v>
      </c>
      <c r="BB28" s="133">
        <f t="shared" si="13"/>
        <v>0</v>
      </c>
      <c r="BC28" s="133">
        <f t="shared" si="13"/>
        <v>0</v>
      </c>
      <c r="BD28" s="133">
        <f t="shared" si="13"/>
        <v>0</v>
      </c>
      <c r="BE28" s="133">
        <f t="shared" si="13"/>
        <v>0</v>
      </c>
      <c r="BF28" s="133">
        <f t="shared" si="13"/>
        <v>0</v>
      </c>
      <c r="BG28" s="133">
        <f t="shared" si="13"/>
        <v>0</v>
      </c>
      <c r="BH28" s="133">
        <f t="shared" si="13"/>
        <v>0</v>
      </c>
      <c r="BI28" s="133">
        <f t="shared" si="13"/>
        <v>0</v>
      </c>
    </row>
    <row r="29" spans="1:63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</row>
    <row r="30" spans="1:63">
      <c r="A30" s="131" t="s">
        <v>593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3">
      <c r="A31" s="132" t="s">
        <v>594</v>
      </c>
      <c r="B31" s="133" t="s">
        <v>595</v>
      </c>
      <c r="C31" s="133">
        <f t="shared" ref="C31:AH31" si="14">B33</f>
        <v>969418.92500000005</v>
      </c>
      <c r="D31" s="133">
        <f t="shared" si="14"/>
        <v>876116.85000000009</v>
      </c>
      <c r="E31" s="133">
        <f t="shared" si="14"/>
        <v>782814.77500000014</v>
      </c>
      <c r="F31" s="133">
        <f t="shared" si="14"/>
        <v>689512.70000000019</v>
      </c>
      <c r="G31" s="133">
        <f t="shared" si="14"/>
        <v>596210.62500000023</v>
      </c>
      <c r="H31" s="133">
        <f t="shared" si="14"/>
        <v>502908.55000000022</v>
      </c>
      <c r="I31" s="133">
        <f t="shared" si="14"/>
        <v>459964.37369791686</v>
      </c>
      <c r="J31" s="133">
        <f t="shared" si="14"/>
        <v>417020.19739583356</v>
      </c>
      <c r="K31" s="133">
        <f t="shared" si="14"/>
        <v>374076.02109375026</v>
      </c>
      <c r="L31" s="133">
        <f t="shared" si="14"/>
        <v>331131.84479166695</v>
      </c>
      <c r="M31" s="133">
        <f t="shared" si="14"/>
        <v>288187.66848958365</v>
      </c>
      <c r="N31" s="133">
        <f t="shared" si="14"/>
        <v>245243.49218750032</v>
      </c>
      <c r="O31" s="133">
        <f t="shared" si="14"/>
        <v>555085.1126302086</v>
      </c>
      <c r="P31" s="133">
        <f t="shared" si="14"/>
        <v>517424.73307291692</v>
      </c>
      <c r="Q31" s="133">
        <f t="shared" si="14"/>
        <v>479764.35351562523</v>
      </c>
      <c r="R31" s="133">
        <f t="shared" si="14"/>
        <v>442103.97395833355</v>
      </c>
      <c r="S31" s="133">
        <f t="shared" si="14"/>
        <v>404443.59440104186</v>
      </c>
      <c r="T31" s="133">
        <f t="shared" si="14"/>
        <v>366783.21484375017</v>
      </c>
      <c r="U31" s="133">
        <f t="shared" si="14"/>
        <v>329122.83528645849</v>
      </c>
      <c r="V31" s="133">
        <f t="shared" si="14"/>
        <v>291462.4557291668</v>
      </c>
      <c r="W31" s="133">
        <f t="shared" si="14"/>
        <v>253802.07617187515</v>
      </c>
      <c r="X31" s="133">
        <f t="shared" si="14"/>
        <v>216141.69661458349</v>
      </c>
      <c r="Y31" s="133">
        <f t="shared" si="14"/>
        <v>178481.31705729183</v>
      </c>
      <c r="Z31" s="133">
        <f t="shared" si="14"/>
        <v>140820.93750000017</v>
      </c>
      <c r="AA31" s="133">
        <f t="shared" si="14"/>
        <v>166406.97656250017</v>
      </c>
      <c r="AB31" s="133">
        <f t="shared" si="14"/>
        <v>191993.01562500017</v>
      </c>
      <c r="AC31" s="133">
        <f t="shared" si="14"/>
        <v>217579.05468750017</v>
      </c>
      <c r="AD31" s="133">
        <f t="shared" si="14"/>
        <v>243165.09375000017</v>
      </c>
      <c r="AE31" s="133">
        <f t="shared" si="14"/>
        <v>268751.13281250017</v>
      </c>
      <c r="AF31" s="133">
        <f t="shared" si="14"/>
        <v>294337.17187500017</v>
      </c>
      <c r="AG31" s="133">
        <f t="shared" si="14"/>
        <v>319923.21093750017</v>
      </c>
      <c r="AH31" s="133">
        <f t="shared" si="14"/>
        <v>345509.25000000017</v>
      </c>
      <c r="AI31" s="133">
        <f t="shared" ref="AI31:BI31" si="15">AH33</f>
        <v>371095.28906250017</v>
      </c>
      <c r="AJ31" s="133">
        <f t="shared" si="15"/>
        <v>396681.32812500017</v>
      </c>
      <c r="AK31" s="133">
        <f t="shared" si="15"/>
        <v>422267.36718750017</v>
      </c>
      <c r="AL31" s="133">
        <f t="shared" si="15"/>
        <v>447853.40625000017</v>
      </c>
      <c r="AM31" s="133">
        <f t="shared" si="15"/>
        <v>672399.97395833349</v>
      </c>
      <c r="AN31" s="133">
        <f t="shared" si="15"/>
        <v>896946.54166666686</v>
      </c>
      <c r="AO31" s="133">
        <f t="shared" si="15"/>
        <v>1121493.1093750002</v>
      </c>
      <c r="AP31" s="133">
        <f t="shared" si="15"/>
        <v>1346039.6770833335</v>
      </c>
      <c r="AQ31" s="133">
        <f t="shared" si="15"/>
        <v>1570586.2447916667</v>
      </c>
      <c r="AR31" s="133">
        <f t="shared" si="15"/>
        <v>1795132.8125</v>
      </c>
      <c r="AS31" s="133">
        <f t="shared" si="15"/>
        <v>2019679.3802083333</v>
      </c>
      <c r="AT31" s="133">
        <f t="shared" si="15"/>
        <v>2244225.9479166665</v>
      </c>
      <c r="AU31" s="133">
        <f t="shared" si="15"/>
        <v>2468772.515625</v>
      </c>
      <c r="AV31" s="133">
        <f t="shared" si="15"/>
        <v>2693319.0833333335</v>
      </c>
      <c r="AW31" s="133">
        <f t="shared" si="15"/>
        <v>2917865.651041667</v>
      </c>
      <c r="AX31" s="133">
        <f t="shared" si="15"/>
        <v>3142412.2187500005</v>
      </c>
      <c r="AY31" s="133">
        <f t="shared" si="15"/>
        <v>4016407.7945312504</v>
      </c>
      <c r="AZ31" s="133">
        <f t="shared" si="15"/>
        <v>4890403.3703125007</v>
      </c>
      <c r="BA31" s="133">
        <f t="shared" si="15"/>
        <v>5764398.9460937511</v>
      </c>
      <c r="BB31" s="133">
        <f t="shared" si="15"/>
        <v>6638394.5218750015</v>
      </c>
      <c r="BC31" s="133">
        <f t="shared" si="15"/>
        <v>7512390.0976562519</v>
      </c>
      <c r="BD31" s="133">
        <f t="shared" si="15"/>
        <v>8386385.6734375022</v>
      </c>
      <c r="BE31" s="133">
        <f t="shared" si="15"/>
        <v>9260381.2492187526</v>
      </c>
      <c r="BF31" s="133">
        <f t="shared" si="15"/>
        <v>10134376.825000003</v>
      </c>
      <c r="BG31" s="133">
        <f t="shared" si="15"/>
        <v>11008372.400781253</v>
      </c>
      <c r="BH31" s="133">
        <f t="shared" si="15"/>
        <v>11882367.976562504</v>
      </c>
      <c r="BI31" s="133">
        <f t="shared" si="15"/>
        <v>12756363.552343754</v>
      </c>
    </row>
    <row r="32" spans="1:63">
      <c r="A32" s="132" t="s">
        <v>596</v>
      </c>
      <c r="B32" s="133">
        <f t="shared" ref="B32:AG32" si="16">B19+B23+B28</f>
        <v>969418.92500000005</v>
      </c>
      <c r="C32" s="133">
        <f t="shared" si="16"/>
        <v>-93302.074999999997</v>
      </c>
      <c r="D32" s="133">
        <f t="shared" si="16"/>
        <v>-93302.074999999997</v>
      </c>
      <c r="E32" s="133">
        <f t="shared" si="16"/>
        <v>-93302.074999999997</v>
      </c>
      <c r="F32" s="133">
        <f t="shared" si="16"/>
        <v>-93302.074999999997</v>
      </c>
      <c r="G32" s="133">
        <f t="shared" si="16"/>
        <v>-93302.074999999997</v>
      </c>
      <c r="H32" s="133">
        <f t="shared" si="16"/>
        <v>-42944.176302083331</v>
      </c>
      <c r="I32" s="133">
        <f t="shared" si="16"/>
        <v>-42944.176302083331</v>
      </c>
      <c r="J32" s="133">
        <f t="shared" si="16"/>
        <v>-42944.176302083331</v>
      </c>
      <c r="K32" s="133">
        <f t="shared" si="16"/>
        <v>-42944.176302083331</v>
      </c>
      <c r="L32" s="133">
        <f t="shared" si="16"/>
        <v>-42944.176302083331</v>
      </c>
      <c r="M32" s="133">
        <f t="shared" si="16"/>
        <v>-42944.176302083331</v>
      </c>
      <c r="N32" s="133">
        <f t="shared" si="16"/>
        <v>309841.62044270831</v>
      </c>
      <c r="O32" s="133">
        <f t="shared" si="16"/>
        <v>-37660.379557291664</v>
      </c>
      <c r="P32" s="133">
        <f t="shared" si="16"/>
        <v>-37660.379557291664</v>
      </c>
      <c r="Q32" s="133">
        <f t="shared" si="16"/>
        <v>-37660.379557291664</v>
      </c>
      <c r="R32" s="133">
        <f t="shared" si="16"/>
        <v>-37660.379557291664</v>
      </c>
      <c r="S32" s="133">
        <f t="shared" si="16"/>
        <v>-37660.379557291664</v>
      </c>
      <c r="T32" s="133">
        <f t="shared" si="16"/>
        <v>-37660.379557291664</v>
      </c>
      <c r="U32" s="133">
        <f t="shared" si="16"/>
        <v>-37660.379557291664</v>
      </c>
      <c r="V32" s="133">
        <f t="shared" si="16"/>
        <v>-37660.379557291664</v>
      </c>
      <c r="W32" s="133">
        <f t="shared" si="16"/>
        <v>-37660.379557291664</v>
      </c>
      <c r="X32" s="133">
        <f t="shared" si="16"/>
        <v>-37660.379557291664</v>
      </c>
      <c r="Y32" s="133">
        <f t="shared" si="16"/>
        <v>-37660.379557291664</v>
      </c>
      <c r="Z32" s="133">
        <f t="shared" si="16"/>
        <v>25586.039062499985</v>
      </c>
      <c r="AA32" s="133">
        <f t="shared" si="16"/>
        <v>25586.039062499985</v>
      </c>
      <c r="AB32" s="133">
        <f t="shared" si="16"/>
        <v>25586.039062499985</v>
      </c>
      <c r="AC32" s="133">
        <f t="shared" si="16"/>
        <v>25586.039062499985</v>
      </c>
      <c r="AD32" s="133">
        <f t="shared" si="16"/>
        <v>25586.039062499985</v>
      </c>
      <c r="AE32" s="133">
        <f t="shared" si="16"/>
        <v>25586.039062499985</v>
      </c>
      <c r="AF32" s="133">
        <f t="shared" si="16"/>
        <v>25586.039062499985</v>
      </c>
      <c r="AG32" s="133">
        <f t="shared" si="16"/>
        <v>25586.039062499985</v>
      </c>
      <c r="AH32" s="133">
        <f t="shared" ref="AH32:BI32" si="17">AH19+AH23+AH28</f>
        <v>25586.039062499985</v>
      </c>
      <c r="AI32" s="133">
        <f t="shared" si="17"/>
        <v>25586.039062499985</v>
      </c>
      <c r="AJ32" s="133">
        <f t="shared" si="17"/>
        <v>25586.039062499985</v>
      </c>
      <c r="AK32" s="133">
        <f t="shared" si="17"/>
        <v>25586.039062499985</v>
      </c>
      <c r="AL32" s="133">
        <f t="shared" si="17"/>
        <v>224546.56770833334</v>
      </c>
      <c r="AM32" s="133">
        <f t="shared" si="17"/>
        <v>224546.56770833334</v>
      </c>
      <c r="AN32" s="133">
        <f t="shared" si="17"/>
        <v>224546.56770833334</v>
      </c>
      <c r="AO32" s="133">
        <f t="shared" si="17"/>
        <v>224546.56770833334</v>
      </c>
      <c r="AP32" s="133">
        <f t="shared" si="17"/>
        <v>224546.56770833334</v>
      </c>
      <c r="AQ32" s="133">
        <f t="shared" si="17"/>
        <v>224546.56770833334</v>
      </c>
      <c r="AR32" s="133">
        <f t="shared" si="17"/>
        <v>224546.56770833334</v>
      </c>
      <c r="AS32" s="133">
        <f t="shared" si="17"/>
        <v>224546.56770833334</v>
      </c>
      <c r="AT32" s="133">
        <f t="shared" si="17"/>
        <v>224546.56770833334</v>
      </c>
      <c r="AU32" s="133">
        <f t="shared" si="17"/>
        <v>224546.56770833334</v>
      </c>
      <c r="AV32" s="133">
        <f t="shared" si="17"/>
        <v>224546.56770833334</v>
      </c>
      <c r="AW32" s="133">
        <f t="shared" si="17"/>
        <v>224546.56770833334</v>
      </c>
      <c r="AX32" s="133">
        <f t="shared" si="17"/>
        <v>873995.57578125014</v>
      </c>
      <c r="AY32" s="133">
        <f t="shared" si="17"/>
        <v>873995.57578125014</v>
      </c>
      <c r="AZ32" s="133">
        <f t="shared" si="17"/>
        <v>873995.57578125014</v>
      </c>
      <c r="BA32" s="133">
        <f t="shared" si="17"/>
        <v>873995.57578125014</v>
      </c>
      <c r="BB32" s="133">
        <f t="shared" si="17"/>
        <v>873995.57578125014</v>
      </c>
      <c r="BC32" s="133">
        <f t="shared" si="17"/>
        <v>873995.57578125014</v>
      </c>
      <c r="BD32" s="133">
        <f t="shared" si="17"/>
        <v>873995.57578125014</v>
      </c>
      <c r="BE32" s="133">
        <f t="shared" si="17"/>
        <v>873995.57578125014</v>
      </c>
      <c r="BF32" s="133">
        <f t="shared" si="17"/>
        <v>873995.57578125014</v>
      </c>
      <c r="BG32" s="133">
        <f t="shared" si="17"/>
        <v>873995.57578125014</v>
      </c>
      <c r="BH32" s="133">
        <f t="shared" si="17"/>
        <v>873995.57578125014</v>
      </c>
      <c r="BI32" s="133">
        <f t="shared" si="17"/>
        <v>873995.57578125014</v>
      </c>
    </row>
    <row r="33" spans="1:63">
      <c r="A33" s="132" t="s">
        <v>597</v>
      </c>
      <c r="B33" s="133">
        <f t="shared" ref="B33:AG33" si="18">B31+B32</f>
        <v>969418.92500000005</v>
      </c>
      <c r="C33" s="133">
        <f t="shared" si="18"/>
        <v>876116.85000000009</v>
      </c>
      <c r="D33" s="133">
        <f t="shared" si="18"/>
        <v>782814.77500000014</v>
      </c>
      <c r="E33" s="133">
        <f t="shared" si="18"/>
        <v>689512.70000000019</v>
      </c>
      <c r="F33" s="133">
        <f t="shared" si="18"/>
        <v>596210.62500000023</v>
      </c>
      <c r="G33" s="133">
        <f t="shared" si="18"/>
        <v>502908.55000000022</v>
      </c>
      <c r="H33" s="133">
        <f t="shared" si="18"/>
        <v>459964.37369791686</v>
      </c>
      <c r="I33" s="133">
        <f t="shared" si="18"/>
        <v>417020.19739583356</v>
      </c>
      <c r="J33" s="133">
        <f t="shared" si="18"/>
        <v>374076.02109375026</v>
      </c>
      <c r="K33" s="133">
        <f t="shared" si="18"/>
        <v>331131.84479166695</v>
      </c>
      <c r="L33" s="133">
        <f t="shared" si="18"/>
        <v>288187.66848958365</v>
      </c>
      <c r="M33" s="133">
        <f t="shared" si="18"/>
        <v>245243.49218750032</v>
      </c>
      <c r="N33" s="133">
        <f t="shared" si="18"/>
        <v>555085.1126302086</v>
      </c>
      <c r="O33" s="133">
        <f t="shared" si="18"/>
        <v>517424.73307291692</v>
      </c>
      <c r="P33" s="133">
        <f t="shared" si="18"/>
        <v>479764.35351562523</v>
      </c>
      <c r="Q33" s="133">
        <f t="shared" si="18"/>
        <v>442103.97395833355</v>
      </c>
      <c r="R33" s="133">
        <f t="shared" si="18"/>
        <v>404443.59440104186</v>
      </c>
      <c r="S33" s="133">
        <f t="shared" si="18"/>
        <v>366783.21484375017</v>
      </c>
      <c r="T33" s="133">
        <f t="shared" si="18"/>
        <v>329122.83528645849</v>
      </c>
      <c r="U33" s="133">
        <f t="shared" si="18"/>
        <v>291462.4557291668</v>
      </c>
      <c r="V33" s="133">
        <f t="shared" si="18"/>
        <v>253802.07617187515</v>
      </c>
      <c r="W33" s="133">
        <f t="shared" si="18"/>
        <v>216141.69661458349</v>
      </c>
      <c r="X33" s="133">
        <f t="shared" si="18"/>
        <v>178481.31705729183</v>
      </c>
      <c r="Y33" s="133">
        <f t="shared" si="18"/>
        <v>140820.93750000017</v>
      </c>
      <c r="Z33" s="133">
        <f t="shared" si="18"/>
        <v>166406.97656250017</v>
      </c>
      <c r="AA33" s="133">
        <f t="shared" si="18"/>
        <v>191993.01562500017</v>
      </c>
      <c r="AB33" s="133">
        <f t="shared" si="18"/>
        <v>217579.05468750017</v>
      </c>
      <c r="AC33" s="133">
        <f t="shared" si="18"/>
        <v>243165.09375000017</v>
      </c>
      <c r="AD33" s="133">
        <f t="shared" si="18"/>
        <v>268751.13281250017</v>
      </c>
      <c r="AE33" s="133">
        <f t="shared" si="18"/>
        <v>294337.17187500017</v>
      </c>
      <c r="AF33" s="133">
        <f t="shared" si="18"/>
        <v>319923.21093750017</v>
      </c>
      <c r="AG33" s="133">
        <f t="shared" si="18"/>
        <v>345509.25000000017</v>
      </c>
      <c r="AH33" s="133">
        <f t="shared" ref="AH33:BI33" si="19">AH31+AH32</f>
        <v>371095.28906250017</v>
      </c>
      <c r="AI33" s="133">
        <f t="shared" si="19"/>
        <v>396681.32812500017</v>
      </c>
      <c r="AJ33" s="133">
        <f t="shared" si="19"/>
        <v>422267.36718750017</v>
      </c>
      <c r="AK33" s="133">
        <f t="shared" si="19"/>
        <v>447853.40625000017</v>
      </c>
      <c r="AL33" s="133">
        <f t="shared" si="19"/>
        <v>672399.97395833349</v>
      </c>
      <c r="AM33" s="133">
        <f t="shared" si="19"/>
        <v>896946.54166666686</v>
      </c>
      <c r="AN33" s="133">
        <f t="shared" si="19"/>
        <v>1121493.1093750002</v>
      </c>
      <c r="AO33" s="133">
        <f t="shared" si="19"/>
        <v>1346039.6770833335</v>
      </c>
      <c r="AP33" s="133">
        <f t="shared" si="19"/>
        <v>1570586.2447916667</v>
      </c>
      <c r="AQ33" s="133">
        <f t="shared" si="19"/>
        <v>1795132.8125</v>
      </c>
      <c r="AR33" s="133">
        <f t="shared" si="19"/>
        <v>2019679.3802083333</v>
      </c>
      <c r="AS33" s="133">
        <f t="shared" si="19"/>
        <v>2244225.9479166665</v>
      </c>
      <c r="AT33" s="133">
        <f t="shared" si="19"/>
        <v>2468772.515625</v>
      </c>
      <c r="AU33" s="133">
        <f t="shared" si="19"/>
        <v>2693319.0833333335</v>
      </c>
      <c r="AV33" s="133">
        <f t="shared" si="19"/>
        <v>2917865.651041667</v>
      </c>
      <c r="AW33" s="133">
        <f t="shared" si="19"/>
        <v>3142412.2187500005</v>
      </c>
      <c r="AX33" s="133">
        <f t="shared" si="19"/>
        <v>4016407.7945312504</v>
      </c>
      <c r="AY33" s="133">
        <f t="shared" si="19"/>
        <v>4890403.3703125007</v>
      </c>
      <c r="AZ33" s="133">
        <f t="shared" si="19"/>
        <v>5764398.9460937511</v>
      </c>
      <c r="BA33" s="133">
        <f t="shared" si="19"/>
        <v>6638394.5218750015</v>
      </c>
      <c r="BB33" s="133">
        <f t="shared" si="19"/>
        <v>7512390.0976562519</v>
      </c>
      <c r="BC33" s="133">
        <f t="shared" si="19"/>
        <v>8386385.6734375022</v>
      </c>
      <c r="BD33" s="133">
        <f t="shared" si="19"/>
        <v>9260381.2492187526</v>
      </c>
      <c r="BE33" s="133">
        <f t="shared" si="19"/>
        <v>10134376.825000003</v>
      </c>
      <c r="BF33" s="133">
        <f t="shared" si="19"/>
        <v>11008372.400781253</v>
      </c>
      <c r="BG33" s="133">
        <f t="shared" si="19"/>
        <v>11882367.976562504</v>
      </c>
      <c r="BH33" s="133">
        <f t="shared" si="19"/>
        <v>12756363.552343754</v>
      </c>
      <c r="BI33" s="133">
        <f t="shared" si="19"/>
        <v>13630359.128125004</v>
      </c>
    </row>
    <row r="34" spans="1:63" ht="29" customHeight="1">
      <c r="A34" s="132" t="s">
        <v>598</v>
      </c>
      <c r="B34" s="133">
        <f>-B27</f>
        <v>240000</v>
      </c>
      <c r="C34" s="133">
        <f t="shared" ref="C34:AH34" si="20">B34-C27</f>
        <v>240000</v>
      </c>
      <c r="D34" s="133">
        <f t="shared" si="20"/>
        <v>240000</v>
      </c>
      <c r="E34" s="133">
        <f t="shared" si="20"/>
        <v>240000</v>
      </c>
      <c r="F34" s="133">
        <f t="shared" si="20"/>
        <v>240000</v>
      </c>
      <c r="G34" s="133">
        <f t="shared" si="20"/>
        <v>240000</v>
      </c>
      <c r="H34" s="133">
        <f t="shared" si="20"/>
        <v>240000</v>
      </c>
      <c r="I34" s="133">
        <f t="shared" si="20"/>
        <v>240000</v>
      </c>
      <c r="J34" s="133">
        <f t="shared" si="20"/>
        <v>240000</v>
      </c>
      <c r="K34" s="133">
        <f t="shared" si="20"/>
        <v>240000</v>
      </c>
      <c r="L34" s="133">
        <f t="shared" si="20"/>
        <v>240000</v>
      </c>
      <c r="M34" s="133">
        <f t="shared" si="20"/>
        <v>240000</v>
      </c>
      <c r="N34" s="133">
        <f t="shared" si="20"/>
        <v>240000</v>
      </c>
      <c r="O34" s="133">
        <f t="shared" si="20"/>
        <v>240000</v>
      </c>
      <c r="P34" s="133">
        <f t="shared" si="20"/>
        <v>240000</v>
      </c>
      <c r="Q34" s="133">
        <f t="shared" si="20"/>
        <v>240000</v>
      </c>
      <c r="R34" s="133">
        <f t="shared" si="20"/>
        <v>240000</v>
      </c>
      <c r="S34" s="133">
        <f t="shared" si="20"/>
        <v>240000</v>
      </c>
      <c r="T34" s="133">
        <f t="shared" si="20"/>
        <v>240000</v>
      </c>
      <c r="U34" s="133">
        <f t="shared" si="20"/>
        <v>240000</v>
      </c>
      <c r="V34" s="133">
        <f t="shared" si="20"/>
        <v>240000</v>
      </c>
      <c r="W34" s="133">
        <f t="shared" si="20"/>
        <v>240000</v>
      </c>
      <c r="X34" s="133">
        <f t="shared" si="20"/>
        <v>240000</v>
      </c>
      <c r="Y34" s="133">
        <f t="shared" si="20"/>
        <v>240000</v>
      </c>
      <c r="Z34" s="133">
        <f t="shared" si="20"/>
        <v>240000</v>
      </c>
      <c r="AA34" s="133">
        <f t="shared" si="20"/>
        <v>240000</v>
      </c>
      <c r="AB34" s="133">
        <f t="shared" si="20"/>
        <v>240000</v>
      </c>
      <c r="AC34" s="133">
        <f t="shared" si="20"/>
        <v>240000</v>
      </c>
      <c r="AD34" s="133">
        <f t="shared" si="20"/>
        <v>240000</v>
      </c>
      <c r="AE34" s="133">
        <f t="shared" si="20"/>
        <v>240000</v>
      </c>
      <c r="AF34" s="133">
        <f t="shared" si="20"/>
        <v>240000</v>
      </c>
      <c r="AG34" s="133">
        <f t="shared" si="20"/>
        <v>240000</v>
      </c>
      <c r="AH34" s="133">
        <f t="shared" si="20"/>
        <v>240000</v>
      </c>
      <c r="AI34" s="133">
        <f t="shared" ref="AI34:BI34" si="21">AH34-AI27</f>
        <v>240000</v>
      </c>
      <c r="AJ34" s="133">
        <f t="shared" si="21"/>
        <v>240000</v>
      </c>
      <c r="AK34" s="133">
        <f t="shared" si="21"/>
        <v>240000</v>
      </c>
      <c r="AL34" s="133">
        <f t="shared" si="21"/>
        <v>240000</v>
      </c>
      <c r="AM34" s="133">
        <f t="shared" si="21"/>
        <v>240000</v>
      </c>
      <c r="AN34" s="133">
        <f t="shared" si="21"/>
        <v>240000</v>
      </c>
      <c r="AO34" s="133">
        <f t="shared" si="21"/>
        <v>240000</v>
      </c>
      <c r="AP34" s="133">
        <f t="shared" si="21"/>
        <v>240000</v>
      </c>
      <c r="AQ34" s="133">
        <f t="shared" si="21"/>
        <v>240000</v>
      </c>
      <c r="AR34" s="133">
        <f t="shared" si="21"/>
        <v>240000</v>
      </c>
      <c r="AS34" s="133">
        <f t="shared" si="21"/>
        <v>240000</v>
      </c>
      <c r="AT34" s="133">
        <f t="shared" si="21"/>
        <v>240000</v>
      </c>
      <c r="AU34" s="133">
        <f t="shared" si="21"/>
        <v>240000</v>
      </c>
      <c r="AV34" s="133">
        <f t="shared" si="21"/>
        <v>240000</v>
      </c>
      <c r="AW34" s="133">
        <f t="shared" si="21"/>
        <v>240000</v>
      </c>
      <c r="AX34" s="133">
        <f t="shared" si="21"/>
        <v>240000</v>
      </c>
      <c r="AY34" s="133">
        <f t="shared" si="21"/>
        <v>240000</v>
      </c>
      <c r="AZ34" s="133">
        <f t="shared" si="21"/>
        <v>240000</v>
      </c>
      <c r="BA34" s="133">
        <f t="shared" si="21"/>
        <v>240000</v>
      </c>
      <c r="BB34" s="133">
        <f t="shared" si="21"/>
        <v>240000</v>
      </c>
      <c r="BC34" s="133">
        <f t="shared" si="21"/>
        <v>240000</v>
      </c>
      <c r="BD34" s="133">
        <f t="shared" si="21"/>
        <v>240000</v>
      </c>
      <c r="BE34" s="133">
        <f t="shared" si="21"/>
        <v>240000</v>
      </c>
      <c r="BF34" s="133">
        <f t="shared" si="21"/>
        <v>240000</v>
      </c>
      <c r="BG34" s="133">
        <f t="shared" si="21"/>
        <v>240000</v>
      </c>
      <c r="BH34" s="133">
        <f t="shared" si="21"/>
        <v>240000</v>
      </c>
      <c r="BI34" s="133">
        <f t="shared" si="21"/>
        <v>240000</v>
      </c>
    </row>
    <row r="35" spans="1:63">
      <c r="A35" s="132" t="s">
        <v>599</v>
      </c>
      <c r="B35" s="133">
        <f t="shared" ref="B35:AG35" si="22">B33+B34</f>
        <v>1209418.925</v>
      </c>
      <c r="C35" s="133">
        <f t="shared" si="22"/>
        <v>1116116.8500000001</v>
      </c>
      <c r="D35" s="133">
        <f t="shared" si="22"/>
        <v>1022814.7750000001</v>
      </c>
      <c r="E35" s="133">
        <f t="shared" si="22"/>
        <v>929512.70000000019</v>
      </c>
      <c r="F35" s="133">
        <f t="shared" si="22"/>
        <v>836210.62500000023</v>
      </c>
      <c r="G35" s="133">
        <f t="shared" si="22"/>
        <v>742908.55000000028</v>
      </c>
      <c r="H35" s="133">
        <f t="shared" si="22"/>
        <v>699964.37369791686</v>
      </c>
      <c r="I35" s="133">
        <f t="shared" si="22"/>
        <v>657020.19739583356</v>
      </c>
      <c r="J35" s="133">
        <f t="shared" si="22"/>
        <v>614076.02109375026</v>
      </c>
      <c r="K35" s="133">
        <f t="shared" si="22"/>
        <v>571131.84479166695</v>
      </c>
      <c r="L35" s="133">
        <f t="shared" si="22"/>
        <v>528187.66848958365</v>
      </c>
      <c r="M35" s="133">
        <f t="shared" si="22"/>
        <v>485243.49218750035</v>
      </c>
      <c r="N35" s="133">
        <f t="shared" si="22"/>
        <v>795085.1126302086</v>
      </c>
      <c r="O35" s="133">
        <f t="shared" si="22"/>
        <v>757424.73307291698</v>
      </c>
      <c r="P35" s="133">
        <f t="shared" si="22"/>
        <v>719764.35351562523</v>
      </c>
      <c r="Q35" s="133">
        <f t="shared" si="22"/>
        <v>682103.97395833349</v>
      </c>
      <c r="R35" s="133">
        <f t="shared" si="22"/>
        <v>644443.59440104186</v>
      </c>
      <c r="S35" s="133">
        <f t="shared" si="22"/>
        <v>606783.21484375023</v>
      </c>
      <c r="T35" s="133">
        <f t="shared" si="22"/>
        <v>569122.83528645849</v>
      </c>
      <c r="U35" s="133">
        <f t="shared" si="22"/>
        <v>531462.45572916674</v>
      </c>
      <c r="V35" s="133">
        <f t="shared" si="22"/>
        <v>493802.07617187512</v>
      </c>
      <c r="W35" s="133">
        <f t="shared" si="22"/>
        <v>456141.69661458349</v>
      </c>
      <c r="X35" s="133">
        <f t="shared" si="22"/>
        <v>418481.31705729186</v>
      </c>
      <c r="Y35" s="133">
        <f t="shared" si="22"/>
        <v>380820.93750000017</v>
      </c>
      <c r="Z35" s="133">
        <f t="shared" si="22"/>
        <v>406406.97656250017</v>
      </c>
      <c r="AA35" s="133">
        <f t="shared" si="22"/>
        <v>431993.01562500017</v>
      </c>
      <c r="AB35" s="133">
        <f t="shared" si="22"/>
        <v>457579.05468750017</v>
      </c>
      <c r="AC35" s="133">
        <f t="shared" si="22"/>
        <v>483165.09375000017</v>
      </c>
      <c r="AD35" s="133">
        <f t="shared" si="22"/>
        <v>508751.13281250017</v>
      </c>
      <c r="AE35" s="133">
        <f t="shared" si="22"/>
        <v>534337.17187500023</v>
      </c>
      <c r="AF35" s="133">
        <f t="shared" si="22"/>
        <v>559923.21093750023</v>
      </c>
      <c r="AG35" s="133">
        <f t="shared" si="22"/>
        <v>585509.25000000023</v>
      </c>
      <c r="AH35" s="133">
        <f t="shared" ref="AH35:BI35" si="23">AH33+AH34</f>
        <v>611095.28906250023</v>
      </c>
      <c r="AI35" s="133">
        <f t="shared" si="23"/>
        <v>636681.32812500023</v>
      </c>
      <c r="AJ35" s="133">
        <f t="shared" si="23"/>
        <v>662267.36718750023</v>
      </c>
      <c r="AK35" s="133">
        <f t="shared" si="23"/>
        <v>687853.40625000023</v>
      </c>
      <c r="AL35" s="133">
        <f t="shared" si="23"/>
        <v>912399.97395833349</v>
      </c>
      <c r="AM35" s="133">
        <f t="shared" si="23"/>
        <v>1136946.541666667</v>
      </c>
      <c r="AN35" s="133">
        <f t="shared" si="23"/>
        <v>1361493.1093750002</v>
      </c>
      <c r="AO35" s="133">
        <f t="shared" si="23"/>
        <v>1586039.6770833335</v>
      </c>
      <c r="AP35" s="133">
        <f t="shared" si="23"/>
        <v>1810586.2447916667</v>
      </c>
      <c r="AQ35" s="133">
        <f t="shared" si="23"/>
        <v>2035132.8125</v>
      </c>
      <c r="AR35" s="133">
        <f t="shared" si="23"/>
        <v>2259679.380208333</v>
      </c>
      <c r="AS35" s="133">
        <f t="shared" si="23"/>
        <v>2484225.9479166665</v>
      </c>
      <c r="AT35" s="133">
        <f t="shared" si="23"/>
        <v>2708772.515625</v>
      </c>
      <c r="AU35" s="133">
        <f t="shared" si="23"/>
        <v>2933319.0833333335</v>
      </c>
      <c r="AV35" s="133">
        <f t="shared" si="23"/>
        <v>3157865.651041667</v>
      </c>
      <c r="AW35" s="133">
        <f t="shared" si="23"/>
        <v>3382412.2187500005</v>
      </c>
      <c r="AX35" s="133">
        <f t="shared" si="23"/>
        <v>4256407.7945312504</v>
      </c>
      <c r="AY35" s="133">
        <f t="shared" si="23"/>
        <v>5130403.3703125007</v>
      </c>
      <c r="AZ35" s="133">
        <f t="shared" si="23"/>
        <v>6004398.9460937511</v>
      </c>
      <c r="BA35" s="133">
        <f t="shared" si="23"/>
        <v>6878394.5218750015</v>
      </c>
      <c r="BB35" s="133">
        <f t="shared" si="23"/>
        <v>7752390.0976562519</v>
      </c>
      <c r="BC35" s="133">
        <f t="shared" si="23"/>
        <v>8626385.6734375022</v>
      </c>
      <c r="BD35" s="133">
        <f t="shared" si="23"/>
        <v>9500381.2492187526</v>
      </c>
      <c r="BE35" s="133">
        <f t="shared" si="23"/>
        <v>10374376.825000003</v>
      </c>
      <c r="BF35" s="133">
        <f t="shared" si="23"/>
        <v>11248372.400781253</v>
      </c>
      <c r="BG35" s="133">
        <f t="shared" si="23"/>
        <v>12122367.976562504</v>
      </c>
      <c r="BH35" s="133">
        <f t="shared" si="23"/>
        <v>12996363.552343754</v>
      </c>
      <c r="BI35" s="133">
        <f t="shared" si="23"/>
        <v>13870359.128125004</v>
      </c>
    </row>
    <row r="36" spans="1:63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</row>
    <row r="37" spans="1:63">
      <c r="A37" s="131" t="s">
        <v>600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</row>
    <row r="38" spans="1:63" ht="29" customHeight="1">
      <c r="A38" s="132" t="s">
        <v>601</v>
      </c>
      <c r="B38" s="133">
        <f>B19</f>
        <v>-93302.074999999997</v>
      </c>
      <c r="C38" s="133">
        <f t="shared" ref="C38:AH38" si="24">B38+C19</f>
        <v>-186604.15</v>
      </c>
      <c r="D38" s="133">
        <f t="shared" si="24"/>
        <v>-279906.22499999998</v>
      </c>
      <c r="E38" s="133">
        <f t="shared" si="24"/>
        <v>-373208.3</v>
      </c>
      <c r="F38" s="133">
        <f t="shared" si="24"/>
        <v>-466510.375</v>
      </c>
      <c r="G38" s="133">
        <f t="shared" si="24"/>
        <v>-559812.44999999995</v>
      </c>
      <c r="H38" s="133">
        <f t="shared" si="24"/>
        <v>-602756.62630208326</v>
      </c>
      <c r="I38" s="133">
        <f t="shared" si="24"/>
        <v>-645700.80260416656</v>
      </c>
      <c r="J38" s="133">
        <f t="shared" si="24"/>
        <v>-688644.97890624986</v>
      </c>
      <c r="K38" s="133">
        <f t="shared" si="24"/>
        <v>-731589.15520833316</v>
      </c>
      <c r="L38" s="133">
        <f t="shared" si="24"/>
        <v>-774533.33151041646</v>
      </c>
      <c r="M38" s="133">
        <f t="shared" si="24"/>
        <v>-817477.50781249977</v>
      </c>
      <c r="N38" s="133">
        <f t="shared" si="24"/>
        <v>-855137.8873697914</v>
      </c>
      <c r="O38" s="133">
        <f t="shared" si="24"/>
        <v>-892798.26692708302</v>
      </c>
      <c r="P38" s="133">
        <f t="shared" si="24"/>
        <v>-930458.64648437465</v>
      </c>
      <c r="Q38" s="133">
        <f t="shared" si="24"/>
        <v>-968119.02604166628</v>
      </c>
      <c r="R38" s="133">
        <f t="shared" si="24"/>
        <v>-1005779.4055989579</v>
      </c>
      <c r="S38" s="133">
        <f t="shared" si="24"/>
        <v>-1043439.7851562495</v>
      </c>
      <c r="T38" s="133">
        <f t="shared" si="24"/>
        <v>-1081100.1647135413</v>
      </c>
      <c r="U38" s="133">
        <f t="shared" si="24"/>
        <v>-1118760.544270833</v>
      </c>
      <c r="V38" s="133">
        <f t="shared" si="24"/>
        <v>-1156420.9238281248</v>
      </c>
      <c r="W38" s="133">
        <f t="shared" si="24"/>
        <v>-1194081.3033854165</v>
      </c>
      <c r="X38" s="133">
        <f t="shared" si="24"/>
        <v>-1231741.6829427083</v>
      </c>
      <c r="Y38" s="133">
        <f t="shared" si="24"/>
        <v>-1269402.0625</v>
      </c>
      <c r="Z38" s="133">
        <f t="shared" si="24"/>
        <v>-1243816.0234375</v>
      </c>
      <c r="AA38" s="133">
        <f t="shared" si="24"/>
        <v>-1218229.984375</v>
      </c>
      <c r="AB38" s="133">
        <f t="shared" si="24"/>
        <v>-1192643.9453125</v>
      </c>
      <c r="AC38" s="133">
        <f t="shared" si="24"/>
        <v>-1167057.90625</v>
      </c>
      <c r="AD38" s="133">
        <f t="shared" si="24"/>
        <v>-1141471.8671875</v>
      </c>
      <c r="AE38" s="133">
        <f t="shared" si="24"/>
        <v>-1115885.828125</v>
      </c>
      <c r="AF38" s="133">
        <f t="shared" si="24"/>
        <v>-1090299.7890625</v>
      </c>
      <c r="AG38" s="133">
        <f t="shared" si="24"/>
        <v>-1064713.75</v>
      </c>
      <c r="AH38" s="133">
        <f t="shared" si="24"/>
        <v>-1039127.7109375</v>
      </c>
      <c r="AI38" s="133">
        <f t="shared" ref="AI38:BI38" si="25">AH38+AI19</f>
        <v>-1013541.671875</v>
      </c>
      <c r="AJ38" s="133">
        <f t="shared" si="25"/>
        <v>-987955.6328125</v>
      </c>
      <c r="AK38" s="133">
        <f t="shared" si="25"/>
        <v>-962369.59375</v>
      </c>
      <c r="AL38" s="133">
        <f t="shared" si="25"/>
        <v>-737823.02604166663</v>
      </c>
      <c r="AM38" s="133">
        <f t="shared" si="25"/>
        <v>-513276.45833333326</v>
      </c>
      <c r="AN38" s="133">
        <f t="shared" si="25"/>
        <v>-288729.89062499988</v>
      </c>
      <c r="AO38" s="133">
        <f t="shared" si="25"/>
        <v>-64183.322916666541</v>
      </c>
      <c r="AP38" s="133">
        <f t="shared" si="25"/>
        <v>160363.2447916668</v>
      </c>
      <c r="AQ38" s="133">
        <f t="shared" si="25"/>
        <v>384909.81250000012</v>
      </c>
      <c r="AR38" s="133">
        <f t="shared" si="25"/>
        <v>609456.38020833349</v>
      </c>
      <c r="AS38" s="133">
        <f t="shared" si="25"/>
        <v>834002.94791666686</v>
      </c>
      <c r="AT38" s="133">
        <f t="shared" si="25"/>
        <v>1058549.5156250002</v>
      </c>
      <c r="AU38" s="133">
        <f t="shared" si="25"/>
        <v>1283096.0833333335</v>
      </c>
      <c r="AV38" s="133">
        <f t="shared" si="25"/>
        <v>1507642.6510416667</v>
      </c>
      <c r="AW38" s="133">
        <f t="shared" si="25"/>
        <v>1732189.21875</v>
      </c>
      <c r="AX38" s="133">
        <f t="shared" si="25"/>
        <v>2606184.7945312504</v>
      </c>
      <c r="AY38" s="133">
        <f t="shared" si="25"/>
        <v>3480180.3703125007</v>
      </c>
      <c r="AZ38" s="133">
        <f t="shared" si="25"/>
        <v>4354175.9460937511</v>
      </c>
      <c r="BA38" s="133">
        <f t="shared" si="25"/>
        <v>5228171.5218750015</v>
      </c>
      <c r="BB38" s="133">
        <f t="shared" si="25"/>
        <v>6102167.0976562519</v>
      </c>
      <c r="BC38" s="133">
        <f t="shared" si="25"/>
        <v>6976162.6734375022</v>
      </c>
      <c r="BD38" s="133">
        <f t="shared" si="25"/>
        <v>7850158.2492187526</v>
      </c>
      <c r="BE38" s="133">
        <f t="shared" si="25"/>
        <v>8724153.825000003</v>
      </c>
      <c r="BF38" s="133">
        <f t="shared" si="25"/>
        <v>9598149.4007812534</v>
      </c>
      <c r="BG38" s="133">
        <f t="shared" si="25"/>
        <v>10472144.976562504</v>
      </c>
      <c r="BH38" s="133">
        <f t="shared" si="25"/>
        <v>11346140.552343754</v>
      </c>
      <c r="BI38" s="133">
        <f t="shared" si="25"/>
        <v>12220136.128125004</v>
      </c>
      <c r="BK38" s="126" t="s">
        <v>602</v>
      </c>
    </row>
    <row r="39" spans="1:63">
      <c r="A39" s="132" t="s">
        <v>603</v>
      </c>
      <c r="B39" s="130" t="str">
        <f t="shared" ref="B39:AG39" si="26">IF(B38&gt;=0,"Reached","Not yet")</f>
        <v>Not yet</v>
      </c>
      <c r="C39" s="130" t="str">
        <f t="shared" si="26"/>
        <v>Not yet</v>
      </c>
      <c r="D39" s="130" t="str">
        <f t="shared" si="26"/>
        <v>Not yet</v>
      </c>
      <c r="E39" s="130" t="str">
        <f t="shared" si="26"/>
        <v>Not yet</v>
      </c>
      <c r="F39" s="130" t="str">
        <f t="shared" si="26"/>
        <v>Not yet</v>
      </c>
      <c r="G39" s="130" t="str">
        <f t="shared" si="26"/>
        <v>Not yet</v>
      </c>
      <c r="H39" s="130" t="str">
        <f t="shared" si="26"/>
        <v>Not yet</v>
      </c>
      <c r="I39" s="130" t="str">
        <f t="shared" si="26"/>
        <v>Not yet</v>
      </c>
      <c r="J39" s="130" t="str">
        <f t="shared" si="26"/>
        <v>Not yet</v>
      </c>
      <c r="K39" s="130" t="str">
        <f t="shared" si="26"/>
        <v>Not yet</v>
      </c>
      <c r="L39" s="130" t="str">
        <f t="shared" si="26"/>
        <v>Not yet</v>
      </c>
      <c r="M39" s="130" t="str">
        <f t="shared" si="26"/>
        <v>Not yet</v>
      </c>
      <c r="N39" s="130" t="str">
        <f t="shared" si="26"/>
        <v>Not yet</v>
      </c>
      <c r="O39" s="130" t="str">
        <f t="shared" si="26"/>
        <v>Not yet</v>
      </c>
      <c r="P39" s="130" t="str">
        <f t="shared" si="26"/>
        <v>Not yet</v>
      </c>
      <c r="Q39" s="130" t="str">
        <f t="shared" si="26"/>
        <v>Not yet</v>
      </c>
      <c r="R39" s="130" t="str">
        <f t="shared" si="26"/>
        <v>Not yet</v>
      </c>
      <c r="S39" s="130" t="str">
        <f t="shared" si="26"/>
        <v>Not yet</v>
      </c>
      <c r="T39" s="130" t="str">
        <f t="shared" si="26"/>
        <v>Not yet</v>
      </c>
      <c r="U39" s="130" t="str">
        <f t="shared" si="26"/>
        <v>Not yet</v>
      </c>
      <c r="V39" s="130" t="str">
        <f t="shared" si="26"/>
        <v>Not yet</v>
      </c>
      <c r="W39" s="130" t="str">
        <f t="shared" si="26"/>
        <v>Not yet</v>
      </c>
      <c r="X39" s="130" t="str">
        <f t="shared" si="26"/>
        <v>Not yet</v>
      </c>
      <c r="Y39" s="130" t="str">
        <f t="shared" si="26"/>
        <v>Not yet</v>
      </c>
      <c r="Z39" s="130" t="str">
        <f t="shared" si="26"/>
        <v>Not yet</v>
      </c>
      <c r="AA39" s="130" t="str">
        <f t="shared" si="26"/>
        <v>Not yet</v>
      </c>
      <c r="AB39" s="130" t="str">
        <f t="shared" si="26"/>
        <v>Not yet</v>
      </c>
      <c r="AC39" s="130" t="str">
        <f t="shared" si="26"/>
        <v>Not yet</v>
      </c>
      <c r="AD39" s="130" t="str">
        <f t="shared" si="26"/>
        <v>Not yet</v>
      </c>
      <c r="AE39" s="130" t="str">
        <f t="shared" si="26"/>
        <v>Not yet</v>
      </c>
      <c r="AF39" s="130" t="str">
        <f t="shared" si="26"/>
        <v>Not yet</v>
      </c>
      <c r="AG39" s="130" t="str">
        <f t="shared" si="26"/>
        <v>Not yet</v>
      </c>
      <c r="AH39" s="130" t="str">
        <f t="shared" ref="AH39:BI39" si="27">IF(AH38&gt;=0,"Reached","Not yet")</f>
        <v>Not yet</v>
      </c>
      <c r="AI39" s="130" t="str">
        <f t="shared" si="27"/>
        <v>Not yet</v>
      </c>
      <c r="AJ39" s="130" t="str">
        <f t="shared" si="27"/>
        <v>Not yet</v>
      </c>
      <c r="AK39" s="130" t="str">
        <f t="shared" si="27"/>
        <v>Not yet</v>
      </c>
      <c r="AL39" s="130" t="str">
        <f t="shared" si="27"/>
        <v>Not yet</v>
      </c>
      <c r="AM39" s="130" t="str">
        <f t="shared" si="27"/>
        <v>Not yet</v>
      </c>
      <c r="AN39" s="130" t="str">
        <f t="shared" si="27"/>
        <v>Not yet</v>
      </c>
      <c r="AO39" s="130" t="str">
        <f t="shared" si="27"/>
        <v>Not yet</v>
      </c>
      <c r="AP39" s="130" t="str">
        <f t="shared" si="27"/>
        <v>Reached</v>
      </c>
      <c r="AQ39" s="130" t="str">
        <f t="shared" si="27"/>
        <v>Reached</v>
      </c>
      <c r="AR39" s="130" t="str">
        <f t="shared" si="27"/>
        <v>Reached</v>
      </c>
      <c r="AS39" s="130" t="str">
        <f t="shared" si="27"/>
        <v>Reached</v>
      </c>
      <c r="AT39" s="130" t="str">
        <f t="shared" si="27"/>
        <v>Reached</v>
      </c>
      <c r="AU39" s="130" t="str">
        <f t="shared" si="27"/>
        <v>Reached</v>
      </c>
      <c r="AV39" s="130" t="str">
        <f t="shared" si="27"/>
        <v>Reached</v>
      </c>
      <c r="AW39" s="130" t="str">
        <f t="shared" si="27"/>
        <v>Reached</v>
      </c>
      <c r="AX39" s="130" t="str">
        <f t="shared" si="27"/>
        <v>Reached</v>
      </c>
      <c r="AY39" s="130" t="str">
        <f t="shared" si="27"/>
        <v>Reached</v>
      </c>
      <c r="AZ39" s="130" t="str">
        <f t="shared" si="27"/>
        <v>Reached</v>
      </c>
      <c r="BA39" s="130" t="str">
        <f t="shared" si="27"/>
        <v>Reached</v>
      </c>
      <c r="BB39" s="130" t="str">
        <f t="shared" si="27"/>
        <v>Reached</v>
      </c>
      <c r="BC39" s="130" t="str">
        <f t="shared" si="27"/>
        <v>Reached</v>
      </c>
      <c r="BD39" s="130" t="str">
        <f t="shared" si="27"/>
        <v>Reached</v>
      </c>
      <c r="BE39" s="130" t="str">
        <f t="shared" si="27"/>
        <v>Reached</v>
      </c>
      <c r="BF39" s="130" t="str">
        <f t="shared" si="27"/>
        <v>Reached</v>
      </c>
      <c r="BG39" s="130" t="str">
        <f t="shared" si="27"/>
        <v>Reached</v>
      </c>
      <c r="BH39" s="130" t="str">
        <f t="shared" si="27"/>
        <v>Reached</v>
      </c>
      <c r="BI39" s="130" t="str">
        <f t="shared" si="27"/>
        <v>Reached</v>
      </c>
    </row>
    <row r="40" spans="1:63">
      <c r="A40" s="132" t="s">
        <v>604</v>
      </c>
      <c r="B40" s="130" t="str">
        <f t="shared" ref="B40:AG40" si="28">IF(B33&lt;0,"Cash shortfall","Funded")</f>
        <v>Funded</v>
      </c>
      <c r="C40" s="130" t="str">
        <f t="shared" si="28"/>
        <v>Funded</v>
      </c>
      <c r="D40" s="130" t="str">
        <f t="shared" si="28"/>
        <v>Funded</v>
      </c>
      <c r="E40" s="130" t="str">
        <f t="shared" si="28"/>
        <v>Funded</v>
      </c>
      <c r="F40" s="130" t="str">
        <f t="shared" si="28"/>
        <v>Funded</v>
      </c>
      <c r="G40" s="130" t="str">
        <f t="shared" si="28"/>
        <v>Funded</v>
      </c>
      <c r="H40" s="130" t="str">
        <f t="shared" si="28"/>
        <v>Funded</v>
      </c>
      <c r="I40" s="130" t="str">
        <f t="shared" si="28"/>
        <v>Funded</v>
      </c>
      <c r="J40" s="130" t="str">
        <f t="shared" si="28"/>
        <v>Funded</v>
      </c>
      <c r="K40" s="130" t="str">
        <f t="shared" si="28"/>
        <v>Funded</v>
      </c>
      <c r="L40" s="130" t="str">
        <f t="shared" si="28"/>
        <v>Funded</v>
      </c>
      <c r="M40" s="130" t="str">
        <f t="shared" si="28"/>
        <v>Funded</v>
      </c>
      <c r="N40" s="130" t="str">
        <f t="shared" si="28"/>
        <v>Funded</v>
      </c>
      <c r="O40" s="130" t="str">
        <f t="shared" si="28"/>
        <v>Funded</v>
      </c>
      <c r="P40" s="130" t="str">
        <f t="shared" si="28"/>
        <v>Funded</v>
      </c>
      <c r="Q40" s="130" t="str">
        <f t="shared" si="28"/>
        <v>Funded</v>
      </c>
      <c r="R40" s="130" t="str">
        <f t="shared" si="28"/>
        <v>Funded</v>
      </c>
      <c r="S40" s="130" t="str">
        <f t="shared" si="28"/>
        <v>Funded</v>
      </c>
      <c r="T40" s="130" t="str">
        <f t="shared" si="28"/>
        <v>Funded</v>
      </c>
      <c r="U40" s="130" t="str">
        <f t="shared" si="28"/>
        <v>Funded</v>
      </c>
      <c r="V40" s="130" t="str">
        <f t="shared" si="28"/>
        <v>Funded</v>
      </c>
      <c r="W40" s="130" t="str">
        <f t="shared" si="28"/>
        <v>Funded</v>
      </c>
      <c r="X40" s="130" t="str">
        <f t="shared" si="28"/>
        <v>Funded</v>
      </c>
      <c r="Y40" s="130" t="str">
        <f t="shared" si="28"/>
        <v>Funded</v>
      </c>
      <c r="Z40" s="130" t="str">
        <f t="shared" si="28"/>
        <v>Funded</v>
      </c>
      <c r="AA40" s="130" t="str">
        <f t="shared" si="28"/>
        <v>Funded</v>
      </c>
      <c r="AB40" s="130" t="str">
        <f t="shared" si="28"/>
        <v>Funded</v>
      </c>
      <c r="AC40" s="130" t="str">
        <f t="shared" si="28"/>
        <v>Funded</v>
      </c>
      <c r="AD40" s="130" t="str">
        <f t="shared" si="28"/>
        <v>Funded</v>
      </c>
      <c r="AE40" s="130" t="str">
        <f t="shared" si="28"/>
        <v>Funded</v>
      </c>
      <c r="AF40" s="130" t="str">
        <f t="shared" si="28"/>
        <v>Funded</v>
      </c>
      <c r="AG40" s="130" t="str">
        <f t="shared" si="28"/>
        <v>Funded</v>
      </c>
      <c r="AH40" s="130" t="str">
        <f t="shared" ref="AH40:BI40" si="29">IF(AH33&lt;0,"Cash shortfall","Funded")</f>
        <v>Funded</v>
      </c>
      <c r="AI40" s="130" t="str">
        <f t="shared" si="29"/>
        <v>Funded</v>
      </c>
      <c r="AJ40" s="130" t="str">
        <f t="shared" si="29"/>
        <v>Funded</v>
      </c>
      <c r="AK40" s="130" t="str">
        <f t="shared" si="29"/>
        <v>Funded</v>
      </c>
      <c r="AL40" s="130" t="str">
        <f t="shared" si="29"/>
        <v>Funded</v>
      </c>
      <c r="AM40" s="130" t="str">
        <f t="shared" si="29"/>
        <v>Funded</v>
      </c>
      <c r="AN40" s="130" t="str">
        <f t="shared" si="29"/>
        <v>Funded</v>
      </c>
      <c r="AO40" s="130" t="str">
        <f t="shared" si="29"/>
        <v>Funded</v>
      </c>
      <c r="AP40" s="130" t="str">
        <f t="shared" si="29"/>
        <v>Funded</v>
      </c>
      <c r="AQ40" s="130" t="str">
        <f t="shared" si="29"/>
        <v>Funded</v>
      </c>
      <c r="AR40" s="130" t="str">
        <f t="shared" si="29"/>
        <v>Funded</v>
      </c>
      <c r="AS40" s="130" t="str">
        <f t="shared" si="29"/>
        <v>Funded</v>
      </c>
      <c r="AT40" s="130" t="str">
        <f t="shared" si="29"/>
        <v>Funded</v>
      </c>
      <c r="AU40" s="130" t="str">
        <f t="shared" si="29"/>
        <v>Funded</v>
      </c>
      <c r="AV40" s="130" t="str">
        <f t="shared" si="29"/>
        <v>Funded</v>
      </c>
      <c r="AW40" s="130" t="str">
        <f t="shared" si="29"/>
        <v>Funded</v>
      </c>
      <c r="AX40" s="130" t="str">
        <f t="shared" si="29"/>
        <v>Funded</v>
      </c>
      <c r="AY40" s="130" t="str">
        <f t="shared" si="29"/>
        <v>Funded</v>
      </c>
      <c r="AZ40" s="130" t="str">
        <f t="shared" si="29"/>
        <v>Funded</v>
      </c>
      <c r="BA40" s="130" t="str">
        <f t="shared" si="29"/>
        <v>Funded</v>
      </c>
      <c r="BB40" s="130" t="str">
        <f t="shared" si="29"/>
        <v>Funded</v>
      </c>
      <c r="BC40" s="130" t="str">
        <f t="shared" si="29"/>
        <v>Funded</v>
      </c>
      <c r="BD40" s="130" t="str">
        <f t="shared" si="29"/>
        <v>Funded</v>
      </c>
      <c r="BE40" s="130" t="str">
        <f t="shared" si="29"/>
        <v>Funded</v>
      </c>
      <c r="BF40" s="130" t="str">
        <f t="shared" si="29"/>
        <v>Funded</v>
      </c>
      <c r="BG40" s="130" t="str">
        <f t="shared" si="29"/>
        <v>Funded</v>
      </c>
      <c r="BH40" s="130" t="str">
        <f t="shared" si="29"/>
        <v>Funded</v>
      </c>
      <c r="BI40" s="130" t="str">
        <f t="shared" si="29"/>
        <v>Funded</v>
      </c>
    </row>
    <row r="43" spans="1:63">
      <c r="A43" s="244" t="s">
        <v>605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</row>
    <row r="44" spans="1:63" ht="58" customHeight="1">
      <c r="A44" s="128" t="s">
        <v>606</v>
      </c>
      <c r="B44" s="128" t="s">
        <v>563</v>
      </c>
      <c r="C44" s="128" t="s">
        <v>560</v>
      </c>
      <c r="D44" s="128" t="s">
        <v>607</v>
      </c>
      <c r="E44" s="128" t="s">
        <v>608</v>
      </c>
      <c r="F44" s="128" t="s">
        <v>609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</row>
    <row r="45" spans="1:63" ht="29" customHeight="1">
      <c r="A45" s="130" t="s">
        <v>75</v>
      </c>
      <c r="B45" s="133" t="str">
        <f>IF(MAX(B52:BI52)&lt;0,"Beyond Month 60",INDEX($B$9:$BI$9,1,MATCH(TRUE,INDEX(B52:BI52&gt;=0,0),0)))</f>
        <v>Y5 M9</v>
      </c>
      <c r="C45" s="133">
        <f>-MIN(0,B52:BI52)</f>
        <v>2290474.7125000008</v>
      </c>
      <c r="D45" s="133">
        <f>BI52</f>
        <v>983353.41562499898</v>
      </c>
      <c r="E45" s="133" t="str">
        <f>IF(Scenario_Low_PL!C61&gt;=0,"Year 1",IF(Scenario_Low_PL!D61&gt;=0,"Year 2",IF(Scenario_Low_PL!E61&gt;=0,"Year 3",IF(Scenario_Low_PL!F61&gt;=0,"Year 4",IF(Scenario_Low_PL!G61&gt;=0,"Year 5","Beyond Year 5")))))</f>
        <v>Year 5</v>
      </c>
      <c r="F45" s="133">
        <f>MAX(Scenario_Low_PL!C66:G66)</f>
        <v>2977617</v>
      </c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</row>
    <row r="46" spans="1:63" ht="29" customHeight="1">
      <c r="A46" s="130" t="s">
        <v>76</v>
      </c>
      <c r="B46" s="133" t="str">
        <f>IF(MAX(B53:BI53)&lt;0,"Beyond Month 60",INDEX($B$9:$BI$9,1,MATCH(TRUE,INDEX(B53:BI53&gt;=0,0),0)))</f>
        <v>Y4 M5</v>
      </c>
      <c r="C46" s="133">
        <f>-MIN(0,B53:BI53)</f>
        <v>1269402.0625</v>
      </c>
      <c r="D46" s="133">
        <f>BI53</f>
        <v>12220136.128125004</v>
      </c>
      <c r="E46" s="133" t="str">
        <f>IF(Scenario_Base_PL!C61&gt;=0,"Year 1",IF(Scenario_Base_PL!D61&gt;=0,"Year 2",IF(Scenario_Base_PL!E61&gt;=0,"Year 3",IF(Scenario_Base_PL!F61&gt;=0,"Year 4",IF(Scenario_Base_PL!G61&gt;=0,"Year 5","Beyond Year 5")))))</f>
        <v>Year 3</v>
      </c>
      <c r="F46" s="133">
        <f>MAX(Scenario_Base_PL!C66:G66)</f>
        <v>1650223</v>
      </c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</row>
    <row r="47" spans="1:63" ht="29" customHeight="1">
      <c r="A47" s="130" t="s">
        <v>77</v>
      </c>
      <c r="B47" s="133" t="str">
        <f>IF(MAX(B54:BI54)&lt;0,"Beyond Month 60",INDEX($B$9:$BI$9,1,MATCH(TRUE,INDEX(B54:BI54&gt;=0,0),0)))</f>
        <v>Y3 M5</v>
      </c>
      <c r="C47" s="133">
        <f>-MIN(0,B54:BI54)</f>
        <v>766670.51249999995</v>
      </c>
      <c r="D47" s="133">
        <f>BI54</f>
        <v>31816705.221874997</v>
      </c>
      <c r="E47" s="133" t="str">
        <f>IF(Scenario_High_PL!C61&gt;=0,"Year 1",IF(Scenario_High_PL!D61&gt;=0,"Year 2",IF(Scenario_High_PL!E61&gt;=0,"Year 3",IF(Scenario_High_PL!F61&gt;=0,"Year 4",IF(Scenario_High_PL!G61&gt;=0,"Year 5","Beyond Year 5")))))</f>
        <v>Year 2</v>
      </c>
      <c r="F47" s="133">
        <f>MAX(Scenario_High_PL!C66:G66)</f>
        <v>1236672</v>
      </c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</row>
    <row r="48" spans="1:63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</row>
    <row r="49" spans="1:61">
      <c r="A49" s="244" t="s">
        <v>610</v>
      </c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245"/>
      <c r="AZ49" s="245"/>
      <c r="BA49" s="245"/>
      <c r="BB49" s="245"/>
      <c r="BC49" s="245"/>
      <c r="BD49" s="245"/>
      <c r="BE49" s="245"/>
      <c r="BF49" s="245"/>
      <c r="BG49" s="245"/>
      <c r="BH49" s="245"/>
      <c r="BI49" s="245"/>
    </row>
    <row r="50" spans="1:6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</row>
    <row r="51" spans="1:61">
      <c r="A51" s="128" t="s">
        <v>606</v>
      </c>
      <c r="B51" s="128" t="str">
        <f>Cash_Flow_Statement!B9</f>
        <v>Y1 M1</v>
      </c>
      <c r="C51" s="128" t="str">
        <f>Cash_Flow_Statement!C9</f>
        <v>Y1 M2</v>
      </c>
      <c r="D51" s="128" t="str">
        <f>Cash_Flow_Statement!D9</f>
        <v>Y1 M3</v>
      </c>
      <c r="E51" s="128" t="str">
        <f>Cash_Flow_Statement!E9</f>
        <v>Y1 M4</v>
      </c>
      <c r="F51" s="128" t="str">
        <f>Cash_Flow_Statement!F9</f>
        <v>Y1 M5</v>
      </c>
      <c r="G51" s="128" t="str">
        <f>Cash_Flow_Statement!G9</f>
        <v>Y1 M6</v>
      </c>
      <c r="H51" s="128" t="str">
        <f>Cash_Flow_Statement!H9</f>
        <v>Y1 M7</v>
      </c>
      <c r="I51" s="128" t="str">
        <f>Cash_Flow_Statement!I9</f>
        <v>Y1 M8</v>
      </c>
      <c r="J51" s="128" t="str">
        <f>Cash_Flow_Statement!J9</f>
        <v>Y1 M9</v>
      </c>
      <c r="K51" s="128" t="str">
        <f>Cash_Flow_Statement!K9</f>
        <v>Y1 M10</v>
      </c>
      <c r="L51" s="128" t="str">
        <f>Cash_Flow_Statement!L9</f>
        <v>Y1 M11</v>
      </c>
      <c r="M51" s="128" t="str">
        <f>Cash_Flow_Statement!M9</f>
        <v>Y1 M12</v>
      </c>
      <c r="N51" s="128" t="str">
        <f>Cash_Flow_Statement!N9</f>
        <v>Y2 M1</v>
      </c>
      <c r="O51" s="128" t="str">
        <f>Cash_Flow_Statement!O9</f>
        <v>Y2 M2</v>
      </c>
      <c r="P51" s="128" t="str">
        <f>Cash_Flow_Statement!P9</f>
        <v>Y2 M3</v>
      </c>
      <c r="Q51" s="128" t="str">
        <f>Cash_Flow_Statement!Q9</f>
        <v>Y2 M4</v>
      </c>
      <c r="R51" s="128" t="str">
        <f>Cash_Flow_Statement!R9</f>
        <v>Y2 M5</v>
      </c>
      <c r="S51" s="128" t="str">
        <f>Cash_Flow_Statement!S9</f>
        <v>Y2 M6</v>
      </c>
      <c r="T51" s="128" t="str">
        <f>Cash_Flow_Statement!T9</f>
        <v>Y2 M7</v>
      </c>
      <c r="U51" s="128" t="str">
        <f>Cash_Flow_Statement!U9</f>
        <v>Y2 M8</v>
      </c>
      <c r="V51" s="128" t="str">
        <f>Cash_Flow_Statement!V9</f>
        <v>Y2 M9</v>
      </c>
      <c r="W51" s="128" t="str">
        <f>Cash_Flow_Statement!W9</f>
        <v>Y2 M10</v>
      </c>
      <c r="X51" s="128" t="str">
        <f>Cash_Flow_Statement!X9</f>
        <v>Y2 M11</v>
      </c>
      <c r="Y51" s="128" t="str">
        <f>Cash_Flow_Statement!Y9</f>
        <v>Y2 M12</v>
      </c>
      <c r="Z51" s="128" t="str">
        <f>Cash_Flow_Statement!Z9</f>
        <v>Y3 M1</v>
      </c>
      <c r="AA51" s="128" t="str">
        <f>Cash_Flow_Statement!AA9</f>
        <v>Y3 M2</v>
      </c>
      <c r="AB51" s="128" t="str">
        <f>Cash_Flow_Statement!AB9</f>
        <v>Y3 M3</v>
      </c>
      <c r="AC51" s="128" t="str">
        <f>Cash_Flow_Statement!AC9</f>
        <v>Y3 M4</v>
      </c>
      <c r="AD51" s="128" t="str">
        <f>Cash_Flow_Statement!AD9</f>
        <v>Y3 M5</v>
      </c>
      <c r="AE51" s="128" t="str">
        <f>Cash_Flow_Statement!AE9</f>
        <v>Y3 M6</v>
      </c>
      <c r="AF51" s="128" t="str">
        <f>Cash_Flow_Statement!AF9</f>
        <v>Y3 M7</v>
      </c>
      <c r="AG51" s="128" t="str">
        <f>Cash_Flow_Statement!AG9</f>
        <v>Y3 M8</v>
      </c>
      <c r="AH51" s="128" t="str">
        <f>Cash_Flow_Statement!AH9</f>
        <v>Y3 M9</v>
      </c>
      <c r="AI51" s="128" t="str">
        <f>Cash_Flow_Statement!AI9</f>
        <v>Y3 M10</v>
      </c>
      <c r="AJ51" s="128" t="str">
        <f>Cash_Flow_Statement!AJ9</f>
        <v>Y3 M11</v>
      </c>
      <c r="AK51" s="128" t="str">
        <f>Cash_Flow_Statement!AK9</f>
        <v>Y3 M12</v>
      </c>
      <c r="AL51" s="128" t="str">
        <f>Cash_Flow_Statement!AL9</f>
        <v>Y4 M1</v>
      </c>
      <c r="AM51" s="128" t="str">
        <f>Cash_Flow_Statement!AM9</f>
        <v>Y4 M2</v>
      </c>
      <c r="AN51" s="128" t="str">
        <f>Cash_Flow_Statement!AN9</f>
        <v>Y4 M3</v>
      </c>
      <c r="AO51" s="128" t="str">
        <f>Cash_Flow_Statement!AO9</f>
        <v>Y4 M4</v>
      </c>
      <c r="AP51" s="128" t="str">
        <f>Cash_Flow_Statement!AP9</f>
        <v>Y4 M5</v>
      </c>
      <c r="AQ51" s="128" t="str">
        <f>Cash_Flow_Statement!AQ9</f>
        <v>Y4 M6</v>
      </c>
      <c r="AR51" s="128" t="str">
        <f>Cash_Flow_Statement!AR9</f>
        <v>Y4 M7</v>
      </c>
      <c r="AS51" s="128" t="str">
        <f>Cash_Flow_Statement!AS9</f>
        <v>Y4 M8</v>
      </c>
      <c r="AT51" s="128" t="str">
        <f>Cash_Flow_Statement!AT9</f>
        <v>Y4 M9</v>
      </c>
      <c r="AU51" s="128" t="str">
        <f>Cash_Flow_Statement!AU9</f>
        <v>Y4 M10</v>
      </c>
      <c r="AV51" s="128" t="str">
        <f>Cash_Flow_Statement!AV9</f>
        <v>Y4 M11</v>
      </c>
      <c r="AW51" s="128" t="str">
        <f>Cash_Flow_Statement!AW9</f>
        <v>Y4 M12</v>
      </c>
      <c r="AX51" s="128" t="str">
        <f>Cash_Flow_Statement!AX9</f>
        <v>Y5 M1</v>
      </c>
      <c r="AY51" s="128" t="str">
        <f>Cash_Flow_Statement!AY9</f>
        <v>Y5 M2</v>
      </c>
      <c r="AZ51" s="128" t="str">
        <f>Cash_Flow_Statement!AZ9</f>
        <v>Y5 M3</v>
      </c>
      <c r="BA51" s="128" t="str">
        <f>Cash_Flow_Statement!BA9</f>
        <v>Y5 M4</v>
      </c>
      <c r="BB51" s="128" t="str">
        <f>Cash_Flow_Statement!BB9</f>
        <v>Y5 M5</v>
      </c>
      <c r="BC51" s="128" t="str">
        <f>Cash_Flow_Statement!BC9</f>
        <v>Y5 M6</v>
      </c>
      <c r="BD51" s="128" t="str">
        <f>Cash_Flow_Statement!BD9</f>
        <v>Y5 M7</v>
      </c>
      <c r="BE51" s="128" t="str">
        <f>Cash_Flow_Statement!BE9</f>
        <v>Y5 M8</v>
      </c>
      <c r="BF51" s="128" t="str">
        <f>Cash_Flow_Statement!BF9</f>
        <v>Y5 M9</v>
      </c>
      <c r="BG51" s="128" t="str">
        <f>Cash_Flow_Statement!BG9</f>
        <v>Y5 M10</v>
      </c>
      <c r="BH51" s="128" t="str">
        <f>Cash_Flow_Statement!BH9</f>
        <v>Y5 M11</v>
      </c>
      <c r="BI51" s="128" t="str">
        <f>Cash_Flow_Statement!BI9</f>
        <v>Y5 M12</v>
      </c>
    </row>
    <row r="52" spans="1:61">
      <c r="A52" s="132" t="s">
        <v>75</v>
      </c>
      <c r="B52" s="133">
        <f>(IF(B$7=1,IF(B$8&lt;=Assumptions!$F$59,0,INDEX(Scenario_Low_PL!$C$18:$G$18,1,B$7)/MAX(1,12-Assumptions!$F$59)),INDEX(Scenario_Low_PL!$C$18:$G$18,1,B$7)/12))-(IF(B$7=1,IF(B$8&lt;=Assumptions!$F$59,0,INDEX(Scenario_Low_PL!$C$29:$G$29,1,B$7)/MAX(1,12-Assumptions!$F$59)),INDEX(Scenario_Low_PL!$C$29:$G$29,1,B$7)/12))-(INDEX(Scenario_Low_PL!$C$42:$G$42,1,B$7)/12)-(INDEX(Scenario_Low_PL!$C$56:$G$56,1,B$7)/12)-(IF(B$6&lt;=6,Scenario_Low_PL!$C$58/6,0))</f>
        <v>-93302.074999999997</v>
      </c>
      <c r="C52" s="133">
        <f>B52+((IF(C$7=1,IF(C$8&lt;=Assumptions!$F$59,0,INDEX(Scenario_Low_PL!$C$18:$G$18,1,C$7)/MAX(1,12-Assumptions!$F$59)),INDEX(Scenario_Low_PL!$C$18:$G$18,1,C$7)/12))-(IF(C$7=1,IF(C$8&lt;=Assumptions!$F$59,0,INDEX(Scenario_Low_PL!$C$29:$G$29,1,C$7)/MAX(1,12-Assumptions!$F$59)),INDEX(Scenario_Low_PL!$C$29:$G$29,1,C$7)/12))-(INDEX(Scenario_Low_PL!$C$42:$G$42,1,C$7)/12)-(INDEX(Scenario_Low_PL!$C$56:$G$56,1,C$7)/12)-(IF(C$6&lt;=6,Scenario_Low_PL!$C$58/6,0)))</f>
        <v>-186604.15</v>
      </c>
      <c r="D52" s="133">
        <f>C52+((IF(D$7=1,IF(D$8&lt;=Assumptions!$F$59,0,INDEX(Scenario_Low_PL!$C$18:$G$18,1,D$7)/MAX(1,12-Assumptions!$F$59)),INDEX(Scenario_Low_PL!$C$18:$G$18,1,D$7)/12))-(IF(D$7=1,IF(D$8&lt;=Assumptions!$F$59,0,INDEX(Scenario_Low_PL!$C$29:$G$29,1,D$7)/MAX(1,12-Assumptions!$F$59)),INDEX(Scenario_Low_PL!$C$29:$G$29,1,D$7)/12))-(INDEX(Scenario_Low_PL!$C$42:$G$42,1,D$7)/12)-(INDEX(Scenario_Low_PL!$C$56:$G$56,1,D$7)/12)-(IF(D$6&lt;=6,Scenario_Low_PL!$C$58/6,0)))</f>
        <v>-279906.22499999998</v>
      </c>
      <c r="E52" s="133">
        <f>D52+((IF(E$7=1,IF(E$8&lt;=Assumptions!$F$59,0,INDEX(Scenario_Low_PL!$C$18:$G$18,1,E$7)/MAX(1,12-Assumptions!$F$59)),INDEX(Scenario_Low_PL!$C$18:$G$18,1,E$7)/12))-(IF(E$7=1,IF(E$8&lt;=Assumptions!$F$59,0,INDEX(Scenario_Low_PL!$C$29:$G$29,1,E$7)/MAX(1,12-Assumptions!$F$59)),INDEX(Scenario_Low_PL!$C$29:$G$29,1,E$7)/12))-(INDEX(Scenario_Low_PL!$C$42:$G$42,1,E$7)/12)-(INDEX(Scenario_Low_PL!$C$56:$G$56,1,E$7)/12)-(IF(E$6&lt;=6,Scenario_Low_PL!$C$58/6,0)))</f>
        <v>-373208.3</v>
      </c>
      <c r="F52" s="133">
        <f>E52+((IF(F$7=1,IF(F$8&lt;=Assumptions!$F$59,0,INDEX(Scenario_Low_PL!$C$18:$G$18,1,F$7)/MAX(1,12-Assumptions!$F$59)),INDEX(Scenario_Low_PL!$C$18:$G$18,1,F$7)/12))-(IF(F$7=1,IF(F$8&lt;=Assumptions!$F$59,0,INDEX(Scenario_Low_PL!$C$29:$G$29,1,F$7)/MAX(1,12-Assumptions!$F$59)),INDEX(Scenario_Low_PL!$C$29:$G$29,1,F$7)/12))-(INDEX(Scenario_Low_PL!$C$42:$G$42,1,F$7)/12)-(INDEX(Scenario_Low_PL!$C$56:$G$56,1,F$7)/12)-(IF(F$6&lt;=6,Scenario_Low_PL!$C$58/6,0)))</f>
        <v>-466510.375</v>
      </c>
      <c r="G52" s="133">
        <f>F52+((IF(G$7=1,IF(G$8&lt;=Assumptions!$F$59,0,INDEX(Scenario_Low_PL!$C$18:$G$18,1,G$7)/MAX(1,12-Assumptions!$F$59)),INDEX(Scenario_Low_PL!$C$18:$G$18,1,G$7)/12))-(IF(G$7=1,IF(G$8&lt;=Assumptions!$F$59,0,INDEX(Scenario_Low_PL!$C$29:$G$29,1,G$7)/MAX(1,12-Assumptions!$F$59)),INDEX(Scenario_Low_PL!$C$29:$G$29,1,G$7)/12))-(INDEX(Scenario_Low_PL!$C$42:$G$42,1,G$7)/12)-(INDEX(Scenario_Low_PL!$C$56:$G$56,1,G$7)/12)-(IF(G$6&lt;=6,Scenario_Low_PL!$C$58/6,0)))</f>
        <v>-559812.44999999995</v>
      </c>
      <c r="H52" s="133">
        <f>G52+((IF(H$7=1,IF(H$8&lt;=Assumptions!$F$59,0,INDEX(Scenario_Low_PL!$C$18:$G$18,1,H$7)/MAX(1,12-Assumptions!$F$59)),INDEX(Scenario_Low_PL!$C$18:$G$18,1,H$7)/12))-(IF(H$7=1,IF(H$8&lt;=Assumptions!$F$59,0,INDEX(Scenario_Low_PL!$C$29:$G$29,1,H$7)/MAX(1,12-Assumptions!$F$59)),INDEX(Scenario_Low_PL!$C$29:$G$29,1,H$7)/12))-(INDEX(Scenario_Low_PL!$C$42:$G$42,1,H$7)/12)-(INDEX(Scenario_Low_PL!$C$56:$G$56,1,H$7)/12)-(IF(H$6&lt;=6,Scenario_Low_PL!$C$58/6,0)))</f>
        <v>-609184.44557291665</v>
      </c>
      <c r="I52" s="133">
        <f>H52+((IF(I$7=1,IF(I$8&lt;=Assumptions!$F$59,0,INDEX(Scenario_Low_PL!$C$18:$G$18,1,I$7)/MAX(1,12-Assumptions!$F$59)),INDEX(Scenario_Low_PL!$C$18:$G$18,1,I$7)/12))-(IF(I$7=1,IF(I$8&lt;=Assumptions!$F$59,0,INDEX(Scenario_Low_PL!$C$29:$G$29,1,I$7)/MAX(1,12-Assumptions!$F$59)),INDEX(Scenario_Low_PL!$C$29:$G$29,1,I$7)/12))-(INDEX(Scenario_Low_PL!$C$42:$G$42,1,I$7)/12)-(INDEX(Scenario_Low_PL!$C$56:$G$56,1,I$7)/12)-(IF(I$6&lt;=6,Scenario_Low_PL!$C$58/6,0)))</f>
        <v>-658556.44114583335</v>
      </c>
      <c r="J52" s="133">
        <f>I52+((IF(J$7=1,IF(J$8&lt;=Assumptions!$F$59,0,INDEX(Scenario_Low_PL!$C$18:$G$18,1,J$7)/MAX(1,12-Assumptions!$F$59)),INDEX(Scenario_Low_PL!$C$18:$G$18,1,J$7)/12))-(IF(J$7=1,IF(J$8&lt;=Assumptions!$F$59,0,INDEX(Scenario_Low_PL!$C$29:$G$29,1,J$7)/MAX(1,12-Assumptions!$F$59)),INDEX(Scenario_Low_PL!$C$29:$G$29,1,J$7)/12))-(INDEX(Scenario_Low_PL!$C$42:$G$42,1,J$7)/12)-(INDEX(Scenario_Low_PL!$C$56:$G$56,1,J$7)/12)-(IF(J$6&lt;=6,Scenario_Low_PL!$C$58/6,0)))</f>
        <v>-707928.43671875005</v>
      </c>
      <c r="K52" s="133">
        <f>J52+((IF(K$7=1,IF(K$8&lt;=Assumptions!$F$59,0,INDEX(Scenario_Low_PL!$C$18:$G$18,1,K$7)/MAX(1,12-Assumptions!$F$59)),INDEX(Scenario_Low_PL!$C$18:$G$18,1,K$7)/12))-(IF(K$7=1,IF(K$8&lt;=Assumptions!$F$59,0,INDEX(Scenario_Low_PL!$C$29:$G$29,1,K$7)/MAX(1,12-Assumptions!$F$59)),INDEX(Scenario_Low_PL!$C$29:$G$29,1,K$7)/12))-(INDEX(Scenario_Low_PL!$C$42:$G$42,1,K$7)/12)-(INDEX(Scenario_Low_PL!$C$56:$G$56,1,K$7)/12)-(IF(K$6&lt;=6,Scenario_Low_PL!$C$58/6,0)))</f>
        <v>-757300.43229166674</v>
      </c>
      <c r="L52" s="133">
        <f>K52+((IF(L$7=1,IF(L$8&lt;=Assumptions!$F$59,0,INDEX(Scenario_Low_PL!$C$18:$G$18,1,L$7)/MAX(1,12-Assumptions!$F$59)),INDEX(Scenario_Low_PL!$C$18:$G$18,1,L$7)/12))-(IF(L$7=1,IF(L$8&lt;=Assumptions!$F$59,0,INDEX(Scenario_Low_PL!$C$29:$G$29,1,L$7)/MAX(1,12-Assumptions!$F$59)),INDEX(Scenario_Low_PL!$C$29:$G$29,1,L$7)/12))-(INDEX(Scenario_Low_PL!$C$42:$G$42,1,L$7)/12)-(INDEX(Scenario_Low_PL!$C$56:$G$56,1,L$7)/12)-(IF(L$6&lt;=6,Scenario_Low_PL!$C$58/6,0)))</f>
        <v>-806672.42786458344</v>
      </c>
      <c r="M52" s="133">
        <f>L52+((IF(M$7=1,IF(M$8&lt;=Assumptions!$F$59,0,INDEX(Scenario_Low_PL!$C$18:$G$18,1,M$7)/MAX(1,12-Assumptions!$F$59)),INDEX(Scenario_Low_PL!$C$18:$G$18,1,M$7)/12))-(IF(M$7=1,IF(M$8&lt;=Assumptions!$F$59,0,INDEX(Scenario_Low_PL!$C$29:$G$29,1,M$7)/MAX(1,12-Assumptions!$F$59)),INDEX(Scenario_Low_PL!$C$29:$G$29,1,M$7)/12))-(INDEX(Scenario_Low_PL!$C$42:$G$42,1,M$7)/12)-(INDEX(Scenario_Low_PL!$C$56:$G$56,1,M$7)/12)-(IF(M$6&lt;=6,Scenario_Low_PL!$C$58/6,0)))</f>
        <v>-856044.42343750014</v>
      </c>
      <c r="N52" s="133">
        <f>M52+((IF(N$7=1,IF(N$8&lt;=Assumptions!$F$59,0,INDEX(Scenario_Low_PL!$C$18:$G$18,1,N$7)/MAX(1,12-Assumptions!$F$59)),INDEX(Scenario_Low_PL!$C$18:$G$18,1,N$7)/12))-(IF(N$7=1,IF(N$8&lt;=Assumptions!$F$59,0,INDEX(Scenario_Low_PL!$C$29:$G$29,1,N$7)/MAX(1,12-Assumptions!$F$59)),INDEX(Scenario_Low_PL!$C$29:$G$29,1,N$7)/12))-(INDEX(Scenario_Low_PL!$C$42:$G$42,1,N$7)/12)-(INDEX(Scenario_Low_PL!$C$56:$G$56,1,N$7)/12)-(IF(N$6&lt;=6,Scenario_Low_PL!$C$58/6,0)))</f>
        <v>-914330.91497395851</v>
      </c>
      <c r="O52" s="133">
        <f>N52+((IF(O$7=1,IF(O$8&lt;=Assumptions!$F$59,0,INDEX(Scenario_Low_PL!$C$18:$G$18,1,O$7)/MAX(1,12-Assumptions!$F$59)),INDEX(Scenario_Low_PL!$C$18:$G$18,1,O$7)/12))-(IF(O$7=1,IF(O$8&lt;=Assumptions!$F$59,0,INDEX(Scenario_Low_PL!$C$29:$G$29,1,O$7)/MAX(1,12-Assumptions!$F$59)),INDEX(Scenario_Low_PL!$C$29:$G$29,1,O$7)/12))-(INDEX(Scenario_Low_PL!$C$42:$G$42,1,O$7)/12)-(INDEX(Scenario_Low_PL!$C$56:$G$56,1,O$7)/12)-(IF(O$6&lt;=6,Scenario_Low_PL!$C$58/6,0)))</f>
        <v>-972617.40651041688</v>
      </c>
      <c r="P52" s="133">
        <f>O52+((IF(P$7=1,IF(P$8&lt;=Assumptions!$F$59,0,INDEX(Scenario_Low_PL!$C$18:$G$18,1,P$7)/MAX(1,12-Assumptions!$F$59)),INDEX(Scenario_Low_PL!$C$18:$G$18,1,P$7)/12))-(IF(P$7=1,IF(P$8&lt;=Assumptions!$F$59,0,INDEX(Scenario_Low_PL!$C$29:$G$29,1,P$7)/MAX(1,12-Assumptions!$F$59)),INDEX(Scenario_Low_PL!$C$29:$G$29,1,P$7)/12))-(INDEX(Scenario_Low_PL!$C$42:$G$42,1,P$7)/12)-(INDEX(Scenario_Low_PL!$C$56:$G$56,1,P$7)/12)-(IF(P$6&lt;=6,Scenario_Low_PL!$C$58/6,0)))</f>
        <v>-1030903.8980468753</v>
      </c>
      <c r="Q52" s="133">
        <f>P52+((IF(Q$7=1,IF(Q$8&lt;=Assumptions!$F$59,0,INDEX(Scenario_Low_PL!$C$18:$G$18,1,Q$7)/MAX(1,12-Assumptions!$F$59)),INDEX(Scenario_Low_PL!$C$18:$G$18,1,Q$7)/12))-(IF(Q$7=1,IF(Q$8&lt;=Assumptions!$F$59,0,INDEX(Scenario_Low_PL!$C$29:$G$29,1,Q$7)/MAX(1,12-Assumptions!$F$59)),INDEX(Scenario_Low_PL!$C$29:$G$29,1,Q$7)/12))-(INDEX(Scenario_Low_PL!$C$42:$G$42,1,Q$7)/12)-(INDEX(Scenario_Low_PL!$C$56:$G$56,1,Q$7)/12)-(IF(Q$6&lt;=6,Scenario_Low_PL!$C$58/6,0)))</f>
        <v>-1089190.3895833336</v>
      </c>
      <c r="R52" s="133">
        <f>Q52+((IF(R$7=1,IF(R$8&lt;=Assumptions!$F$59,0,INDEX(Scenario_Low_PL!$C$18:$G$18,1,R$7)/MAX(1,12-Assumptions!$F$59)),INDEX(Scenario_Low_PL!$C$18:$G$18,1,R$7)/12))-(IF(R$7=1,IF(R$8&lt;=Assumptions!$F$59,0,INDEX(Scenario_Low_PL!$C$29:$G$29,1,R$7)/MAX(1,12-Assumptions!$F$59)),INDEX(Scenario_Low_PL!$C$29:$G$29,1,R$7)/12))-(INDEX(Scenario_Low_PL!$C$42:$G$42,1,R$7)/12)-(INDEX(Scenario_Low_PL!$C$56:$G$56,1,R$7)/12)-(IF(R$6&lt;=6,Scenario_Low_PL!$C$58/6,0)))</f>
        <v>-1147476.8811197919</v>
      </c>
      <c r="S52" s="133">
        <f>R52+((IF(S$7=1,IF(S$8&lt;=Assumptions!$F$59,0,INDEX(Scenario_Low_PL!$C$18:$G$18,1,S$7)/MAX(1,12-Assumptions!$F$59)),INDEX(Scenario_Low_PL!$C$18:$G$18,1,S$7)/12))-(IF(S$7=1,IF(S$8&lt;=Assumptions!$F$59,0,INDEX(Scenario_Low_PL!$C$29:$G$29,1,S$7)/MAX(1,12-Assumptions!$F$59)),INDEX(Scenario_Low_PL!$C$29:$G$29,1,S$7)/12))-(INDEX(Scenario_Low_PL!$C$42:$G$42,1,S$7)/12)-(INDEX(Scenario_Low_PL!$C$56:$G$56,1,S$7)/12)-(IF(S$6&lt;=6,Scenario_Low_PL!$C$58/6,0)))</f>
        <v>-1205763.3726562501</v>
      </c>
      <c r="T52" s="133">
        <f>S52+((IF(T$7=1,IF(T$8&lt;=Assumptions!$F$59,0,INDEX(Scenario_Low_PL!$C$18:$G$18,1,T$7)/MAX(1,12-Assumptions!$F$59)),INDEX(Scenario_Low_PL!$C$18:$G$18,1,T$7)/12))-(IF(T$7=1,IF(T$8&lt;=Assumptions!$F$59,0,INDEX(Scenario_Low_PL!$C$29:$G$29,1,T$7)/MAX(1,12-Assumptions!$F$59)),INDEX(Scenario_Low_PL!$C$29:$G$29,1,T$7)/12))-(INDEX(Scenario_Low_PL!$C$42:$G$42,1,T$7)/12)-(INDEX(Scenario_Low_PL!$C$56:$G$56,1,T$7)/12)-(IF(T$6&lt;=6,Scenario_Low_PL!$C$58/6,0)))</f>
        <v>-1264049.8641927084</v>
      </c>
      <c r="U52" s="133">
        <f>T52+((IF(U$7=1,IF(U$8&lt;=Assumptions!$F$59,0,INDEX(Scenario_Low_PL!$C$18:$G$18,1,U$7)/MAX(1,12-Assumptions!$F$59)),INDEX(Scenario_Low_PL!$C$18:$G$18,1,U$7)/12))-(IF(U$7=1,IF(U$8&lt;=Assumptions!$F$59,0,INDEX(Scenario_Low_PL!$C$29:$G$29,1,U$7)/MAX(1,12-Assumptions!$F$59)),INDEX(Scenario_Low_PL!$C$29:$G$29,1,U$7)/12))-(INDEX(Scenario_Low_PL!$C$42:$G$42,1,U$7)/12)-(INDEX(Scenario_Low_PL!$C$56:$G$56,1,U$7)/12)-(IF(U$6&lt;=6,Scenario_Low_PL!$C$58/6,0)))</f>
        <v>-1322336.3557291667</v>
      </c>
      <c r="V52" s="133">
        <f>U52+((IF(V$7=1,IF(V$8&lt;=Assumptions!$F$59,0,INDEX(Scenario_Low_PL!$C$18:$G$18,1,V$7)/MAX(1,12-Assumptions!$F$59)),INDEX(Scenario_Low_PL!$C$18:$G$18,1,V$7)/12))-(IF(V$7=1,IF(V$8&lt;=Assumptions!$F$59,0,INDEX(Scenario_Low_PL!$C$29:$G$29,1,V$7)/MAX(1,12-Assumptions!$F$59)),INDEX(Scenario_Low_PL!$C$29:$G$29,1,V$7)/12))-(INDEX(Scenario_Low_PL!$C$42:$G$42,1,V$7)/12)-(INDEX(Scenario_Low_PL!$C$56:$G$56,1,V$7)/12)-(IF(V$6&lt;=6,Scenario_Low_PL!$C$58/6,0)))</f>
        <v>-1380622.8472656249</v>
      </c>
      <c r="W52" s="133">
        <f>V52+((IF(W$7=1,IF(W$8&lt;=Assumptions!$F$59,0,INDEX(Scenario_Low_PL!$C$18:$G$18,1,W$7)/MAX(1,12-Assumptions!$F$59)),INDEX(Scenario_Low_PL!$C$18:$G$18,1,W$7)/12))-(IF(W$7=1,IF(W$8&lt;=Assumptions!$F$59,0,INDEX(Scenario_Low_PL!$C$29:$G$29,1,W$7)/MAX(1,12-Assumptions!$F$59)),INDEX(Scenario_Low_PL!$C$29:$G$29,1,W$7)/12))-(INDEX(Scenario_Low_PL!$C$42:$G$42,1,W$7)/12)-(INDEX(Scenario_Low_PL!$C$56:$G$56,1,W$7)/12)-(IF(W$6&lt;=6,Scenario_Low_PL!$C$58/6,0)))</f>
        <v>-1438909.3388020832</v>
      </c>
      <c r="X52" s="133">
        <f>W52+((IF(X$7=1,IF(X$8&lt;=Assumptions!$F$59,0,INDEX(Scenario_Low_PL!$C$18:$G$18,1,X$7)/MAX(1,12-Assumptions!$F$59)),INDEX(Scenario_Low_PL!$C$18:$G$18,1,X$7)/12))-(IF(X$7=1,IF(X$8&lt;=Assumptions!$F$59,0,INDEX(Scenario_Low_PL!$C$29:$G$29,1,X$7)/MAX(1,12-Assumptions!$F$59)),INDEX(Scenario_Low_PL!$C$29:$G$29,1,X$7)/12))-(INDEX(Scenario_Low_PL!$C$42:$G$42,1,X$7)/12)-(INDEX(Scenario_Low_PL!$C$56:$G$56,1,X$7)/12)-(IF(X$6&lt;=6,Scenario_Low_PL!$C$58/6,0)))</f>
        <v>-1497195.8303385414</v>
      </c>
      <c r="Y52" s="133">
        <f>X52+((IF(Y$7=1,IF(Y$8&lt;=Assumptions!$F$59,0,INDEX(Scenario_Low_PL!$C$18:$G$18,1,Y$7)/MAX(1,12-Assumptions!$F$59)),INDEX(Scenario_Low_PL!$C$18:$G$18,1,Y$7)/12))-(IF(Y$7=1,IF(Y$8&lt;=Assumptions!$F$59,0,INDEX(Scenario_Low_PL!$C$29:$G$29,1,Y$7)/MAX(1,12-Assumptions!$F$59)),INDEX(Scenario_Low_PL!$C$29:$G$29,1,Y$7)/12))-(INDEX(Scenario_Low_PL!$C$42:$G$42,1,Y$7)/12)-(INDEX(Scenario_Low_PL!$C$56:$G$56,1,Y$7)/12)-(IF(Y$6&lt;=6,Scenario_Low_PL!$C$58/6,0)))</f>
        <v>-1555482.3218749997</v>
      </c>
      <c r="Z52" s="133">
        <f>Y52+((IF(Z$7=1,IF(Z$8&lt;=Assumptions!$F$59,0,INDEX(Scenario_Low_PL!$C$18:$G$18,1,Z$7)/MAX(1,12-Assumptions!$F$59)),INDEX(Scenario_Low_PL!$C$18:$G$18,1,Z$7)/12))-(IF(Z$7=1,IF(Z$8&lt;=Assumptions!$F$59,0,INDEX(Scenario_Low_PL!$C$29:$G$29,1,Z$7)/MAX(1,12-Assumptions!$F$59)),INDEX(Scenario_Low_PL!$C$29:$G$29,1,Z$7)/12))-(INDEX(Scenario_Low_PL!$C$42:$G$42,1,Z$7)/12)-(INDEX(Scenario_Low_PL!$C$56:$G$56,1,Z$7)/12)-(IF(Z$6&lt;=6,Scenario_Low_PL!$C$58/6,0)))</f>
        <v>-1604103.3739583329</v>
      </c>
      <c r="AA52" s="133">
        <f>Z52+((IF(AA$7=1,IF(AA$8&lt;=Assumptions!$F$59,0,INDEX(Scenario_Low_PL!$C$18:$G$18,1,AA$7)/MAX(1,12-Assumptions!$F$59)),INDEX(Scenario_Low_PL!$C$18:$G$18,1,AA$7)/12))-(IF(AA$7=1,IF(AA$8&lt;=Assumptions!$F$59,0,INDEX(Scenario_Low_PL!$C$29:$G$29,1,AA$7)/MAX(1,12-Assumptions!$F$59)),INDEX(Scenario_Low_PL!$C$29:$G$29,1,AA$7)/12))-(INDEX(Scenario_Low_PL!$C$42:$G$42,1,AA$7)/12)-(INDEX(Scenario_Low_PL!$C$56:$G$56,1,AA$7)/12)-(IF(AA$6&lt;=6,Scenario_Low_PL!$C$58/6,0)))</f>
        <v>-1652724.4260416662</v>
      </c>
      <c r="AB52" s="133">
        <f>AA52+((IF(AB$7=1,IF(AB$8&lt;=Assumptions!$F$59,0,INDEX(Scenario_Low_PL!$C$18:$G$18,1,AB$7)/MAX(1,12-Assumptions!$F$59)),INDEX(Scenario_Low_PL!$C$18:$G$18,1,AB$7)/12))-(IF(AB$7=1,IF(AB$8&lt;=Assumptions!$F$59,0,INDEX(Scenario_Low_PL!$C$29:$G$29,1,AB$7)/MAX(1,12-Assumptions!$F$59)),INDEX(Scenario_Low_PL!$C$29:$G$29,1,AB$7)/12))-(INDEX(Scenario_Low_PL!$C$42:$G$42,1,AB$7)/12)-(INDEX(Scenario_Low_PL!$C$56:$G$56,1,AB$7)/12)-(IF(AB$6&lt;=6,Scenario_Low_PL!$C$58/6,0)))</f>
        <v>-1701345.4781249994</v>
      </c>
      <c r="AC52" s="133">
        <f>AB52+((IF(AC$7=1,IF(AC$8&lt;=Assumptions!$F$59,0,INDEX(Scenario_Low_PL!$C$18:$G$18,1,AC$7)/MAX(1,12-Assumptions!$F$59)),INDEX(Scenario_Low_PL!$C$18:$G$18,1,AC$7)/12))-(IF(AC$7=1,IF(AC$8&lt;=Assumptions!$F$59,0,INDEX(Scenario_Low_PL!$C$29:$G$29,1,AC$7)/MAX(1,12-Assumptions!$F$59)),INDEX(Scenario_Low_PL!$C$29:$G$29,1,AC$7)/12))-(INDEX(Scenario_Low_PL!$C$42:$G$42,1,AC$7)/12)-(INDEX(Scenario_Low_PL!$C$56:$G$56,1,AC$7)/12)-(IF(AC$6&lt;=6,Scenario_Low_PL!$C$58/6,0)))</f>
        <v>-1749966.5302083327</v>
      </c>
      <c r="AD52" s="133">
        <f>AC52+((IF(AD$7=1,IF(AD$8&lt;=Assumptions!$F$59,0,INDEX(Scenario_Low_PL!$C$18:$G$18,1,AD$7)/MAX(1,12-Assumptions!$F$59)),INDEX(Scenario_Low_PL!$C$18:$G$18,1,AD$7)/12))-(IF(AD$7=1,IF(AD$8&lt;=Assumptions!$F$59,0,INDEX(Scenario_Low_PL!$C$29:$G$29,1,AD$7)/MAX(1,12-Assumptions!$F$59)),INDEX(Scenario_Low_PL!$C$29:$G$29,1,AD$7)/12))-(INDEX(Scenario_Low_PL!$C$42:$G$42,1,AD$7)/12)-(INDEX(Scenario_Low_PL!$C$56:$G$56,1,AD$7)/12)-(IF(AD$6&lt;=6,Scenario_Low_PL!$C$58/6,0)))</f>
        <v>-1798587.582291666</v>
      </c>
      <c r="AE52" s="133">
        <f>AD52+((IF(AE$7=1,IF(AE$8&lt;=Assumptions!$F$59,0,INDEX(Scenario_Low_PL!$C$18:$G$18,1,AE$7)/MAX(1,12-Assumptions!$F$59)),INDEX(Scenario_Low_PL!$C$18:$G$18,1,AE$7)/12))-(IF(AE$7=1,IF(AE$8&lt;=Assumptions!$F$59,0,INDEX(Scenario_Low_PL!$C$29:$G$29,1,AE$7)/MAX(1,12-Assumptions!$F$59)),INDEX(Scenario_Low_PL!$C$29:$G$29,1,AE$7)/12))-(INDEX(Scenario_Low_PL!$C$42:$G$42,1,AE$7)/12)-(INDEX(Scenario_Low_PL!$C$56:$G$56,1,AE$7)/12)-(IF(AE$6&lt;=6,Scenario_Low_PL!$C$58/6,0)))</f>
        <v>-1847208.6343749992</v>
      </c>
      <c r="AF52" s="133">
        <f>AE52+((IF(AF$7=1,IF(AF$8&lt;=Assumptions!$F$59,0,INDEX(Scenario_Low_PL!$C$18:$G$18,1,AF$7)/MAX(1,12-Assumptions!$F$59)),INDEX(Scenario_Low_PL!$C$18:$G$18,1,AF$7)/12))-(IF(AF$7=1,IF(AF$8&lt;=Assumptions!$F$59,0,INDEX(Scenario_Low_PL!$C$29:$G$29,1,AF$7)/MAX(1,12-Assumptions!$F$59)),INDEX(Scenario_Low_PL!$C$29:$G$29,1,AF$7)/12))-(INDEX(Scenario_Low_PL!$C$42:$G$42,1,AF$7)/12)-(INDEX(Scenario_Low_PL!$C$56:$G$56,1,AF$7)/12)-(IF(AF$6&lt;=6,Scenario_Low_PL!$C$58/6,0)))</f>
        <v>-1895829.6864583325</v>
      </c>
      <c r="AG52" s="133">
        <f>AF52+((IF(AG$7=1,IF(AG$8&lt;=Assumptions!$F$59,0,INDEX(Scenario_Low_PL!$C$18:$G$18,1,AG$7)/MAX(1,12-Assumptions!$F$59)),INDEX(Scenario_Low_PL!$C$18:$G$18,1,AG$7)/12))-(IF(AG$7=1,IF(AG$8&lt;=Assumptions!$F$59,0,INDEX(Scenario_Low_PL!$C$29:$G$29,1,AG$7)/MAX(1,12-Assumptions!$F$59)),INDEX(Scenario_Low_PL!$C$29:$G$29,1,AG$7)/12))-(INDEX(Scenario_Low_PL!$C$42:$G$42,1,AG$7)/12)-(INDEX(Scenario_Low_PL!$C$56:$G$56,1,AG$7)/12)-(IF(AG$6&lt;=6,Scenario_Low_PL!$C$58/6,0)))</f>
        <v>-1944450.7385416657</v>
      </c>
      <c r="AH52" s="133">
        <f>AG52+((IF(AH$7=1,IF(AH$8&lt;=Assumptions!$F$59,0,INDEX(Scenario_Low_PL!$C$18:$G$18,1,AH$7)/MAX(1,12-Assumptions!$F$59)),INDEX(Scenario_Low_PL!$C$18:$G$18,1,AH$7)/12))-(IF(AH$7=1,IF(AH$8&lt;=Assumptions!$F$59,0,INDEX(Scenario_Low_PL!$C$29:$G$29,1,AH$7)/MAX(1,12-Assumptions!$F$59)),INDEX(Scenario_Low_PL!$C$29:$G$29,1,AH$7)/12))-(INDEX(Scenario_Low_PL!$C$42:$G$42,1,AH$7)/12)-(INDEX(Scenario_Low_PL!$C$56:$G$56,1,AH$7)/12)-(IF(AH$6&lt;=6,Scenario_Low_PL!$C$58/6,0)))</f>
        <v>-1993071.790624999</v>
      </c>
      <c r="AI52" s="133">
        <f>AH52+((IF(AI$7=1,IF(AI$8&lt;=Assumptions!$F$59,0,INDEX(Scenario_Low_PL!$C$18:$G$18,1,AI$7)/MAX(1,12-Assumptions!$F$59)),INDEX(Scenario_Low_PL!$C$18:$G$18,1,AI$7)/12))-(IF(AI$7=1,IF(AI$8&lt;=Assumptions!$F$59,0,INDEX(Scenario_Low_PL!$C$29:$G$29,1,AI$7)/MAX(1,12-Assumptions!$F$59)),INDEX(Scenario_Low_PL!$C$29:$G$29,1,AI$7)/12))-(INDEX(Scenario_Low_PL!$C$42:$G$42,1,AI$7)/12)-(INDEX(Scenario_Low_PL!$C$56:$G$56,1,AI$7)/12)-(IF(AI$6&lt;=6,Scenario_Low_PL!$C$58/6,0)))</f>
        <v>-2041692.8427083322</v>
      </c>
      <c r="AJ52" s="133">
        <f>AI52+((IF(AJ$7=1,IF(AJ$8&lt;=Assumptions!$F$59,0,INDEX(Scenario_Low_PL!$C$18:$G$18,1,AJ$7)/MAX(1,12-Assumptions!$F$59)),INDEX(Scenario_Low_PL!$C$18:$G$18,1,AJ$7)/12))-(IF(AJ$7=1,IF(AJ$8&lt;=Assumptions!$F$59,0,INDEX(Scenario_Low_PL!$C$29:$G$29,1,AJ$7)/MAX(1,12-Assumptions!$F$59)),INDEX(Scenario_Low_PL!$C$29:$G$29,1,AJ$7)/12))-(INDEX(Scenario_Low_PL!$C$42:$G$42,1,AJ$7)/12)-(INDEX(Scenario_Low_PL!$C$56:$G$56,1,AJ$7)/12)-(IF(AJ$6&lt;=6,Scenario_Low_PL!$C$58/6,0)))</f>
        <v>-2090313.8947916655</v>
      </c>
      <c r="AK52" s="133">
        <f>AJ52+((IF(AK$7=1,IF(AK$8&lt;=Assumptions!$F$59,0,INDEX(Scenario_Low_PL!$C$18:$G$18,1,AK$7)/MAX(1,12-Assumptions!$F$59)),INDEX(Scenario_Low_PL!$C$18:$G$18,1,AK$7)/12))-(IF(AK$7=1,IF(AK$8&lt;=Assumptions!$F$59,0,INDEX(Scenario_Low_PL!$C$29:$G$29,1,AK$7)/MAX(1,12-Assumptions!$F$59)),INDEX(Scenario_Low_PL!$C$29:$G$29,1,AK$7)/12))-(INDEX(Scenario_Low_PL!$C$42:$G$42,1,AK$7)/12)-(INDEX(Scenario_Low_PL!$C$56:$G$56,1,AK$7)/12)-(IF(AK$6&lt;=6,Scenario_Low_PL!$C$58/6,0)))</f>
        <v>-2138934.946874999</v>
      </c>
      <c r="AL52" s="133">
        <f>AK52+((IF(AL$7=1,IF(AL$8&lt;=Assumptions!$F$59,0,INDEX(Scenario_Low_PL!$C$18:$G$18,1,AL$7)/MAX(1,12-Assumptions!$F$59)),INDEX(Scenario_Low_PL!$C$18:$G$18,1,AL$7)/12))-(IF(AL$7=1,IF(AL$8&lt;=Assumptions!$F$59,0,INDEX(Scenario_Low_PL!$C$29:$G$29,1,AL$7)/MAX(1,12-Assumptions!$F$59)),INDEX(Scenario_Low_PL!$C$29:$G$29,1,AL$7)/12))-(INDEX(Scenario_Low_PL!$C$42:$G$42,1,AL$7)/12)-(INDEX(Scenario_Low_PL!$C$56:$G$56,1,AL$7)/12)-(IF(AL$6&lt;=6,Scenario_Low_PL!$C$58/6,0)))</f>
        <v>-2151563.2606770825</v>
      </c>
      <c r="AM52" s="133">
        <f>AL52+((IF(AM$7=1,IF(AM$8&lt;=Assumptions!$F$59,0,INDEX(Scenario_Low_PL!$C$18:$G$18,1,AM$7)/MAX(1,12-Assumptions!$F$59)),INDEX(Scenario_Low_PL!$C$18:$G$18,1,AM$7)/12))-(IF(AM$7=1,IF(AM$8&lt;=Assumptions!$F$59,0,INDEX(Scenario_Low_PL!$C$29:$G$29,1,AM$7)/MAX(1,12-Assumptions!$F$59)),INDEX(Scenario_Low_PL!$C$29:$G$29,1,AM$7)/12))-(INDEX(Scenario_Low_PL!$C$42:$G$42,1,AM$7)/12)-(INDEX(Scenario_Low_PL!$C$56:$G$56,1,AM$7)/12)-(IF(AM$6&lt;=6,Scenario_Low_PL!$C$58/6,0)))</f>
        <v>-2164191.574479166</v>
      </c>
      <c r="AN52" s="133">
        <f>AM52+((IF(AN$7=1,IF(AN$8&lt;=Assumptions!$F$59,0,INDEX(Scenario_Low_PL!$C$18:$G$18,1,AN$7)/MAX(1,12-Assumptions!$F$59)),INDEX(Scenario_Low_PL!$C$18:$G$18,1,AN$7)/12))-(IF(AN$7=1,IF(AN$8&lt;=Assumptions!$F$59,0,INDEX(Scenario_Low_PL!$C$29:$G$29,1,AN$7)/MAX(1,12-Assumptions!$F$59)),INDEX(Scenario_Low_PL!$C$29:$G$29,1,AN$7)/12))-(INDEX(Scenario_Low_PL!$C$42:$G$42,1,AN$7)/12)-(INDEX(Scenario_Low_PL!$C$56:$G$56,1,AN$7)/12)-(IF(AN$6&lt;=6,Scenario_Low_PL!$C$58/6,0)))</f>
        <v>-2176819.8882812494</v>
      </c>
      <c r="AO52" s="133">
        <f>AN52+((IF(AO$7=1,IF(AO$8&lt;=Assumptions!$F$59,0,INDEX(Scenario_Low_PL!$C$18:$G$18,1,AO$7)/MAX(1,12-Assumptions!$F$59)),INDEX(Scenario_Low_PL!$C$18:$G$18,1,AO$7)/12))-(IF(AO$7=1,IF(AO$8&lt;=Assumptions!$F$59,0,INDEX(Scenario_Low_PL!$C$29:$G$29,1,AO$7)/MAX(1,12-Assumptions!$F$59)),INDEX(Scenario_Low_PL!$C$29:$G$29,1,AO$7)/12))-(INDEX(Scenario_Low_PL!$C$42:$G$42,1,AO$7)/12)-(INDEX(Scenario_Low_PL!$C$56:$G$56,1,AO$7)/12)-(IF(AO$6&lt;=6,Scenario_Low_PL!$C$58/6,0)))</f>
        <v>-2189448.2020833329</v>
      </c>
      <c r="AP52" s="133">
        <f>AO52+((IF(AP$7=1,IF(AP$8&lt;=Assumptions!$F$59,0,INDEX(Scenario_Low_PL!$C$18:$G$18,1,AP$7)/MAX(1,12-Assumptions!$F$59)),INDEX(Scenario_Low_PL!$C$18:$G$18,1,AP$7)/12))-(IF(AP$7=1,IF(AP$8&lt;=Assumptions!$F$59,0,INDEX(Scenario_Low_PL!$C$29:$G$29,1,AP$7)/MAX(1,12-Assumptions!$F$59)),INDEX(Scenario_Low_PL!$C$29:$G$29,1,AP$7)/12))-(INDEX(Scenario_Low_PL!$C$42:$G$42,1,AP$7)/12)-(INDEX(Scenario_Low_PL!$C$56:$G$56,1,AP$7)/12)-(IF(AP$6&lt;=6,Scenario_Low_PL!$C$58/6,0)))</f>
        <v>-2202076.5158854164</v>
      </c>
      <c r="AQ52" s="133">
        <f>AP52+((IF(AQ$7=1,IF(AQ$8&lt;=Assumptions!$F$59,0,INDEX(Scenario_Low_PL!$C$18:$G$18,1,AQ$7)/MAX(1,12-Assumptions!$F$59)),INDEX(Scenario_Low_PL!$C$18:$G$18,1,AQ$7)/12))-(IF(AQ$7=1,IF(AQ$8&lt;=Assumptions!$F$59,0,INDEX(Scenario_Low_PL!$C$29:$G$29,1,AQ$7)/MAX(1,12-Assumptions!$F$59)),INDEX(Scenario_Low_PL!$C$29:$G$29,1,AQ$7)/12))-(INDEX(Scenario_Low_PL!$C$42:$G$42,1,AQ$7)/12)-(INDEX(Scenario_Low_PL!$C$56:$G$56,1,AQ$7)/12)-(IF(AQ$6&lt;=6,Scenario_Low_PL!$C$58/6,0)))</f>
        <v>-2214704.8296874999</v>
      </c>
      <c r="AR52" s="133">
        <f>AQ52+((IF(AR$7=1,IF(AR$8&lt;=Assumptions!$F$59,0,INDEX(Scenario_Low_PL!$C$18:$G$18,1,AR$7)/MAX(1,12-Assumptions!$F$59)),INDEX(Scenario_Low_PL!$C$18:$G$18,1,AR$7)/12))-(IF(AR$7=1,IF(AR$8&lt;=Assumptions!$F$59,0,INDEX(Scenario_Low_PL!$C$29:$G$29,1,AR$7)/MAX(1,12-Assumptions!$F$59)),INDEX(Scenario_Low_PL!$C$29:$G$29,1,AR$7)/12))-(INDEX(Scenario_Low_PL!$C$42:$G$42,1,AR$7)/12)-(INDEX(Scenario_Low_PL!$C$56:$G$56,1,AR$7)/12)-(IF(AR$6&lt;=6,Scenario_Low_PL!$C$58/6,0)))</f>
        <v>-2227333.1434895834</v>
      </c>
      <c r="AS52" s="133">
        <f>AR52+((IF(AS$7=1,IF(AS$8&lt;=Assumptions!$F$59,0,INDEX(Scenario_Low_PL!$C$18:$G$18,1,AS$7)/MAX(1,12-Assumptions!$F$59)),INDEX(Scenario_Low_PL!$C$18:$G$18,1,AS$7)/12))-(IF(AS$7=1,IF(AS$8&lt;=Assumptions!$F$59,0,INDEX(Scenario_Low_PL!$C$29:$G$29,1,AS$7)/MAX(1,12-Assumptions!$F$59)),INDEX(Scenario_Low_PL!$C$29:$G$29,1,AS$7)/12))-(INDEX(Scenario_Low_PL!$C$42:$G$42,1,AS$7)/12)-(INDEX(Scenario_Low_PL!$C$56:$G$56,1,AS$7)/12)-(IF(AS$6&lt;=6,Scenario_Low_PL!$C$58/6,0)))</f>
        <v>-2239961.4572916669</v>
      </c>
      <c r="AT52" s="133">
        <f>AS52+((IF(AT$7=1,IF(AT$8&lt;=Assumptions!$F$59,0,INDEX(Scenario_Low_PL!$C$18:$G$18,1,AT$7)/MAX(1,12-Assumptions!$F$59)),INDEX(Scenario_Low_PL!$C$18:$G$18,1,AT$7)/12))-(IF(AT$7=1,IF(AT$8&lt;=Assumptions!$F$59,0,INDEX(Scenario_Low_PL!$C$29:$G$29,1,AT$7)/MAX(1,12-Assumptions!$F$59)),INDEX(Scenario_Low_PL!$C$29:$G$29,1,AT$7)/12))-(INDEX(Scenario_Low_PL!$C$42:$G$42,1,AT$7)/12)-(INDEX(Scenario_Low_PL!$C$56:$G$56,1,AT$7)/12)-(IF(AT$6&lt;=6,Scenario_Low_PL!$C$58/6,0)))</f>
        <v>-2252589.7710937504</v>
      </c>
      <c r="AU52" s="133">
        <f>AT52+((IF(AU$7=1,IF(AU$8&lt;=Assumptions!$F$59,0,INDEX(Scenario_Low_PL!$C$18:$G$18,1,AU$7)/MAX(1,12-Assumptions!$F$59)),INDEX(Scenario_Low_PL!$C$18:$G$18,1,AU$7)/12))-(IF(AU$7=1,IF(AU$8&lt;=Assumptions!$F$59,0,INDEX(Scenario_Low_PL!$C$29:$G$29,1,AU$7)/MAX(1,12-Assumptions!$F$59)),INDEX(Scenario_Low_PL!$C$29:$G$29,1,AU$7)/12))-(INDEX(Scenario_Low_PL!$C$42:$G$42,1,AU$7)/12)-(INDEX(Scenario_Low_PL!$C$56:$G$56,1,AU$7)/12)-(IF(AU$6&lt;=6,Scenario_Low_PL!$C$58/6,0)))</f>
        <v>-2265218.0848958339</v>
      </c>
      <c r="AV52" s="133">
        <f>AU52+((IF(AV$7=1,IF(AV$8&lt;=Assumptions!$F$59,0,INDEX(Scenario_Low_PL!$C$18:$G$18,1,AV$7)/MAX(1,12-Assumptions!$F$59)),INDEX(Scenario_Low_PL!$C$18:$G$18,1,AV$7)/12))-(IF(AV$7=1,IF(AV$8&lt;=Assumptions!$F$59,0,INDEX(Scenario_Low_PL!$C$29:$G$29,1,AV$7)/MAX(1,12-Assumptions!$F$59)),INDEX(Scenario_Low_PL!$C$29:$G$29,1,AV$7)/12))-(INDEX(Scenario_Low_PL!$C$42:$G$42,1,AV$7)/12)-(INDEX(Scenario_Low_PL!$C$56:$G$56,1,AV$7)/12)-(IF(AV$6&lt;=6,Scenario_Low_PL!$C$58/6,0)))</f>
        <v>-2277846.3986979173</v>
      </c>
      <c r="AW52" s="133">
        <f>AV52+((IF(AW$7=1,IF(AW$8&lt;=Assumptions!$F$59,0,INDEX(Scenario_Low_PL!$C$18:$G$18,1,AW$7)/MAX(1,12-Assumptions!$F$59)),INDEX(Scenario_Low_PL!$C$18:$G$18,1,AW$7)/12))-(IF(AW$7=1,IF(AW$8&lt;=Assumptions!$F$59,0,INDEX(Scenario_Low_PL!$C$29:$G$29,1,AW$7)/MAX(1,12-Assumptions!$F$59)),INDEX(Scenario_Low_PL!$C$29:$G$29,1,AW$7)/12))-(INDEX(Scenario_Low_PL!$C$42:$G$42,1,AW$7)/12)-(INDEX(Scenario_Low_PL!$C$56:$G$56,1,AW$7)/12)-(IF(AW$6&lt;=6,Scenario_Low_PL!$C$58/6,0)))</f>
        <v>-2290474.7125000008</v>
      </c>
      <c r="AX52" s="133">
        <f>AW52+((IF(AX$7=1,IF(AX$8&lt;=Assumptions!$F$59,0,INDEX(Scenario_Low_PL!$C$18:$G$18,1,AX$7)/MAX(1,12-Assumptions!$F$59)),INDEX(Scenario_Low_PL!$C$18:$G$18,1,AX$7)/12))-(IF(AX$7=1,IF(AX$8&lt;=Assumptions!$F$59,0,INDEX(Scenario_Low_PL!$C$29:$G$29,1,AX$7)/MAX(1,12-Assumptions!$F$59)),INDEX(Scenario_Low_PL!$C$29:$G$29,1,AX$7)/12))-(INDEX(Scenario_Low_PL!$C$42:$G$42,1,AX$7)/12)-(INDEX(Scenario_Low_PL!$C$56:$G$56,1,AX$7)/12)-(IF(AX$6&lt;=6,Scenario_Low_PL!$C$58/6,0)))</f>
        <v>-2017655.7018229174</v>
      </c>
      <c r="AY52" s="133">
        <f>AX52+((IF(AY$7=1,IF(AY$8&lt;=Assumptions!$F$59,0,INDEX(Scenario_Low_PL!$C$18:$G$18,1,AY$7)/MAX(1,12-Assumptions!$F$59)),INDEX(Scenario_Low_PL!$C$18:$G$18,1,AY$7)/12))-(IF(AY$7=1,IF(AY$8&lt;=Assumptions!$F$59,0,INDEX(Scenario_Low_PL!$C$29:$G$29,1,AY$7)/MAX(1,12-Assumptions!$F$59)),INDEX(Scenario_Low_PL!$C$29:$G$29,1,AY$7)/12))-(INDEX(Scenario_Low_PL!$C$42:$G$42,1,AY$7)/12)-(INDEX(Scenario_Low_PL!$C$56:$G$56,1,AY$7)/12)-(IF(AY$6&lt;=6,Scenario_Low_PL!$C$58/6,0)))</f>
        <v>-1744836.691145834</v>
      </c>
      <c r="AZ52" s="133">
        <f>AY52+((IF(AZ$7=1,IF(AZ$8&lt;=Assumptions!$F$59,0,INDEX(Scenario_Low_PL!$C$18:$G$18,1,AZ$7)/MAX(1,12-Assumptions!$F$59)),INDEX(Scenario_Low_PL!$C$18:$G$18,1,AZ$7)/12))-(IF(AZ$7=1,IF(AZ$8&lt;=Assumptions!$F$59,0,INDEX(Scenario_Low_PL!$C$29:$G$29,1,AZ$7)/MAX(1,12-Assumptions!$F$59)),INDEX(Scenario_Low_PL!$C$29:$G$29,1,AZ$7)/12))-(INDEX(Scenario_Low_PL!$C$42:$G$42,1,AZ$7)/12)-(INDEX(Scenario_Low_PL!$C$56:$G$56,1,AZ$7)/12)-(IF(AZ$6&lt;=6,Scenario_Low_PL!$C$58/6,0)))</f>
        <v>-1472017.6804687507</v>
      </c>
      <c r="BA52" s="133">
        <f>AZ52+((IF(BA$7=1,IF(BA$8&lt;=Assumptions!$F$59,0,INDEX(Scenario_Low_PL!$C$18:$G$18,1,BA$7)/MAX(1,12-Assumptions!$F$59)),INDEX(Scenario_Low_PL!$C$18:$G$18,1,BA$7)/12))-(IF(BA$7=1,IF(BA$8&lt;=Assumptions!$F$59,0,INDEX(Scenario_Low_PL!$C$29:$G$29,1,BA$7)/MAX(1,12-Assumptions!$F$59)),INDEX(Scenario_Low_PL!$C$29:$G$29,1,BA$7)/12))-(INDEX(Scenario_Low_PL!$C$42:$G$42,1,BA$7)/12)-(INDEX(Scenario_Low_PL!$C$56:$G$56,1,BA$7)/12)-(IF(BA$6&lt;=6,Scenario_Low_PL!$C$58/6,0)))</f>
        <v>-1199198.6697916673</v>
      </c>
      <c r="BB52" s="133">
        <f>BA52+((IF(BB$7=1,IF(BB$8&lt;=Assumptions!$F$59,0,INDEX(Scenario_Low_PL!$C$18:$G$18,1,BB$7)/MAX(1,12-Assumptions!$F$59)),INDEX(Scenario_Low_PL!$C$18:$G$18,1,BB$7)/12))-(IF(BB$7=1,IF(BB$8&lt;=Assumptions!$F$59,0,INDEX(Scenario_Low_PL!$C$29:$G$29,1,BB$7)/MAX(1,12-Assumptions!$F$59)),INDEX(Scenario_Low_PL!$C$29:$G$29,1,BB$7)/12))-(INDEX(Scenario_Low_PL!$C$42:$G$42,1,BB$7)/12)-(INDEX(Scenario_Low_PL!$C$56:$G$56,1,BB$7)/12)-(IF(BB$6&lt;=6,Scenario_Low_PL!$C$58/6,0)))</f>
        <v>-926379.65911458398</v>
      </c>
      <c r="BC52" s="133">
        <f>BB52+((IF(BC$7=1,IF(BC$8&lt;=Assumptions!$F$59,0,INDEX(Scenario_Low_PL!$C$18:$G$18,1,BC$7)/MAX(1,12-Assumptions!$F$59)),INDEX(Scenario_Low_PL!$C$18:$G$18,1,BC$7)/12))-(IF(BC$7=1,IF(BC$8&lt;=Assumptions!$F$59,0,INDEX(Scenario_Low_PL!$C$29:$G$29,1,BC$7)/MAX(1,12-Assumptions!$F$59)),INDEX(Scenario_Low_PL!$C$29:$G$29,1,BC$7)/12))-(INDEX(Scenario_Low_PL!$C$42:$G$42,1,BC$7)/12)-(INDEX(Scenario_Low_PL!$C$56:$G$56,1,BC$7)/12)-(IF(BC$6&lt;=6,Scenario_Low_PL!$C$58/6,0)))</f>
        <v>-653560.6484375007</v>
      </c>
      <c r="BD52" s="133">
        <f>BC52+((IF(BD$7=1,IF(BD$8&lt;=Assumptions!$F$59,0,INDEX(Scenario_Low_PL!$C$18:$G$18,1,BD$7)/MAX(1,12-Assumptions!$F$59)),INDEX(Scenario_Low_PL!$C$18:$G$18,1,BD$7)/12))-(IF(BD$7=1,IF(BD$8&lt;=Assumptions!$F$59,0,INDEX(Scenario_Low_PL!$C$29:$G$29,1,BD$7)/MAX(1,12-Assumptions!$F$59)),INDEX(Scenario_Low_PL!$C$29:$G$29,1,BD$7)/12))-(INDEX(Scenario_Low_PL!$C$42:$G$42,1,BD$7)/12)-(INDEX(Scenario_Low_PL!$C$56:$G$56,1,BD$7)/12)-(IF(BD$6&lt;=6,Scenario_Low_PL!$C$58/6,0)))</f>
        <v>-380741.63776041742</v>
      </c>
      <c r="BE52" s="133">
        <f>BD52+((IF(BE$7=1,IF(BE$8&lt;=Assumptions!$F$59,0,INDEX(Scenario_Low_PL!$C$18:$G$18,1,BE$7)/MAX(1,12-Assumptions!$F$59)),INDEX(Scenario_Low_PL!$C$18:$G$18,1,BE$7)/12))-(IF(BE$7=1,IF(BE$8&lt;=Assumptions!$F$59,0,INDEX(Scenario_Low_PL!$C$29:$G$29,1,BE$7)/MAX(1,12-Assumptions!$F$59)),INDEX(Scenario_Low_PL!$C$29:$G$29,1,BE$7)/12))-(INDEX(Scenario_Low_PL!$C$42:$G$42,1,BE$7)/12)-(INDEX(Scenario_Low_PL!$C$56:$G$56,1,BE$7)/12)-(IF(BE$6&lt;=6,Scenario_Low_PL!$C$58/6,0)))</f>
        <v>-107922.62708333414</v>
      </c>
      <c r="BF52" s="133">
        <f>BE52+((IF(BF$7=1,IF(BF$8&lt;=Assumptions!$F$59,0,INDEX(Scenario_Low_PL!$C$18:$G$18,1,BF$7)/MAX(1,12-Assumptions!$F$59)),INDEX(Scenario_Low_PL!$C$18:$G$18,1,BF$7)/12))-(IF(BF$7=1,IF(BF$8&lt;=Assumptions!$F$59,0,INDEX(Scenario_Low_PL!$C$29:$G$29,1,BF$7)/MAX(1,12-Assumptions!$F$59)),INDEX(Scenario_Low_PL!$C$29:$G$29,1,BF$7)/12))-(INDEX(Scenario_Low_PL!$C$42:$G$42,1,BF$7)/12)-(INDEX(Scenario_Low_PL!$C$56:$G$56,1,BF$7)/12)-(IF(BF$6&lt;=6,Scenario_Low_PL!$C$58/6,0)))</f>
        <v>164896.38359374914</v>
      </c>
      <c r="BG52" s="133">
        <f>BF52+((IF(BG$7=1,IF(BG$8&lt;=Assumptions!$F$59,0,INDEX(Scenario_Low_PL!$C$18:$G$18,1,BG$7)/MAX(1,12-Assumptions!$F$59)),INDEX(Scenario_Low_PL!$C$18:$G$18,1,BG$7)/12))-(IF(BG$7=1,IF(BG$8&lt;=Assumptions!$F$59,0,INDEX(Scenario_Low_PL!$C$29:$G$29,1,BG$7)/MAX(1,12-Assumptions!$F$59)),INDEX(Scenario_Low_PL!$C$29:$G$29,1,BG$7)/12))-(INDEX(Scenario_Low_PL!$C$42:$G$42,1,BG$7)/12)-(INDEX(Scenario_Low_PL!$C$56:$G$56,1,BG$7)/12)-(IF(BG$6&lt;=6,Scenario_Low_PL!$C$58/6,0)))</f>
        <v>437715.39427083242</v>
      </c>
      <c r="BH52" s="133">
        <f>BG52+((IF(BH$7=1,IF(BH$8&lt;=Assumptions!$F$59,0,INDEX(Scenario_Low_PL!$C$18:$G$18,1,BH$7)/MAX(1,12-Assumptions!$F$59)),INDEX(Scenario_Low_PL!$C$18:$G$18,1,BH$7)/12))-(IF(BH$7=1,IF(BH$8&lt;=Assumptions!$F$59,0,INDEX(Scenario_Low_PL!$C$29:$G$29,1,BH$7)/MAX(1,12-Assumptions!$F$59)),INDEX(Scenario_Low_PL!$C$29:$G$29,1,BH$7)/12))-(INDEX(Scenario_Low_PL!$C$42:$G$42,1,BH$7)/12)-(INDEX(Scenario_Low_PL!$C$56:$G$56,1,BH$7)/12)-(IF(BH$6&lt;=6,Scenario_Low_PL!$C$58/6,0)))</f>
        <v>710534.4049479157</v>
      </c>
      <c r="BI52" s="133">
        <f>BH52+((IF(BI$7=1,IF(BI$8&lt;=Assumptions!$F$59,0,INDEX(Scenario_Low_PL!$C$18:$G$18,1,BI$7)/MAX(1,12-Assumptions!$F$59)),INDEX(Scenario_Low_PL!$C$18:$G$18,1,BI$7)/12))-(IF(BI$7=1,IF(BI$8&lt;=Assumptions!$F$59,0,INDEX(Scenario_Low_PL!$C$29:$G$29,1,BI$7)/MAX(1,12-Assumptions!$F$59)),INDEX(Scenario_Low_PL!$C$29:$G$29,1,BI$7)/12))-(INDEX(Scenario_Low_PL!$C$42:$G$42,1,BI$7)/12)-(INDEX(Scenario_Low_PL!$C$56:$G$56,1,BI$7)/12)-(IF(BI$6&lt;=6,Scenario_Low_PL!$C$58/6,0)))</f>
        <v>983353.41562499898</v>
      </c>
    </row>
    <row r="53" spans="1:61">
      <c r="A53" s="132" t="s">
        <v>76</v>
      </c>
      <c r="B53" s="133">
        <f>(IF(B$7=1,IF(B$8&lt;=Assumptions!$F$59,0,INDEX(Scenario_Base_PL!$C$18:$G$18,1,B$7)/MAX(1,12-Assumptions!$F$59)),INDEX(Scenario_Base_PL!$C$18:$G$18,1,B$7)/12))-(IF(B$7=1,IF(B$8&lt;=Assumptions!$F$59,0,INDEX(Scenario_Base_PL!$C$29:$G$29,1,B$7)/MAX(1,12-Assumptions!$F$59)),INDEX(Scenario_Base_PL!$C$29:$G$29,1,B$7)/12))-(INDEX(Scenario_Base_PL!$C$42:$G$42,1,B$7)/12)-(INDEX(Scenario_Base_PL!$C$56:$G$56,1,B$7)/12)-(IF(B$6&lt;=6,Scenario_Base_PL!$C$58/6,0))</f>
        <v>-93302.074999999997</v>
      </c>
      <c r="C53" s="133">
        <f>B53+((IF(C$7=1,IF(C$8&lt;=Assumptions!$F$59,0,INDEX(Scenario_Base_PL!$C$18:$G$18,1,C$7)/MAX(1,12-Assumptions!$F$59)),INDEX(Scenario_Base_PL!$C$18:$G$18,1,C$7)/12))-(IF(C$7=1,IF(C$8&lt;=Assumptions!$F$59,0,INDEX(Scenario_Base_PL!$C$29:$G$29,1,C$7)/MAX(1,12-Assumptions!$F$59)),INDEX(Scenario_Base_PL!$C$29:$G$29,1,C$7)/12))-(INDEX(Scenario_Base_PL!$C$42:$G$42,1,C$7)/12)-(INDEX(Scenario_Base_PL!$C$56:$G$56,1,C$7)/12)-(IF(C$6&lt;=6,Scenario_Base_PL!$C$58/6,0)))</f>
        <v>-186604.15</v>
      </c>
      <c r="D53" s="133">
        <f>C53+((IF(D$7=1,IF(D$8&lt;=Assumptions!$F$59,0,INDEX(Scenario_Base_PL!$C$18:$G$18,1,D$7)/MAX(1,12-Assumptions!$F$59)),INDEX(Scenario_Base_PL!$C$18:$G$18,1,D$7)/12))-(IF(D$7=1,IF(D$8&lt;=Assumptions!$F$59,0,INDEX(Scenario_Base_PL!$C$29:$G$29,1,D$7)/MAX(1,12-Assumptions!$F$59)),INDEX(Scenario_Base_PL!$C$29:$G$29,1,D$7)/12))-(INDEX(Scenario_Base_PL!$C$42:$G$42,1,D$7)/12)-(INDEX(Scenario_Base_PL!$C$56:$G$56,1,D$7)/12)-(IF(D$6&lt;=6,Scenario_Base_PL!$C$58/6,0)))</f>
        <v>-279906.22499999998</v>
      </c>
      <c r="E53" s="133">
        <f>D53+((IF(E$7=1,IF(E$8&lt;=Assumptions!$F$59,0,INDEX(Scenario_Base_PL!$C$18:$G$18,1,E$7)/MAX(1,12-Assumptions!$F$59)),INDEX(Scenario_Base_PL!$C$18:$G$18,1,E$7)/12))-(IF(E$7=1,IF(E$8&lt;=Assumptions!$F$59,0,INDEX(Scenario_Base_PL!$C$29:$G$29,1,E$7)/MAX(1,12-Assumptions!$F$59)),INDEX(Scenario_Base_PL!$C$29:$G$29,1,E$7)/12))-(INDEX(Scenario_Base_PL!$C$42:$G$42,1,E$7)/12)-(INDEX(Scenario_Base_PL!$C$56:$G$56,1,E$7)/12)-(IF(E$6&lt;=6,Scenario_Base_PL!$C$58/6,0)))</f>
        <v>-373208.3</v>
      </c>
      <c r="F53" s="133">
        <f>E53+((IF(F$7=1,IF(F$8&lt;=Assumptions!$F$59,0,INDEX(Scenario_Base_PL!$C$18:$G$18,1,F$7)/MAX(1,12-Assumptions!$F$59)),INDEX(Scenario_Base_PL!$C$18:$G$18,1,F$7)/12))-(IF(F$7=1,IF(F$8&lt;=Assumptions!$F$59,0,INDEX(Scenario_Base_PL!$C$29:$G$29,1,F$7)/MAX(1,12-Assumptions!$F$59)),INDEX(Scenario_Base_PL!$C$29:$G$29,1,F$7)/12))-(INDEX(Scenario_Base_PL!$C$42:$G$42,1,F$7)/12)-(INDEX(Scenario_Base_PL!$C$56:$G$56,1,F$7)/12)-(IF(F$6&lt;=6,Scenario_Base_PL!$C$58/6,0)))</f>
        <v>-466510.375</v>
      </c>
      <c r="G53" s="133">
        <f>F53+((IF(G$7=1,IF(G$8&lt;=Assumptions!$F$59,0,INDEX(Scenario_Base_PL!$C$18:$G$18,1,G$7)/MAX(1,12-Assumptions!$F$59)),INDEX(Scenario_Base_PL!$C$18:$G$18,1,G$7)/12))-(IF(G$7=1,IF(G$8&lt;=Assumptions!$F$59,0,INDEX(Scenario_Base_PL!$C$29:$G$29,1,G$7)/MAX(1,12-Assumptions!$F$59)),INDEX(Scenario_Base_PL!$C$29:$G$29,1,G$7)/12))-(INDEX(Scenario_Base_PL!$C$42:$G$42,1,G$7)/12)-(INDEX(Scenario_Base_PL!$C$56:$G$56,1,G$7)/12)-(IF(G$6&lt;=6,Scenario_Base_PL!$C$58/6,0)))</f>
        <v>-559812.44999999995</v>
      </c>
      <c r="H53" s="133">
        <f>G53+((IF(H$7=1,IF(H$8&lt;=Assumptions!$F$59,0,INDEX(Scenario_Base_PL!$C$18:$G$18,1,H$7)/MAX(1,12-Assumptions!$F$59)),INDEX(Scenario_Base_PL!$C$18:$G$18,1,H$7)/12))-(IF(H$7=1,IF(H$8&lt;=Assumptions!$F$59,0,INDEX(Scenario_Base_PL!$C$29:$G$29,1,H$7)/MAX(1,12-Assumptions!$F$59)),INDEX(Scenario_Base_PL!$C$29:$G$29,1,H$7)/12))-(INDEX(Scenario_Base_PL!$C$42:$G$42,1,H$7)/12)-(INDEX(Scenario_Base_PL!$C$56:$G$56,1,H$7)/12)-(IF(H$6&lt;=6,Scenario_Base_PL!$C$58/6,0)))</f>
        <v>-602756.62630208326</v>
      </c>
      <c r="I53" s="133">
        <f>H53+((IF(I$7=1,IF(I$8&lt;=Assumptions!$F$59,0,INDEX(Scenario_Base_PL!$C$18:$G$18,1,I$7)/MAX(1,12-Assumptions!$F$59)),INDEX(Scenario_Base_PL!$C$18:$G$18,1,I$7)/12))-(IF(I$7=1,IF(I$8&lt;=Assumptions!$F$59,0,INDEX(Scenario_Base_PL!$C$29:$G$29,1,I$7)/MAX(1,12-Assumptions!$F$59)),INDEX(Scenario_Base_PL!$C$29:$G$29,1,I$7)/12))-(INDEX(Scenario_Base_PL!$C$42:$G$42,1,I$7)/12)-(INDEX(Scenario_Base_PL!$C$56:$G$56,1,I$7)/12)-(IF(I$6&lt;=6,Scenario_Base_PL!$C$58/6,0)))</f>
        <v>-645700.80260416656</v>
      </c>
      <c r="J53" s="133">
        <f>I53+((IF(J$7=1,IF(J$8&lt;=Assumptions!$F$59,0,INDEX(Scenario_Base_PL!$C$18:$G$18,1,J$7)/MAX(1,12-Assumptions!$F$59)),INDEX(Scenario_Base_PL!$C$18:$G$18,1,J$7)/12))-(IF(J$7=1,IF(J$8&lt;=Assumptions!$F$59,0,INDEX(Scenario_Base_PL!$C$29:$G$29,1,J$7)/MAX(1,12-Assumptions!$F$59)),INDEX(Scenario_Base_PL!$C$29:$G$29,1,J$7)/12))-(INDEX(Scenario_Base_PL!$C$42:$G$42,1,J$7)/12)-(INDEX(Scenario_Base_PL!$C$56:$G$56,1,J$7)/12)-(IF(J$6&lt;=6,Scenario_Base_PL!$C$58/6,0)))</f>
        <v>-688644.97890624986</v>
      </c>
      <c r="K53" s="133">
        <f>J53+((IF(K$7=1,IF(K$8&lt;=Assumptions!$F$59,0,INDEX(Scenario_Base_PL!$C$18:$G$18,1,K$7)/MAX(1,12-Assumptions!$F$59)),INDEX(Scenario_Base_PL!$C$18:$G$18,1,K$7)/12))-(IF(K$7=1,IF(K$8&lt;=Assumptions!$F$59,0,INDEX(Scenario_Base_PL!$C$29:$G$29,1,K$7)/MAX(1,12-Assumptions!$F$59)),INDEX(Scenario_Base_PL!$C$29:$G$29,1,K$7)/12))-(INDEX(Scenario_Base_PL!$C$42:$G$42,1,K$7)/12)-(INDEX(Scenario_Base_PL!$C$56:$G$56,1,K$7)/12)-(IF(K$6&lt;=6,Scenario_Base_PL!$C$58/6,0)))</f>
        <v>-731589.15520833316</v>
      </c>
      <c r="L53" s="133">
        <f>K53+((IF(L$7=1,IF(L$8&lt;=Assumptions!$F$59,0,INDEX(Scenario_Base_PL!$C$18:$G$18,1,L$7)/MAX(1,12-Assumptions!$F$59)),INDEX(Scenario_Base_PL!$C$18:$G$18,1,L$7)/12))-(IF(L$7=1,IF(L$8&lt;=Assumptions!$F$59,0,INDEX(Scenario_Base_PL!$C$29:$G$29,1,L$7)/MAX(1,12-Assumptions!$F$59)),INDEX(Scenario_Base_PL!$C$29:$G$29,1,L$7)/12))-(INDEX(Scenario_Base_PL!$C$42:$G$42,1,L$7)/12)-(INDEX(Scenario_Base_PL!$C$56:$G$56,1,L$7)/12)-(IF(L$6&lt;=6,Scenario_Base_PL!$C$58/6,0)))</f>
        <v>-774533.33151041646</v>
      </c>
      <c r="M53" s="133">
        <f>L53+((IF(M$7=1,IF(M$8&lt;=Assumptions!$F$59,0,INDEX(Scenario_Base_PL!$C$18:$G$18,1,M$7)/MAX(1,12-Assumptions!$F$59)),INDEX(Scenario_Base_PL!$C$18:$G$18,1,M$7)/12))-(IF(M$7=1,IF(M$8&lt;=Assumptions!$F$59,0,INDEX(Scenario_Base_PL!$C$29:$G$29,1,M$7)/MAX(1,12-Assumptions!$F$59)),INDEX(Scenario_Base_PL!$C$29:$G$29,1,M$7)/12))-(INDEX(Scenario_Base_PL!$C$42:$G$42,1,M$7)/12)-(INDEX(Scenario_Base_PL!$C$56:$G$56,1,M$7)/12)-(IF(M$6&lt;=6,Scenario_Base_PL!$C$58/6,0)))</f>
        <v>-817477.50781249977</v>
      </c>
      <c r="N53" s="133">
        <f>M53+((IF(N$7=1,IF(N$8&lt;=Assumptions!$F$59,0,INDEX(Scenario_Base_PL!$C$18:$G$18,1,N$7)/MAX(1,12-Assumptions!$F$59)),INDEX(Scenario_Base_PL!$C$18:$G$18,1,N$7)/12))-(IF(N$7=1,IF(N$8&lt;=Assumptions!$F$59,0,INDEX(Scenario_Base_PL!$C$29:$G$29,1,N$7)/MAX(1,12-Assumptions!$F$59)),INDEX(Scenario_Base_PL!$C$29:$G$29,1,N$7)/12))-(INDEX(Scenario_Base_PL!$C$42:$G$42,1,N$7)/12)-(INDEX(Scenario_Base_PL!$C$56:$G$56,1,N$7)/12)-(IF(N$6&lt;=6,Scenario_Base_PL!$C$58/6,0)))</f>
        <v>-855137.8873697914</v>
      </c>
      <c r="O53" s="133">
        <f>N53+((IF(O$7=1,IF(O$8&lt;=Assumptions!$F$59,0,INDEX(Scenario_Base_PL!$C$18:$G$18,1,O$7)/MAX(1,12-Assumptions!$F$59)),INDEX(Scenario_Base_PL!$C$18:$G$18,1,O$7)/12))-(IF(O$7=1,IF(O$8&lt;=Assumptions!$F$59,0,INDEX(Scenario_Base_PL!$C$29:$G$29,1,O$7)/MAX(1,12-Assumptions!$F$59)),INDEX(Scenario_Base_PL!$C$29:$G$29,1,O$7)/12))-(INDEX(Scenario_Base_PL!$C$42:$G$42,1,O$7)/12)-(INDEX(Scenario_Base_PL!$C$56:$G$56,1,O$7)/12)-(IF(O$6&lt;=6,Scenario_Base_PL!$C$58/6,0)))</f>
        <v>-892798.26692708302</v>
      </c>
      <c r="P53" s="133">
        <f>O53+((IF(P$7=1,IF(P$8&lt;=Assumptions!$F$59,0,INDEX(Scenario_Base_PL!$C$18:$G$18,1,P$7)/MAX(1,12-Assumptions!$F$59)),INDEX(Scenario_Base_PL!$C$18:$G$18,1,P$7)/12))-(IF(P$7=1,IF(P$8&lt;=Assumptions!$F$59,0,INDEX(Scenario_Base_PL!$C$29:$G$29,1,P$7)/MAX(1,12-Assumptions!$F$59)),INDEX(Scenario_Base_PL!$C$29:$G$29,1,P$7)/12))-(INDEX(Scenario_Base_PL!$C$42:$G$42,1,P$7)/12)-(INDEX(Scenario_Base_PL!$C$56:$G$56,1,P$7)/12)-(IF(P$6&lt;=6,Scenario_Base_PL!$C$58/6,0)))</f>
        <v>-930458.64648437465</v>
      </c>
      <c r="Q53" s="133">
        <f>P53+((IF(Q$7=1,IF(Q$8&lt;=Assumptions!$F$59,0,INDEX(Scenario_Base_PL!$C$18:$G$18,1,Q$7)/MAX(1,12-Assumptions!$F$59)),INDEX(Scenario_Base_PL!$C$18:$G$18,1,Q$7)/12))-(IF(Q$7=1,IF(Q$8&lt;=Assumptions!$F$59,0,INDEX(Scenario_Base_PL!$C$29:$G$29,1,Q$7)/MAX(1,12-Assumptions!$F$59)),INDEX(Scenario_Base_PL!$C$29:$G$29,1,Q$7)/12))-(INDEX(Scenario_Base_PL!$C$42:$G$42,1,Q$7)/12)-(INDEX(Scenario_Base_PL!$C$56:$G$56,1,Q$7)/12)-(IF(Q$6&lt;=6,Scenario_Base_PL!$C$58/6,0)))</f>
        <v>-968119.02604166628</v>
      </c>
      <c r="R53" s="133">
        <f>Q53+((IF(R$7=1,IF(R$8&lt;=Assumptions!$F$59,0,INDEX(Scenario_Base_PL!$C$18:$G$18,1,R$7)/MAX(1,12-Assumptions!$F$59)),INDEX(Scenario_Base_PL!$C$18:$G$18,1,R$7)/12))-(IF(R$7=1,IF(R$8&lt;=Assumptions!$F$59,0,INDEX(Scenario_Base_PL!$C$29:$G$29,1,R$7)/MAX(1,12-Assumptions!$F$59)),INDEX(Scenario_Base_PL!$C$29:$G$29,1,R$7)/12))-(INDEX(Scenario_Base_PL!$C$42:$G$42,1,R$7)/12)-(INDEX(Scenario_Base_PL!$C$56:$G$56,1,R$7)/12)-(IF(R$6&lt;=6,Scenario_Base_PL!$C$58/6,0)))</f>
        <v>-1005779.4055989579</v>
      </c>
      <c r="S53" s="133">
        <f>R53+((IF(S$7=1,IF(S$8&lt;=Assumptions!$F$59,0,INDEX(Scenario_Base_PL!$C$18:$G$18,1,S$7)/MAX(1,12-Assumptions!$F$59)),INDEX(Scenario_Base_PL!$C$18:$G$18,1,S$7)/12))-(IF(S$7=1,IF(S$8&lt;=Assumptions!$F$59,0,INDEX(Scenario_Base_PL!$C$29:$G$29,1,S$7)/MAX(1,12-Assumptions!$F$59)),INDEX(Scenario_Base_PL!$C$29:$G$29,1,S$7)/12))-(INDEX(Scenario_Base_PL!$C$42:$G$42,1,S$7)/12)-(INDEX(Scenario_Base_PL!$C$56:$G$56,1,S$7)/12)-(IF(S$6&lt;=6,Scenario_Base_PL!$C$58/6,0)))</f>
        <v>-1043439.7851562495</v>
      </c>
      <c r="T53" s="133">
        <f>S53+((IF(T$7=1,IF(T$8&lt;=Assumptions!$F$59,0,INDEX(Scenario_Base_PL!$C$18:$G$18,1,T$7)/MAX(1,12-Assumptions!$F$59)),INDEX(Scenario_Base_PL!$C$18:$G$18,1,T$7)/12))-(IF(T$7=1,IF(T$8&lt;=Assumptions!$F$59,0,INDEX(Scenario_Base_PL!$C$29:$G$29,1,T$7)/MAX(1,12-Assumptions!$F$59)),INDEX(Scenario_Base_PL!$C$29:$G$29,1,T$7)/12))-(INDEX(Scenario_Base_PL!$C$42:$G$42,1,T$7)/12)-(INDEX(Scenario_Base_PL!$C$56:$G$56,1,T$7)/12)-(IF(T$6&lt;=6,Scenario_Base_PL!$C$58/6,0)))</f>
        <v>-1081100.1647135413</v>
      </c>
      <c r="U53" s="133">
        <f>T53+((IF(U$7=1,IF(U$8&lt;=Assumptions!$F$59,0,INDEX(Scenario_Base_PL!$C$18:$G$18,1,U$7)/MAX(1,12-Assumptions!$F$59)),INDEX(Scenario_Base_PL!$C$18:$G$18,1,U$7)/12))-(IF(U$7=1,IF(U$8&lt;=Assumptions!$F$59,0,INDEX(Scenario_Base_PL!$C$29:$G$29,1,U$7)/MAX(1,12-Assumptions!$F$59)),INDEX(Scenario_Base_PL!$C$29:$G$29,1,U$7)/12))-(INDEX(Scenario_Base_PL!$C$42:$G$42,1,U$7)/12)-(INDEX(Scenario_Base_PL!$C$56:$G$56,1,U$7)/12)-(IF(U$6&lt;=6,Scenario_Base_PL!$C$58/6,0)))</f>
        <v>-1118760.544270833</v>
      </c>
      <c r="V53" s="133">
        <f>U53+((IF(V$7=1,IF(V$8&lt;=Assumptions!$F$59,0,INDEX(Scenario_Base_PL!$C$18:$G$18,1,V$7)/MAX(1,12-Assumptions!$F$59)),INDEX(Scenario_Base_PL!$C$18:$G$18,1,V$7)/12))-(IF(V$7=1,IF(V$8&lt;=Assumptions!$F$59,0,INDEX(Scenario_Base_PL!$C$29:$G$29,1,V$7)/MAX(1,12-Assumptions!$F$59)),INDEX(Scenario_Base_PL!$C$29:$G$29,1,V$7)/12))-(INDEX(Scenario_Base_PL!$C$42:$G$42,1,V$7)/12)-(INDEX(Scenario_Base_PL!$C$56:$G$56,1,V$7)/12)-(IF(V$6&lt;=6,Scenario_Base_PL!$C$58/6,0)))</f>
        <v>-1156420.9238281248</v>
      </c>
      <c r="W53" s="133">
        <f>V53+((IF(W$7=1,IF(W$8&lt;=Assumptions!$F$59,0,INDEX(Scenario_Base_PL!$C$18:$G$18,1,W$7)/MAX(1,12-Assumptions!$F$59)),INDEX(Scenario_Base_PL!$C$18:$G$18,1,W$7)/12))-(IF(W$7=1,IF(W$8&lt;=Assumptions!$F$59,0,INDEX(Scenario_Base_PL!$C$29:$G$29,1,W$7)/MAX(1,12-Assumptions!$F$59)),INDEX(Scenario_Base_PL!$C$29:$G$29,1,W$7)/12))-(INDEX(Scenario_Base_PL!$C$42:$G$42,1,W$7)/12)-(INDEX(Scenario_Base_PL!$C$56:$G$56,1,W$7)/12)-(IF(W$6&lt;=6,Scenario_Base_PL!$C$58/6,0)))</f>
        <v>-1194081.3033854165</v>
      </c>
      <c r="X53" s="133">
        <f>W53+((IF(X$7=1,IF(X$8&lt;=Assumptions!$F$59,0,INDEX(Scenario_Base_PL!$C$18:$G$18,1,X$7)/MAX(1,12-Assumptions!$F$59)),INDEX(Scenario_Base_PL!$C$18:$G$18,1,X$7)/12))-(IF(X$7=1,IF(X$8&lt;=Assumptions!$F$59,0,INDEX(Scenario_Base_PL!$C$29:$G$29,1,X$7)/MAX(1,12-Assumptions!$F$59)),INDEX(Scenario_Base_PL!$C$29:$G$29,1,X$7)/12))-(INDEX(Scenario_Base_PL!$C$42:$G$42,1,X$7)/12)-(INDEX(Scenario_Base_PL!$C$56:$G$56,1,X$7)/12)-(IF(X$6&lt;=6,Scenario_Base_PL!$C$58/6,0)))</f>
        <v>-1231741.6829427083</v>
      </c>
      <c r="Y53" s="133">
        <f>X53+((IF(Y$7=1,IF(Y$8&lt;=Assumptions!$F$59,0,INDEX(Scenario_Base_PL!$C$18:$G$18,1,Y$7)/MAX(1,12-Assumptions!$F$59)),INDEX(Scenario_Base_PL!$C$18:$G$18,1,Y$7)/12))-(IF(Y$7=1,IF(Y$8&lt;=Assumptions!$F$59,0,INDEX(Scenario_Base_PL!$C$29:$G$29,1,Y$7)/MAX(1,12-Assumptions!$F$59)),INDEX(Scenario_Base_PL!$C$29:$G$29,1,Y$7)/12))-(INDEX(Scenario_Base_PL!$C$42:$G$42,1,Y$7)/12)-(INDEX(Scenario_Base_PL!$C$56:$G$56,1,Y$7)/12)-(IF(Y$6&lt;=6,Scenario_Base_PL!$C$58/6,0)))</f>
        <v>-1269402.0625</v>
      </c>
      <c r="Z53" s="133">
        <f>Y53+((IF(Z$7=1,IF(Z$8&lt;=Assumptions!$F$59,0,INDEX(Scenario_Base_PL!$C$18:$G$18,1,Z$7)/MAX(1,12-Assumptions!$F$59)),INDEX(Scenario_Base_PL!$C$18:$G$18,1,Z$7)/12))-(IF(Z$7=1,IF(Z$8&lt;=Assumptions!$F$59,0,INDEX(Scenario_Base_PL!$C$29:$G$29,1,Z$7)/MAX(1,12-Assumptions!$F$59)),INDEX(Scenario_Base_PL!$C$29:$G$29,1,Z$7)/12))-(INDEX(Scenario_Base_PL!$C$42:$G$42,1,Z$7)/12)-(INDEX(Scenario_Base_PL!$C$56:$G$56,1,Z$7)/12)-(IF(Z$6&lt;=6,Scenario_Base_PL!$C$58/6,0)))</f>
        <v>-1243816.0234375</v>
      </c>
      <c r="AA53" s="133">
        <f>Z53+((IF(AA$7=1,IF(AA$8&lt;=Assumptions!$F$59,0,INDEX(Scenario_Base_PL!$C$18:$G$18,1,AA$7)/MAX(1,12-Assumptions!$F$59)),INDEX(Scenario_Base_PL!$C$18:$G$18,1,AA$7)/12))-(IF(AA$7=1,IF(AA$8&lt;=Assumptions!$F$59,0,INDEX(Scenario_Base_PL!$C$29:$G$29,1,AA$7)/MAX(1,12-Assumptions!$F$59)),INDEX(Scenario_Base_PL!$C$29:$G$29,1,AA$7)/12))-(INDEX(Scenario_Base_PL!$C$42:$G$42,1,AA$7)/12)-(INDEX(Scenario_Base_PL!$C$56:$G$56,1,AA$7)/12)-(IF(AA$6&lt;=6,Scenario_Base_PL!$C$58/6,0)))</f>
        <v>-1218229.984375</v>
      </c>
      <c r="AB53" s="133">
        <f>AA53+((IF(AB$7=1,IF(AB$8&lt;=Assumptions!$F$59,0,INDEX(Scenario_Base_PL!$C$18:$G$18,1,AB$7)/MAX(1,12-Assumptions!$F$59)),INDEX(Scenario_Base_PL!$C$18:$G$18,1,AB$7)/12))-(IF(AB$7=1,IF(AB$8&lt;=Assumptions!$F$59,0,INDEX(Scenario_Base_PL!$C$29:$G$29,1,AB$7)/MAX(1,12-Assumptions!$F$59)),INDEX(Scenario_Base_PL!$C$29:$G$29,1,AB$7)/12))-(INDEX(Scenario_Base_PL!$C$42:$G$42,1,AB$7)/12)-(INDEX(Scenario_Base_PL!$C$56:$G$56,1,AB$7)/12)-(IF(AB$6&lt;=6,Scenario_Base_PL!$C$58/6,0)))</f>
        <v>-1192643.9453125</v>
      </c>
      <c r="AC53" s="133">
        <f>AB53+((IF(AC$7=1,IF(AC$8&lt;=Assumptions!$F$59,0,INDEX(Scenario_Base_PL!$C$18:$G$18,1,AC$7)/MAX(1,12-Assumptions!$F$59)),INDEX(Scenario_Base_PL!$C$18:$G$18,1,AC$7)/12))-(IF(AC$7=1,IF(AC$8&lt;=Assumptions!$F$59,0,INDEX(Scenario_Base_PL!$C$29:$G$29,1,AC$7)/MAX(1,12-Assumptions!$F$59)),INDEX(Scenario_Base_PL!$C$29:$G$29,1,AC$7)/12))-(INDEX(Scenario_Base_PL!$C$42:$G$42,1,AC$7)/12)-(INDEX(Scenario_Base_PL!$C$56:$G$56,1,AC$7)/12)-(IF(AC$6&lt;=6,Scenario_Base_PL!$C$58/6,0)))</f>
        <v>-1167057.90625</v>
      </c>
      <c r="AD53" s="133">
        <f>AC53+((IF(AD$7=1,IF(AD$8&lt;=Assumptions!$F$59,0,INDEX(Scenario_Base_PL!$C$18:$G$18,1,AD$7)/MAX(1,12-Assumptions!$F$59)),INDEX(Scenario_Base_PL!$C$18:$G$18,1,AD$7)/12))-(IF(AD$7=1,IF(AD$8&lt;=Assumptions!$F$59,0,INDEX(Scenario_Base_PL!$C$29:$G$29,1,AD$7)/MAX(1,12-Assumptions!$F$59)),INDEX(Scenario_Base_PL!$C$29:$G$29,1,AD$7)/12))-(INDEX(Scenario_Base_PL!$C$42:$G$42,1,AD$7)/12)-(INDEX(Scenario_Base_PL!$C$56:$G$56,1,AD$7)/12)-(IF(AD$6&lt;=6,Scenario_Base_PL!$C$58/6,0)))</f>
        <v>-1141471.8671875</v>
      </c>
      <c r="AE53" s="133">
        <f>AD53+((IF(AE$7=1,IF(AE$8&lt;=Assumptions!$F$59,0,INDEX(Scenario_Base_PL!$C$18:$G$18,1,AE$7)/MAX(1,12-Assumptions!$F$59)),INDEX(Scenario_Base_PL!$C$18:$G$18,1,AE$7)/12))-(IF(AE$7=1,IF(AE$8&lt;=Assumptions!$F$59,0,INDEX(Scenario_Base_PL!$C$29:$G$29,1,AE$7)/MAX(1,12-Assumptions!$F$59)),INDEX(Scenario_Base_PL!$C$29:$G$29,1,AE$7)/12))-(INDEX(Scenario_Base_PL!$C$42:$G$42,1,AE$7)/12)-(INDEX(Scenario_Base_PL!$C$56:$G$56,1,AE$7)/12)-(IF(AE$6&lt;=6,Scenario_Base_PL!$C$58/6,0)))</f>
        <v>-1115885.828125</v>
      </c>
      <c r="AF53" s="133">
        <f>AE53+((IF(AF$7=1,IF(AF$8&lt;=Assumptions!$F$59,0,INDEX(Scenario_Base_PL!$C$18:$G$18,1,AF$7)/MAX(1,12-Assumptions!$F$59)),INDEX(Scenario_Base_PL!$C$18:$G$18,1,AF$7)/12))-(IF(AF$7=1,IF(AF$8&lt;=Assumptions!$F$59,0,INDEX(Scenario_Base_PL!$C$29:$G$29,1,AF$7)/MAX(1,12-Assumptions!$F$59)),INDEX(Scenario_Base_PL!$C$29:$G$29,1,AF$7)/12))-(INDEX(Scenario_Base_PL!$C$42:$G$42,1,AF$7)/12)-(INDEX(Scenario_Base_PL!$C$56:$G$56,1,AF$7)/12)-(IF(AF$6&lt;=6,Scenario_Base_PL!$C$58/6,0)))</f>
        <v>-1090299.7890625</v>
      </c>
      <c r="AG53" s="133">
        <f>AF53+((IF(AG$7=1,IF(AG$8&lt;=Assumptions!$F$59,0,INDEX(Scenario_Base_PL!$C$18:$G$18,1,AG$7)/MAX(1,12-Assumptions!$F$59)),INDEX(Scenario_Base_PL!$C$18:$G$18,1,AG$7)/12))-(IF(AG$7=1,IF(AG$8&lt;=Assumptions!$F$59,0,INDEX(Scenario_Base_PL!$C$29:$G$29,1,AG$7)/MAX(1,12-Assumptions!$F$59)),INDEX(Scenario_Base_PL!$C$29:$G$29,1,AG$7)/12))-(INDEX(Scenario_Base_PL!$C$42:$G$42,1,AG$7)/12)-(INDEX(Scenario_Base_PL!$C$56:$G$56,1,AG$7)/12)-(IF(AG$6&lt;=6,Scenario_Base_PL!$C$58/6,0)))</f>
        <v>-1064713.75</v>
      </c>
      <c r="AH53" s="133">
        <f>AG53+((IF(AH$7=1,IF(AH$8&lt;=Assumptions!$F$59,0,INDEX(Scenario_Base_PL!$C$18:$G$18,1,AH$7)/MAX(1,12-Assumptions!$F$59)),INDEX(Scenario_Base_PL!$C$18:$G$18,1,AH$7)/12))-(IF(AH$7=1,IF(AH$8&lt;=Assumptions!$F$59,0,INDEX(Scenario_Base_PL!$C$29:$G$29,1,AH$7)/MAX(1,12-Assumptions!$F$59)),INDEX(Scenario_Base_PL!$C$29:$G$29,1,AH$7)/12))-(INDEX(Scenario_Base_PL!$C$42:$G$42,1,AH$7)/12)-(INDEX(Scenario_Base_PL!$C$56:$G$56,1,AH$7)/12)-(IF(AH$6&lt;=6,Scenario_Base_PL!$C$58/6,0)))</f>
        <v>-1039127.7109375</v>
      </c>
      <c r="AI53" s="133">
        <f>AH53+((IF(AI$7=1,IF(AI$8&lt;=Assumptions!$F$59,0,INDEX(Scenario_Base_PL!$C$18:$G$18,1,AI$7)/MAX(1,12-Assumptions!$F$59)),INDEX(Scenario_Base_PL!$C$18:$G$18,1,AI$7)/12))-(IF(AI$7=1,IF(AI$8&lt;=Assumptions!$F$59,0,INDEX(Scenario_Base_PL!$C$29:$G$29,1,AI$7)/MAX(1,12-Assumptions!$F$59)),INDEX(Scenario_Base_PL!$C$29:$G$29,1,AI$7)/12))-(INDEX(Scenario_Base_PL!$C$42:$G$42,1,AI$7)/12)-(INDEX(Scenario_Base_PL!$C$56:$G$56,1,AI$7)/12)-(IF(AI$6&lt;=6,Scenario_Base_PL!$C$58/6,0)))</f>
        <v>-1013541.671875</v>
      </c>
      <c r="AJ53" s="133">
        <f>AI53+((IF(AJ$7=1,IF(AJ$8&lt;=Assumptions!$F$59,0,INDEX(Scenario_Base_PL!$C$18:$G$18,1,AJ$7)/MAX(1,12-Assumptions!$F$59)),INDEX(Scenario_Base_PL!$C$18:$G$18,1,AJ$7)/12))-(IF(AJ$7=1,IF(AJ$8&lt;=Assumptions!$F$59,0,INDEX(Scenario_Base_PL!$C$29:$G$29,1,AJ$7)/MAX(1,12-Assumptions!$F$59)),INDEX(Scenario_Base_PL!$C$29:$G$29,1,AJ$7)/12))-(INDEX(Scenario_Base_PL!$C$42:$G$42,1,AJ$7)/12)-(INDEX(Scenario_Base_PL!$C$56:$G$56,1,AJ$7)/12)-(IF(AJ$6&lt;=6,Scenario_Base_PL!$C$58/6,0)))</f>
        <v>-987955.6328125</v>
      </c>
      <c r="AK53" s="133">
        <f>AJ53+((IF(AK$7=1,IF(AK$8&lt;=Assumptions!$F$59,0,INDEX(Scenario_Base_PL!$C$18:$G$18,1,AK$7)/MAX(1,12-Assumptions!$F$59)),INDEX(Scenario_Base_PL!$C$18:$G$18,1,AK$7)/12))-(IF(AK$7=1,IF(AK$8&lt;=Assumptions!$F$59,0,INDEX(Scenario_Base_PL!$C$29:$G$29,1,AK$7)/MAX(1,12-Assumptions!$F$59)),INDEX(Scenario_Base_PL!$C$29:$G$29,1,AK$7)/12))-(INDEX(Scenario_Base_PL!$C$42:$G$42,1,AK$7)/12)-(INDEX(Scenario_Base_PL!$C$56:$G$56,1,AK$7)/12)-(IF(AK$6&lt;=6,Scenario_Base_PL!$C$58/6,0)))</f>
        <v>-962369.59375</v>
      </c>
      <c r="AL53" s="133">
        <f>AK53+((IF(AL$7=1,IF(AL$8&lt;=Assumptions!$F$59,0,INDEX(Scenario_Base_PL!$C$18:$G$18,1,AL$7)/MAX(1,12-Assumptions!$F$59)),INDEX(Scenario_Base_PL!$C$18:$G$18,1,AL$7)/12))-(IF(AL$7=1,IF(AL$8&lt;=Assumptions!$F$59,0,INDEX(Scenario_Base_PL!$C$29:$G$29,1,AL$7)/MAX(1,12-Assumptions!$F$59)),INDEX(Scenario_Base_PL!$C$29:$G$29,1,AL$7)/12))-(INDEX(Scenario_Base_PL!$C$42:$G$42,1,AL$7)/12)-(INDEX(Scenario_Base_PL!$C$56:$G$56,1,AL$7)/12)-(IF(AL$6&lt;=6,Scenario_Base_PL!$C$58/6,0)))</f>
        <v>-737823.02604166663</v>
      </c>
      <c r="AM53" s="133">
        <f>AL53+((IF(AM$7=1,IF(AM$8&lt;=Assumptions!$F$59,0,INDEX(Scenario_Base_PL!$C$18:$G$18,1,AM$7)/MAX(1,12-Assumptions!$F$59)),INDEX(Scenario_Base_PL!$C$18:$G$18,1,AM$7)/12))-(IF(AM$7=1,IF(AM$8&lt;=Assumptions!$F$59,0,INDEX(Scenario_Base_PL!$C$29:$G$29,1,AM$7)/MAX(1,12-Assumptions!$F$59)),INDEX(Scenario_Base_PL!$C$29:$G$29,1,AM$7)/12))-(INDEX(Scenario_Base_PL!$C$42:$G$42,1,AM$7)/12)-(INDEX(Scenario_Base_PL!$C$56:$G$56,1,AM$7)/12)-(IF(AM$6&lt;=6,Scenario_Base_PL!$C$58/6,0)))</f>
        <v>-513276.45833333326</v>
      </c>
      <c r="AN53" s="133">
        <f>AM53+((IF(AN$7=1,IF(AN$8&lt;=Assumptions!$F$59,0,INDEX(Scenario_Base_PL!$C$18:$G$18,1,AN$7)/MAX(1,12-Assumptions!$F$59)),INDEX(Scenario_Base_PL!$C$18:$G$18,1,AN$7)/12))-(IF(AN$7=1,IF(AN$8&lt;=Assumptions!$F$59,0,INDEX(Scenario_Base_PL!$C$29:$G$29,1,AN$7)/MAX(1,12-Assumptions!$F$59)),INDEX(Scenario_Base_PL!$C$29:$G$29,1,AN$7)/12))-(INDEX(Scenario_Base_PL!$C$42:$G$42,1,AN$7)/12)-(INDEX(Scenario_Base_PL!$C$56:$G$56,1,AN$7)/12)-(IF(AN$6&lt;=6,Scenario_Base_PL!$C$58/6,0)))</f>
        <v>-288729.89062499988</v>
      </c>
      <c r="AO53" s="133">
        <f>AN53+((IF(AO$7=1,IF(AO$8&lt;=Assumptions!$F$59,0,INDEX(Scenario_Base_PL!$C$18:$G$18,1,AO$7)/MAX(1,12-Assumptions!$F$59)),INDEX(Scenario_Base_PL!$C$18:$G$18,1,AO$7)/12))-(IF(AO$7=1,IF(AO$8&lt;=Assumptions!$F$59,0,INDEX(Scenario_Base_PL!$C$29:$G$29,1,AO$7)/MAX(1,12-Assumptions!$F$59)),INDEX(Scenario_Base_PL!$C$29:$G$29,1,AO$7)/12))-(INDEX(Scenario_Base_PL!$C$42:$G$42,1,AO$7)/12)-(INDEX(Scenario_Base_PL!$C$56:$G$56,1,AO$7)/12)-(IF(AO$6&lt;=6,Scenario_Base_PL!$C$58/6,0)))</f>
        <v>-64183.322916666541</v>
      </c>
      <c r="AP53" s="133">
        <f>AO53+((IF(AP$7=1,IF(AP$8&lt;=Assumptions!$F$59,0,INDEX(Scenario_Base_PL!$C$18:$G$18,1,AP$7)/MAX(1,12-Assumptions!$F$59)),INDEX(Scenario_Base_PL!$C$18:$G$18,1,AP$7)/12))-(IF(AP$7=1,IF(AP$8&lt;=Assumptions!$F$59,0,INDEX(Scenario_Base_PL!$C$29:$G$29,1,AP$7)/MAX(1,12-Assumptions!$F$59)),INDEX(Scenario_Base_PL!$C$29:$G$29,1,AP$7)/12))-(INDEX(Scenario_Base_PL!$C$42:$G$42,1,AP$7)/12)-(INDEX(Scenario_Base_PL!$C$56:$G$56,1,AP$7)/12)-(IF(AP$6&lt;=6,Scenario_Base_PL!$C$58/6,0)))</f>
        <v>160363.2447916668</v>
      </c>
      <c r="AQ53" s="133">
        <f>AP53+((IF(AQ$7=1,IF(AQ$8&lt;=Assumptions!$F$59,0,INDEX(Scenario_Base_PL!$C$18:$G$18,1,AQ$7)/MAX(1,12-Assumptions!$F$59)),INDEX(Scenario_Base_PL!$C$18:$G$18,1,AQ$7)/12))-(IF(AQ$7=1,IF(AQ$8&lt;=Assumptions!$F$59,0,INDEX(Scenario_Base_PL!$C$29:$G$29,1,AQ$7)/MAX(1,12-Assumptions!$F$59)),INDEX(Scenario_Base_PL!$C$29:$G$29,1,AQ$7)/12))-(INDEX(Scenario_Base_PL!$C$42:$G$42,1,AQ$7)/12)-(INDEX(Scenario_Base_PL!$C$56:$G$56,1,AQ$7)/12)-(IF(AQ$6&lt;=6,Scenario_Base_PL!$C$58/6,0)))</f>
        <v>384909.81250000012</v>
      </c>
      <c r="AR53" s="133">
        <f>AQ53+((IF(AR$7=1,IF(AR$8&lt;=Assumptions!$F$59,0,INDEX(Scenario_Base_PL!$C$18:$G$18,1,AR$7)/MAX(1,12-Assumptions!$F$59)),INDEX(Scenario_Base_PL!$C$18:$G$18,1,AR$7)/12))-(IF(AR$7=1,IF(AR$8&lt;=Assumptions!$F$59,0,INDEX(Scenario_Base_PL!$C$29:$G$29,1,AR$7)/MAX(1,12-Assumptions!$F$59)),INDEX(Scenario_Base_PL!$C$29:$G$29,1,AR$7)/12))-(INDEX(Scenario_Base_PL!$C$42:$G$42,1,AR$7)/12)-(INDEX(Scenario_Base_PL!$C$56:$G$56,1,AR$7)/12)-(IF(AR$6&lt;=6,Scenario_Base_PL!$C$58/6,0)))</f>
        <v>609456.38020833349</v>
      </c>
      <c r="AS53" s="133">
        <f>AR53+((IF(AS$7=1,IF(AS$8&lt;=Assumptions!$F$59,0,INDEX(Scenario_Base_PL!$C$18:$G$18,1,AS$7)/MAX(1,12-Assumptions!$F$59)),INDEX(Scenario_Base_PL!$C$18:$G$18,1,AS$7)/12))-(IF(AS$7=1,IF(AS$8&lt;=Assumptions!$F$59,0,INDEX(Scenario_Base_PL!$C$29:$G$29,1,AS$7)/MAX(1,12-Assumptions!$F$59)),INDEX(Scenario_Base_PL!$C$29:$G$29,1,AS$7)/12))-(INDEX(Scenario_Base_PL!$C$42:$G$42,1,AS$7)/12)-(INDEX(Scenario_Base_PL!$C$56:$G$56,1,AS$7)/12)-(IF(AS$6&lt;=6,Scenario_Base_PL!$C$58/6,0)))</f>
        <v>834002.94791666686</v>
      </c>
      <c r="AT53" s="133">
        <f>AS53+((IF(AT$7=1,IF(AT$8&lt;=Assumptions!$F$59,0,INDEX(Scenario_Base_PL!$C$18:$G$18,1,AT$7)/MAX(1,12-Assumptions!$F$59)),INDEX(Scenario_Base_PL!$C$18:$G$18,1,AT$7)/12))-(IF(AT$7=1,IF(AT$8&lt;=Assumptions!$F$59,0,INDEX(Scenario_Base_PL!$C$29:$G$29,1,AT$7)/MAX(1,12-Assumptions!$F$59)),INDEX(Scenario_Base_PL!$C$29:$G$29,1,AT$7)/12))-(INDEX(Scenario_Base_PL!$C$42:$G$42,1,AT$7)/12)-(INDEX(Scenario_Base_PL!$C$56:$G$56,1,AT$7)/12)-(IF(AT$6&lt;=6,Scenario_Base_PL!$C$58/6,0)))</f>
        <v>1058549.5156250002</v>
      </c>
      <c r="AU53" s="133">
        <f>AT53+((IF(AU$7=1,IF(AU$8&lt;=Assumptions!$F$59,0,INDEX(Scenario_Base_PL!$C$18:$G$18,1,AU$7)/MAX(1,12-Assumptions!$F$59)),INDEX(Scenario_Base_PL!$C$18:$G$18,1,AU$7)/12))-(IF(AU$7=1,IF(AU$8&lt;=Assumptions!$F$59,0,INDEX(Scenario_Base_PL!$C$29:$G$29,1,AU$7)/MAX(1,12-Assumptions!$F$59)),INDEX(Scenario_Base_PL!$C$29:$G$29,1,AU$7)/12))-(INDEX(Scenario_Base_PL!$C$42:$G$42,1,AU$7)/12)-(INDEX(Scenario_Base_PL!$C$56:$G$56,1,AU$7)/12)-(IF(AU$6&lt;=6,Scenario_Base_PL!$C$58/6,0)))</f>
        <v>1283096.0833333335</v>
      </c>
      <c r="AV53" s="133">
        <f>AU53+((IF(AV$7=1,IF(AV$8&lt;=Assumptions!$F$59,0,INDEX(Scenario_Base_PL!$C$18:$G$18,1,AV$7)/MAX(1,12-Assumptions!$F$59)),INDEX(Scenario_Base_PL!$C$18:$G$18,1,AV$7)/12))-(IF(AV$7=1,IF(AV$8&lt;=Assumptions!$F$59,0,INDEX(Scenario_Base_PL!$C$29:$G$29,1,AV$7)/MAX(1,12-Assumptions!$F$59)),INDEX(Scenario_Base_PL!$C$29:$G$29,1,AV$7)/12))-(INDEX(Scenario_Base_PL!$C$42:$G$42,1,AV$7)/12)-(INDEX(Scenario_Base_PL!$C$56:$G$56,1,AV$7)/12)-(IF(AV$6&lt;=6,Scenario_Base_PL!$C$58/6,0)))</f>
        <v>1507642.6510416667</v>
      </c>
      <c r="AW53" s="133">
        <f>AV53+((IF(AW$7=1,IF(AW$8&lt;=Assumptions!$F$59,0,INDEX(Scenario_Base_PL!$C$18:$G$18,1,AW$7)/MAX(1,12-Assumptions!$F$59)),INDEX(Scenario_Base_PL!$C$18:$G$18,1,AW$7)/12))-(IF(AW$7=1,IF(AW$8&lt;=Assumptions!$F$59,0,INDEX(Scenario_Base_PL!$C$29:$G$29,1,AW$7)/MAX(1,12-Assumptions!$F$59)),INDEX(Scenario_Base_PL!$C$29:$G$29,1,AW$7)/12))-(INDEX(Scenario_Base_PL!$C$42:$G$42,1,AW$7)/12)-(INDEX(Scenario_Base_PL!$C$56:$G$56,1,AW$7)/12)-(IF(AW$6&lt;=6,Scenario_Base_PL!$C$58/6,0)))</f>
        <v>1732189.21875</v>
      </c>
      <c r="AX53" s="133">
        <f>AW53+((IF(AX$7=1,IF(AX$8&lt;=Assumptions!$F$59,0,INDEX(Scenario_Base_PL!$C$18:$G$18,1,AX$7)/MAX(1,12-Assumptions!$F$59)),INDEX(Scenario_Base_PL!$C$18:$G$18,1,AX$7)/12))-(IF(AX$7=1,IF(AX$8&lt;=Assumptions!$F$59,0,INDEX(Scenario_Base_PL!$C$29:$G$29,1,AX$7)/MAX(1,12-Assumptions!$F$59)),INDEX(Scenario_Base_PL!$C$29:$G$29,1,AX$7)/12))-(INDEX(Scenario_Base_PL!$C$42:$G$42,1,AX$7)/12)-(INDEX(Scenario_Base_PL!$C$56:$G$56,1,AX$7)/12)-(IF(AX$6&lt;=6,Scenario_Base_PL!$C$58/6,0)))</f>
        <v>2606184.7945312504</v>
      </c>
      <c r="AY53" s="133">
        <f>AX53+((IF(AY$7=1,IF(AY$8&lt;=Assumptions!$F$59,0,INDEX(Scenario_Base_PL!$C$18:$G$18,1,AY$7)/MAX(1,12-Assumptions!$F$59)),INDEX(Scenario_Base_PL!$C$18:$G$18,1,AY$7)/12))-(IF(AY$7=1,IF(AY$8&lt;=Assumptions!$F$59,0,INDEX(Scenario_Base_PL!$C$29:$G$29,1,AY$7)/MAX(1,12-Assumptions!$F$59)),INDEX(Scenario_Base_PL!$C$29:$G$29,1,AY$7)/12))-(INDEX(Scenario_Base_PL!$C$42:$G$42,1,AY$7)/12)-(INDEX(Scenario_Base_PL!$C$56:$G$56,1,AY$7)/12)-(IF(AY$6&lt;=6,Scenario_Base_PL!$C$58/6,0)))</f>
        <v>3480180.3703125007</v>
      </c>
      <c r="AZ53" s="133">
        <f>AY53+((IF(AZ$7=1,IF(AZ$8&lt;=Assumptions!$F$59,0,INDEX(Scenario_Base_PL!$C$18:$G$18,1,AZ$7)/MAX(1,12-Assumptions!$F$59)),INDEX(Scenario_Base_PL!$C$18:$G$18,1,AZ$7)/12))-(IF(AZ$7=1,IF(AZ$8&lt;=Assumptions!$F$59,0,INDEX(Scenario_Base_PL!$C$29:$G$29,1,AZ$7)/MAX(1,12-Assumptions!$F$59)),INDEX(Scenario_Base_PL!$C$29:$G$29,1,AZ$7)/12))-(INDEX(Scenario_Base_PL!$C$42:$G$42,1,AZ$7)/12)-(INDEX(Scenario_Base_PL!$C$56:$G$56,1,AZ$7)/12)-(IF(AZ$6&lt;=6,Scenario_Base_PL!$C$58/6,0)))</f>
        <v>4354175.9460937511</v>
      </c>
      <c r="BA53" s="133">
        <f>AZ53+((IF(BA$7=1,IF(BA$8&lt;=Assumptions!$F$59,0,INDEX(Scenario_Base_PL!$C$18:$G$18,1,BA$7)/MAX(1,12-Assumptions!$F$59)),INDEX(Scenario_Base_PL!$C$18:$G$18,1,BA$7)/12))-(IF(BA$7=1,IF(BA$8&lt;=Assumptions!$F$59,0,INDEX(Scenario_Base_PL!$C$29:$G$29,1,BA$7)/MAX(1,12-Assumptions!$F$59)),INDEX(Scenario_Base_PL!$C$29:$G$29,1,BA$7)/12))-(INDEX(Scenario_Base_PL!$C$42:$G$42,1,BA$7)/12)-(INDEX(Scenario_Base_PL!$C$56:$G$56,1,BA$7)/12)-(IF(BA$6&lt;=6,Scenario_Base_PL!$C$58/6,0)))</f>
        <v>5228171.5218750015</v>
      </c>
      <c r="BB53" s="133">
        <f>BA53+((IF(BB$7=1,IF(BB$8&lt;=Assumptions!$F$59,0,INDEX(Scenario_Base_PL!$C$18:$G$18,1,BB$7)/MAX(1,12-Assumptions!$F$59)),INDEX(Scenario_Base_PL!$C$18:$G$18,1,BB$7)/12))-(IF(BB$7=1,IF(BB$8&lt;=Assumptions!$F$59,0,INDEX(Scenario_Base_PL!$C$29:$G$29,1,BB$7)/MAX(1,12-Assumptions!$F$59)),INDEX(Scenario_Base_PL!$C$29:$G$29,1,BB$7)/12))-(INDEX(Scenario_Base_PL!$C$42:$G$42,1,BB$7)/12)-(INDEX(Scenario_Base_PL!$C$56:$G$56,1,BB$7)/12)-(IF(BB$6&lt;=6,Scenario_Base_PL!$C$58/6,0)))</f>
        <v>6102167.0976562519</v>
      </c>
      <c r="BC53" s="133">
        <f>BB53+((IF(BC$7=1,IF(BC$8&lt;=Assumptions!$F$59,0,INDEX(Scenario_Base_PL!$C$18:$G$18,1,BC$7)/MAX(1,12-Assumptions!$F$59)),INDEX(Scenario_Base_PL!$C$18:$G$18,1,BC$7)/12))-(IF(BC$7=1,IF(BC$8&lt;=Assumptions!$F$59,0,INDEX(Scenario_Base_PL!$C$29:$G$29,1,BC$7)/MAX(1,12-Assumptions!$F$59)),INDEX(Scenario_Base_PL!$C$29:$G$29,1,BC$7)/12))-(INDEX(Scenario_Base_PL!$C$42:$G$42,1,BC$7)/12)-(INDEX(Scenario_Base_PL!$C$56:$G$56,1,BC$7)/12)-(IF(BC$6&lt;=6,Scenario_Base_PL!$C$58/6,0)))</f>
        <v>6976162.6734375022</v>
      </c>
      <c r="BD53" s="133">
        <f>BC53+((IF(BD$7=1,IF(BD$8&lt;=Assumptions!$F$59,0,INDEX(Scenario_Base_PL!$C$18:$G$18,1,BD$7)/MAX(1,12-Assumptions!$F$59)),INDEX(Scenario_Base_PL!$C$18:$G$18,1,BD$7)/12))-(IF(BD$7=1,IF(BD$8&lt;=Assumptions!$F$59,0,INDEX(Scenario_Base_PL!$C$29:$G$29,1,BD$7)/MAX(1,12-Assumptions!$F$59)),INDEX(Scenario_Base_PL!$C$29:$G$29,1,BD$7)/12))-(INDEX(Scenario_Base_PL!$C$42:$G$42,1,BD$7)/12)-(INDEX(Scenario_Base_PL!$C$56:$G$56,1,BD$7)/12)-(IF(BD$6&lt;=6,Scenario_Base_PL!$C$58/6,0)))</f>
        <v>7850158.2492187526</v>
      </c>
      <c r="BE53" s="133">
        <f>BD53+((IF(BE$7=1,IF(BE$8&lt;=Assumptions!$F$59,0,INDEX(Scenario_Base_PL!$C$18:$G$18,1,BE$7)/MAX(1,12-Assumptions!$F$59)),INDEX(Scenario_Base_PL!$C$18:$G$18,1,BE$7)/12))-(IF(BE$7=1,IF(BE$8&lt;=Assumptions!$F$59,0,INDEX(Scenario_Base_PL!$C$29:$G$29,1,BE$7)/MAX(1,12-Assumptions!$F$59)),INDEX(Scenario_Base_PL!$C$29:$G$29,1,BE$7)/12))-(INDEX(Scenario_Base_PL!$C$42:$G$42,1,BE$7)/12)-(INDEX(Scenario_Base_PL!$C$56:$G$56,1,BE$7)/12)-(IF(BE$6&lt;=6,Scenario_Base_PL!$C$58/6,0)))</f>
        <v>8724153.825000003</v>
      </c>
      <c r="BF53" s="133">
        <f>BE53+((IF(BF$7=1,IF(BF$8&lt;=Assumptions!$F$59,0,INDEX(Scenario_Base_PL!$C$18:$G$18,1,BF$7)/MAX(1,12-Assumptions!$F$59)),INDEX(Scenario_Base_PL!$C$18:$G$18,1,BF$7)/12))-(IF(BF$7=1,IF(BF$8&lt;=Assumptions!$F$59,0,INDEX(Scenario_Base_PL!$C$29:$G$29,1,BF$7)/MAX(1,12-Assumptions!$F$59)),INDEX(Scenario_Base_PL!$C$29:$G$29,1,BF$7)/12))-(INDEX(Scenario_Base_PL!$C$42:$G$42,1,BF$7)/12)-(INDEX(Scenario_Base_PL!$C$56:$G$56,1,BF$7)/12)-(IF(BF$6&lt;=6,Scenario_Base_PL!$C$58/6,0)))</f>
        <v>9598149.4007812534</v>
      </c>
      <c r="BG53" s="133">
        <f>BF53+((IF(BG$7=1,IF(BG$8&lt;=Assumptions!$F$59,0,INDEX(Scenario_Base_PL!$C$18:$G$18,1,BG$7)/MAX(1,12-Assumptions!$F$59)),INDEX(Scenario_Base_PL!$C$18:$G$18,1,BG$7)/12))-(IF(BG$7=1,IF(BG$8&lt;=Assumptions!$F$59,0,INDEX(Scenario_Base_PL!$C$29:$G$29,1,BG$7)/MAX(1,12-Assumptions!$F$59)),INDEX(Scenario_Base_PL!$C$29:$G$29,1,BG$7)/12))-(INDEX(Scenario_Base_PL!$C$42:$G$42,1,BG$7)/12)-(INDEX(Scenario_Base_PL!$C$56:$G$56,1,BG$7)/12)-(IF(BG$6&lt;=6,Scenario_Base_PL!$C$58/6,0)))</f>
        <v>10472144.976562504</v>
      </c>
      <c r="BH53" s="133">
        <f>BG53+((IF(BH$7=1,IF(BH$8&lt;=Assumptions!$F$59,0,INDEX(Scenario_Base_PL!$C$18:$G$18,1,BH$7)/MAX(1,12-Assumptions!$F$59)),INDEX(Scenario_Base_PL!$C$18:$G$18,1,BH$7)/12))-(IF(BH$7=1,IF(BH$8&lt;=Assumptions!$F$59,0,INDEX(Scenario_Base_PL!$C$29:$G$29,1,BH$7)/MAX(1,12-Assumptions!$F$59)),INDEX(Scenario_Base_PL!$C$29:$G$29,1,BH$7)/12))-(INDEX(Scenario_Base_PL!$C$42:$G$42,1,BH$7)/12)-(INDEX(Scenario_Base_PL!$C$56:$G$56,1,BH$7)/12)-(IF(BH$6&lt;=6,Scenario_Base_PL!$C$58/6,0)))</f>
        <v>11346140.552343754</v>
      </c>
      <c r="BI53" s="133">
        <f>BH53+((IF(BI$7=1,IF(BI$8&lt;=Assumptions!$F$59,0,INDEX(Scenario_Base_PL!$C$18:$G$18,1,BI$7)/MAX(1,12-Assumptions!$F$59)),INDEX(Scenario_Base_PL!$C$18:$G$18,1,BI$7)/12))-(IF(BI$7=1,IF(BI$8&lt;=Assumptions!$F$59,0,INDEX(Scenario_Base_PL!$C$29:$G$29,1,BI$7)/MAX(1,12-Assumptions!$F$59)),INDEX(Scenario_Base_PL!$C$29:$G$29,1,BI$7)/12))-(INDEX(Scenario_Base_PL!$C$42:$G$42,1,BI$7)/12)-(INDEX(Scenario_Base_PL!$C$56:$G$56,1,BI$7)/12)-(IF(BI$6&lt;=6,Scenario_Base_PL!$C$58/6,0)))</f>
        <v>12220136.128125004</v>
      </c>
    </row>
    <row r="54" spans="1:61">
      <c r="A54" s="132" t="s">
        <v>77</v>
      </c>
      <c r="B54" s="133">
        <f>(IF(B$7=1,IF(B$8&lt;=Assumptions!$F$59,0,INDEX(Scenario_High_PL!$C$18:$G$18,1,B$7)/MAX(1,12-Assumptions!$F$59)),INDEX(Scenario_High_PL!$C$18:$G$18,1,B$7)/12))-(IF(B$7=1,IF(B$8&lt;=Assumptions!$F$59,0,INDEX(Scenario_High_PL!$C$29:$G$29,1,B$7)/MAX(1,12-Assumptions!$F$59)),INDEX(Scenario_High_PL!$C$29:$G$29,1,B$7)/12))-(INDEX(Scenario_High_PL!$C$42:$G$42,1,B$7)/12)-(INDEX(Scenario_High_PL!$C$56:$G$56,1,B$7)/12)-(IF(B$6&lt;=6,Scenario_High_PL!$C$58/6,0))</f>
        <v>-93302.074999999997</v>
      </c>
      <c r="C54" s="133">
        <f>B54+((IF(C$7=1,IF(C$8&lt;=Assumptions!$F$59,0,INDEX(Scenario_High_PL!$C$18:$G$18,1,C$7)/MAX(1,12-Assumptions!$F$59)),INDEX(Scenario_High_PL!$C$18:$G$18,1,C$7)/12))-(IF(C$7=1,IF(C$8&lt;=Assumptions!$F$59,0,INDEX(Scenario_High_PL!$C$29:$G$29,1,C$7)/MAX(1,12-Assumptions!$F$59)),INDEX(Scenario_High_PL!$C$29:$G$29,1,C$7)/12))-(INDEX(Scenario_High_PL!$C$42:$G$42,1,C$7)/12)-(INDEX(Scenario_High_PL!$C$56:$G$56,1,C$7)/12)-(IF(C$6&lt;=6,Scenario_High_PL!$C$58/6,0)))</f>
        <v>-186604.15</v>
      </c>
      <c r="D54" s="133">
        <f>C54+((IF(D$7=1,IF(D$8&lt;=Assumptions!$F$59,0,INDEX(Scenario_High_PL!$C$18:$G$18,1,D$7)/MAX(1,12-Assumptions!$F$59)),INDEX(Scenario_High_PL!$C$18:$G$18,1,D$7)/12))-(IF(D$7=1,IF(D$8&lt;=Assumptions!$F$59,0,INDEX(Scenario_High_PL!$C$29:$G$29,1,D$7)/MAX(1,12-Assumptions!$F$59)),INDEX(Scenario_High_PL!$C$29:$G$29,1,D$7)/12))-(INDEX(Scenario_High_PL!$C$42:$G$42,1,D$7)/12)-(INDEX(Scenario_High_PL!$C$56:$G$56,1,D$7)/12)-(IF(D$6&lt;=6,Scenario_High_PL!$C$58/6,0)))</f>
        <v>-279906.22499999998</v>
      </c>
      <c r="E54" s="133">
        <f>D54+((IF(E$7=1,IF(E$8&lt;=Assumptions!$F$59,0,INDEX(Scenario_High_PL!$C$18:$G$18,1,E$7)/MAX(1,12-Assumptions!$F$59)),INDEX(Scenario_High_PL!$C$18:$G$18,1,E$7)/12))-(IF(E$7=1,IF(E$8&lt;=Assumptions!$F$59,0,INDEX(Scenario_High_PL!$C$29:$G$29,1,E$7)/MAX(1,12-Assumptions!$F$59)),INDEX(Scenario_High_PL!$C$29:$G$29,1,E$7)/12))-(INDEX(Scenario_High_PL!$C$42:$G$42,1,E$7)/12)-(INDEX(Scenario_High_PL!$C$56:$G$56,1,E$7)/12)-(IF(E$6&lt;=6,Scenario_High_PL!$C$58/6,0)))</f>
        <v>-373208.3</v>
      </c>
      <c r="F54" s="133">
        <f>E54+((IF(F$7=1,IF(F$8&lt;=Assumptions!$F$59,0,INDEX(Scenario_High_PL!$C$18:$G$18,1,F$7)/MAX(1,12-Assumptions!$F$59)),INDEX(Scenario_High_PL!$C$18:$G$18,1,F$7)/12))-(IF(F$7=1,IF(F$8&lt;=Assumptions!$F$59,0,INDEX(Scenario_High_PL!$C$29:$G$29,1,F$7)/MAX(1,12-Assumptions!$F$59)),INDEX(Scenario_High_PL!$C$29:$G$29,1,F$7)/12))-(INDEX(Scenario_High_PL!$C$42:$G$42,1,F$7)/12)-(INDEX(Scenario_High_PL!$C$56:$G$56,1,F$7)/12)-(IF(F$6&lt;=6,Scenario_High_PL!$C$58/6,0)))</f>
        <v>-466510.375</v>
      </c>
      <c r="G54" s="133">
        <f>F54+((IF(G$7=1,IF(G$8&lt;=Assumptions!$F$59,0,INDEX(Scenario_High_PL!$C$18:$G$18,1,G$7)/MAX(1,12-Assumptions!$F$59)),INDEX(Scenario_High_PL!$C$18:$G$18,1,G$7)/12))-(IF(G$7=1,IF(G$8&lt;=Assumptions!$F$59,0,INDEX(Scenario_High_PL!$C$29:$G$29,1,G$7)/MAX(1,12-Assumptions!$F$59)),INDEX(Scenario_High_PL!$C$29:$G$29,1,G$7)/12))-(INDEX(Scenario_High_PL!$C$42:$G$42,1,G$7)/12)-(INDEX(Scenario_High_PL!$C$56:$G$56,1,G$7)/12)-(IF(G$6&lt;=6,Scenario_High_PL!$C$58/6,0)))</f>
        <v>-559812.44999999995</v>
      </c>
      <c r="H54" s="133">
        <f>G54+((IF(H$7=1,IF(H$8&lt;=Assumptions!$F$59,0,INDEX(Scenario_High_PL!$C$18:$G$18,1,H$7)/MAX(1,12-Assumptions!$F$59)),INDEX(Scenario_High_PL!$C$18:$G$18,1,H$7)/12))-(IF(H$7=1,IF(H$8&lt;=Assumptions!$F$59,0,INDEX(Scenario_High_PL!$C$29:$G$29,1,H$7)/MAX(1,12-Assumptions!$F$59)),INDEX(Scenario_High_PL!$C$29:$G$29,1,H$7)/12))-(INDEX(Scenario_High_PL!$C$42:$G$42,1,H$7)/12)-(INDEX(Scenario_High_PL!$C$56:$G$56,1,H$7)/12)-(IF(H$6&lt;=6,Scenario_High_PL!$C$58/6,0)))</f>
        <v>-594288.79374999995</v>
      </c>
      <c r="I54" s="133">
        <f>H54+((IF(I$7=1,IF(I$8&lt;=Assumptions!$F$59,0,INDEX(Scenario_High_PL!$C$18:$G$18,1,I$7)/MAX(1,12-Assumptions!$F$59)),INDEX(Scenario_High_PL!$C$18:$G$18,1,I$7)/12))-(IF(I$7=1,IF(I$8&lt;=Assumptions!$F$59,0,INDEX(Scenario_High_PL!$C$29:$G$29,1,I$7)/MAX(1,12-Assumptions!$F$59)),INDEX(Scenario_High_PL!$C$29:$G$29,1,I$7)/12))-(INDEX(Scenario_High_PL!$C$42:$G$42,1,I$7)/12)-(INDEX(Scenario_High_PL!$C$56:$G$56,1,I$7)/12)-(IF(I$6&lt;=6,Scenario_High_PL!$C$58/6,0)))</f>
        <v>-628765.13749999995</v>
      </c>
      <c r="J54" s="133">
        <f>I54+((IF(J$7=1,IF(J$8&lt;=Assumptions!$F$59,0,INDEX(Scenario_High_PL!$C$18:$G$18,1,J$7)/MAX(1,12-Assumptions!$F$59)),INDEX(Scenario_High_PL!$C$18:$G$18,1,J$7)/12))-(IF(J$7=1,IF(J$8&lt;=Assumptions!$F$59,0,INDEX(Scenario_High_PL!$C$29:$G$29,1,J$7)/MAX(1,12-Assumptions!$F$59)),INDEX(Scenario_High_PL!$C$29:$G$29,1,J$7)/12))-(INDEX(Scenario_High_PL!$C$42:$G$42,1,J$7)/12)-(INDEX(Scenario_High_PL!$C$56:$G$56,1,J$7)/12)-(IF(J$6&lt;=6,Scenario_High_PL!$C$58/6,0)))</f>
        <v>-663241.48124999995</v>
      </c>
      <c r="K54" s="133">
        <f>J54+((IF(K$7=1,IF(K$8&lt;=Assumptions!$F$59,0,INDEX(Scenario_High_PL!$C$18:$G$18,1,K$7)/MAX(1,12-Assumptions!$F$59)),INDEX(Scenario_High_PL!$C$18:$G$18,1,K$7)/12))-(IF(K$7=1,IF(K$8&lt;=Assumptions!$F$59,0,INDEX(Scenario_High_PL!$C$29:$G$29,1,K$7)/MAX(1,12-Assumptions!$F$59)),INDEX(Scenario_High_PL!$C$29:$G$29,1,K$7)/12))-(INDEX(Scenario_High_PL!$C$42:$G$42,1,K$7)/12)-(INDEX(Scenario_High_PL!$C$56:$G$56,1,K$7)/12)-(IF(K$6&lt;=6,Scenario_High_PL!$C$58/6,0)))</f>
        <v>-697717.82499999995</v>
      </c>
      <c r="L54" s="133">
        <f>K54+((IF(L$7=1,IF(L$8&lt;=Assumptions!$F$59,0,INDEX(Scenario_High_PL!$C$18:$G$18,1,L$7)/MAX(1,12-Assumptions!$F$59)),INDEX(Scenario_High_PL!$C$18:$G$18,1,L$7)/12))-(IF(L$7=1,IF(L$8&lt;=Assumptions!$F$59,0,INDEX(Scenario_High_PL!$C$29:$G$29,1,L$7)/MAX(1,12-Assumptions!$F$59)),INDEX(Scenario_High_PL!$C$29:$G$29,1,L$7)/12))-(INDEX(Scenario_High_PL!$C$42:$G$42,1,L$7)/12)-(INDEX(Scenario_High_PL!$C$56:$G$56,1,L$7)/12)-(IF(L$6&lt;=6,Scenario_High_PL!$C$58/6,0)))</f>
        <v>-732194.16874999995</v>
      </c>
      <c r="M54" s="133">
        <f>L54+((IF(M$7=1,IF(M$8&lt;=Assumptions!$F$59,0,INDEX(Scenario_High_PL!$C$18:$G$18,1,M$7)/MAX(1,12-Assumptions!$F$59)),INDEX(Scenario_High_PL!$C$18:$G$18,1,M$7)/12))-(IF(M$7=1,IF(M$8&lt;=Assumptions!$F$59,0,INDEX(Scenario_High_PL!$C$29:$G$29,1,M$7)/MAX(1,12-Assumptions!$F$59)),INDEX(Scenario_High_PL!$C$29:$G$29,1,M$7)/12))-(INDEX(Scenario_High_PL!$C$42:$G$42,1,M$7)/12)-(INDEX(Scenario_High_PL!$C$56:$G$56,1,M$7)/12)-(IF(M$6&lt;=6,Scenario_High_PL!$C$58/6,0)))</f>
        <v>-766670.51249999995</v>
      </c>
      <c r="N54" s="133">
        <f>M54+((IF(N$7=1,IF(N$8&lt;=Assumptions!$F$59,0,INDEX(Scenario_High_PL!$C$18:$G$18,1,N$7)/MAX(1,12-Assumptions!$F$59)),INDEX(Scenario_High_PL!$C$18:$G$18,1,N$7)/12))-(IF(N$7=1,IF(N$8&lt;=Assumptions!$F$59,0,INDEX(Scenario_High_PL!$C$29:$G$29,1,N$7)/MAX(1,12-Assumptions!$F$59)),INDEX(Scenario_High_PL!$C$29:$G$29,1,N$7)/12))-(INDEX(Scenario_High_PL!$C$42:$G$42,1,N$7)/12)-(INDEX(Scenario_High_PL!$C$56:$G$56,1,N$7)/12)-(IF(N$6&lt;=6,Scenario_High_PL!$C$58/6,0)))</f>
        <v>-765493.36015624995</v>
      </c>
      <c r="O54" s="133">
        <f>N54+((IF(O$7=1,IF(O$8&lt;=Assumptions!$F$59,0,INDEX(Scenario_High_PL!$C$18:$G$18,1,O$7)/MAX(1,12-Assumptions!$F$59)),INDEX(Scenario_High_PL!$C$18:$G$18,1,O$7)/12))-(IF(O$7=1,IF(O$8&lt;=Assumptions!$F$59,0,INDEX(Scenario_High_PL!$C$29:$G$29,1,O$7)/MAX(1,12-Assumptions!$F$59)),INDEX(Scenario_High_PL!$C$29:$G$29,1,O$7)/12))-(INDEX(Scenario_High_PL!$C$42:$G$42,1,O$7)/12)-(INDEX(Scenario_High_PL!$C$56:$G$56,1,O$7)/12)-(IF(O$6&lt;=6,Scenario_High_PL!$C$58/6,0)))</f>
        <v>-764316.20781249995</v>
      </c>
      <c r="P54" s="133">
        <f>O54+((IF(P$7=1,IF(P$8&lt;=Assumptions!$F$59,0,INDEX(Scenario_High_PL!$C$18:$G$18,1,P$7)/MAX(1,12-Assumptions!$F$59)),INDEX(Scenario_High_PL!$C$18:$G$18,1,P$7)/12))-(IF(P$7=1,IF(P$8&lt;=Assumptions!$F$59,0,INDEX(Scenario_High_PL!$C$29:$G$29,1,P$7)/MAX(1,12-Assumptions!$F$59)),INDEX(Scenario_High_PL!$C$29:$G$29,1,P$7)/12))-(INDEX(Scenario_High_PL!$C$42:$G$42,1,P$7)/12)-(INDEX(Scenario_High_PL!$C$56:$G$56,1,P$7)/12)-(IF(P$6&lt;=6,Scenario_High_PL!$C$58/6,0)))</f>
        <v>-763139.05546874995</v>
      </c>
      <c r="Q54" s="133">
        <f>P54+((IF(Q$7=1,IF(Q$8&lt;=Assumptions!$F$59,0,INDEX(Scenario_High_PL!$C$18:$G$18,1,Q$7)/MAX(1,12-Assumptions!$F$59)),INDEX(Scenario_High_PL!$C$18:$G$18,1,Q$7)/12))-(IF(Q$7=1,IF(Q$8&lt;=Assumptions!$F$59,0,INDEX(Scenario_High_PL!$C$29:$G$29,1,Q$7)/MAX(1,12-Assumptions!$F$59)),INDEX(Scenario_High_PL!$C$29:$G$29,1,Q$7)/12))-(INDEX(Scenario_High_PL!$C$42:$G$42,1,Q$7)/12)-(INDEX(Scenario_High_PL!$C$56:$G$56,1,Q$7)/12)-(IF(Q$6&lt;=6,Scenario_High_PL!$C$58/6,0)))</f>
        <v>-761961.90312499995</v>
      </c>
      <c r="R54" s="133">
        <f>Q54+((IF(R$7=1,IF(R$8&lt;=Assumptions!$F$59,0,INDEX(Scenario_High_PL!$C$18:$G$18,1,R$7)/MAX(1,12-Assumptions!$F$59)),INDEX(Scenario_High_PL!$C$18:$G$18,1,R$7)/12))-(IF(R$7=1,IF(R$8&lt;=Assumptions!$F$59,0,INDEX(Scenario_High_PL!$C$29:$G$29,1,R$7)/MAX(1,12-Assumptions!$F$59)),INDEX(Scenario_High_PL!$C$29:$G$29,1,R$7)/12))-(INDEX(Scenario_High_PL!$C$42:$G$42,1,R$7)/12)-(INDEX(Scenario_High_PL!$C$56:$G$56,1,R$7)/12)-(IF(R$6&lt;=6,Scenario_High_PL!$C$58/6,0)))</f>
        <v>-760784.75078124995</v>
      </c>
      <c r="S54" s="133">
        <f>R54+((IF(S$7=1,IF(S$8&lt;=Assumptions!$F$59,0,INDEX(Scenario_High_PL!$C$18:$G$18,1,S$7)/MAX(1,12-Assumptions!$F$59)),INDEX(Scenario_High_PL!$C$18:$G$18,1,S$7)/12))-(IF(S$7=1,IF(S$8&lt;=Assumptions!$F$59,0,INDEX(Scenario_High_PL!$C$29:$G$29,1,S$7)/MAX(1,12-Assumptions!$F$59)),INDEX(Scenario_High_PL!$C$29:$G$29,1,S$7)/12))-(INDEX(Scenario_High_PL!$C$42:$G$42,1,S$7)/12)-(INDEX(Scenario_High_PL!$C$56:$G$56,1,S$7)/12)-(IF(S$6&lt;=6,Scenario_High_PL!$C$58/6,0)))</f>
        <v>-759607.59843749995</v>
      </c>
      <c r="T54" s="133">
        <f>S54+((IF(T$7=1,IF(T$8&lt;=Assumptions!$F$59,0,INDEX(Scenario_High_PL!$C$18:$G$18,1,T$7)/MAX(1,12-Assumptions!$F$59)),INDEX(Scenario_High_PL!$C$18:$G$18,1,T$7)/12))-(IF(T$7=1,IF(T$8&lt;=Assumptions!$F$59,0,INDEX(Scenario_High_PL!$C$29:$G$29,1,T$7)/MAX(1,12-Assumptions!$F$59)),INDEX(Scenario_High_PL!$C$29:$G$29,1,T$7)/12))-(INDEX(Scenario_High_PL!$C$42:$G$42,1,T$7)/12)-(INDEX(Scenario_High_PL!$C$56:$G$56,1,T$7)/12)-(IF(T$6&lt;=6,Scenario_High_PL!$C$58/6,0)))</f>
        <v>-758430.44609374995</v>
      </c>
      <c r="U54" s="133">
        <f>T54+((IF(U$7=1,IF(U$8&lt;=Assumptions!$F$59,0,INDEX(Scenario_High_PL!$C$18:$G$18,1,U$7)/MAX(1,12-Assumptions!$F$59)),INDEX(Scenario_High_PL!$C$18:$G$18,1,U$7)/12))-(IF(U$7=1,IF(U$8&lt;=Assumptions!$F$59,0,INDEX(Scenario_High_PL!$C$29:$G$29,1,U$7)/MAX(1,12-Assumptions!$F$59)),INDEX(Scenario_High_PL!$C$29:$G$29,1,U$7)/12))-(INDEX(Scenario_High_PL!$C$42:$G$42,1,U$7)/12)-(INDEX(Scenario_High_PL!$C$56:$G$56,1,U$7)/12)-(IF(U$6&lt;=6,Scenario_High_PL!$C$58/6,0)))</f>
        <v>-757253.29374999995</v>
      </c>
      <c r="V54" s="133">
        <f>U54+((IF(V$7=1,IF(V$8&lt;=Assumptions!$F$59,0,INDEX(Scenario_High_PL!$C$18:$G$18,1,V$7)/MAX(1,12-Assumptions!$F$59)),INDEX(Scenario_High_PL!$C$18:$G$18,1,V$7)/12))-(IF(V$7=1,IF(V$8&lt;=Assumptions!$F$59,0,INDEX(Scenario_High_PL!$C$29:$G$29,1,V$7)/MAX(1,12-Assumptions!$F$59)),INDEX(Scenario_High_PL!$C$29:$G$29,1,V$7)/12))-(INDEX(Scenario_High_PL!$C$42:$G$42,1,V$7)/12)-(INDEX(Scenario_High_PL!$C$56:$G$56,1,V$7)/12)-(IF(V$6&lt;=6,Scenario_High_PL!$C$58/6,0)))</f>
        <v>-756076.14140624995</v>
      </c>
      <c r="W54" s="133">
        <f>V54+((IF(W$7=1,IF(W$8&lt;=Assumptions!$F$59,0,INDEX(Scenario_High_PL!$C$18:$G$18,1,W$7)/MAX(1,12-Assumptions!$F$59)),INDEX(Scenario_High_PL!$C$18:$G$18,1,W$7)/12))-(IF(W$7=1,IF(W$8&lt;=Assumptions!$F$59,0,INDEX(Scenario_High_PL!$C$29:$G$29,1,W$7)/MAX(1,12-Assumptions!$F$59)),INDEX(Scenario_High_PL!$C$29:$G$29,1,W$7)/12))-(INDEX(Scenario_High_PL!$C$42:$G$42,1,W$7)/12)-(INDEX(Scenario_High_PL!$C$56:$G$56,1,W$7)/12)-(IF(W$6&lt;=6,Scenario_High_PL!$C$58/6,0)))</f>
        <v>-754898.98906249995</v>
      </c>
      <c r="X54" s="133">
        <f>W54+((IF(X$7=1,IF(X$8&lt;=Assumptions!$F$59,0,INDEX(Scenario_High_PL!$C$18:$G$18,1,X$7)/MAX(1,12-Assumptions!$F$59)),INDEX(Scenario_High_PL!$C$18:$G$18,1,X$7)/12))-(IF(X$7=1,IF(X$8&lt;=Assumptions!$F$59,0,INDEX(Scenario_High_PL!$C$29:$G$29,1,X$7)/MAX(1,12-Assumptions!$F$59)),INDEX(Scenario_High_PL!$C$29:$G$29,1,X$7)/12))-(INDEX(Scenario_High_PL!$C$42:$G$42,1,X$7)/12)-(INDEX(Scenario_High_PL!$C$56:$G$56,1,X$7)/12)-(IF(X$6&lt;=6,Scenario_High_PL!$C$58/6,0)))</f>
        <v>-753721.83671874995</v>
      </c>
      <c r="Y54" s="133">
        <f>X54+((IF(Y$7=1,IF(Y$8&lt;=Assumptions!$F$59,0,INDEX(Scenario_High_PL!$C$18:$G$18,1,Y$7)/MAX(1,12-Assumptions!$F$59)),INDEX(Scenario_High_PL!$C$18:$G$18,1,Y$7)/12))-(IF(Y$7=1,IF(Y$8&lt;=Assumptions!$F$59,0,INDEX(Scenario_High_PL!$C$29:$G$29,1,Y$7)/MAX(1,12-Assumptions!$F$59)),INDEX(Scenario_High_PL!$C$29:$G$29,1,Y$7)/12))-(INDEX(Scenario_High_PL!$C$42:$G$42,1,Y$7)/12)-(INDEX(Scenario_High_PL!$C$56:$G$56,1,Y$7)/12)-(IF(Y$6&lt;=6,Scenario_High_PL!$C$58/6,0)))</f>
        <v>-752544.68437499995</v>
      </c>
      <c r="Z54" s="133">
        <f>Y54+((IF(Z$7=1,IF(Z$8&lt;=Assumptions!$F$59,0,INDEX(Scenario_High_PL!$C$18:$G$18,1,Z$7)/MAX(1,12-Assumptions!$F$59)),INDEX(Scenario_High_PL!$C$18:$G$18,1,Z$7)/12))-(IF(Z$7=1,IF(Z$8&lt;=Assumptions!$F$59,0,INDEX(Scenario_High_PL!$C$29:$G$29,1,Z$7)/MAX(1,12-Assumptions!$F$59)),INDEX(Scenario_High_PL!$C$29:$G$29,1,Z$7)/12))-(INDEX(Scenario_High_PL!$C$42:$G$42,1,Z$7)/12)-(INDEX(Scenario_High_PL!$C$56:$G$56,1,Z$7)/12)-(IF(Z$6&lt;=6,Scenario_High_PL!$C$58/6,0)))</f>
        <v>-576479.93437499995</v>
      </c>
      <c r="AA54" s="133">
        <f>Z54+((IF(AA$7=1,IF(AA$8&lt;=Assumptions!$F$59,0,INDEX(Scenario_High_PL!$C$18:$G$18,1,AA$7)/MAX(1,12-Assumptions!$F$59)),INDEX(Scenario_High_PL!$C$18:$G$18,1,AA$7)/12))-(IF(AA$7=1,IF(AA$8&lt;=Assumptions!$F$59,0,INDEX(Scenario_High_PL!$C$29:$G$29,1,AA$7)/MAX(1,12-Assumptions!$F$59)),INDEX(Scenario_High_PL!$C$29:$G$29,1,AA$7)/12))-(INDEX(Scenario_High_PL!$C$42:$G$42,1,AA$7)/12)-(INDEX(Scenario_High_PL!$C$56:$G$56,1,AA$7)/12)-(IF(AA$6&lt;=6,Scenario_High_PL!$C$58/6,0)))</f>
        <v>-400415.18437499995</v>
      </c>
      <c r="AB54" s="133">
        <f>AA54+((IF(AB$7=1,IF(AB$8&lt;=Assumptions!$F$59,0,INDEX(Scenario_High_PL!$C$18:$G$18,1,AB$7)/MAX(1,12-Assumptions!$F$59)),INDEX(Scenario_High_PL!$C$18:$G$18,1,AB$7)/12))-(IF(AB$7=1,IF(AB$8&lt;=Assumptions!$F$59,0,INDEX(Scenario_High_PL!$C$29:$G$29,1,AB$7)/MAX(1,12-Assumptions!$F$59)),INDEX(Scenario_High_PL!$C$29:$G$29,1,AB$7)/12))-(INDEX(Scenario_High_PL!$C$42:$G$42,1,AB$7)/12)-(INDEX(Scenario_High_PL!$C$56:$G$56,1,AB$7)/12)-(IF(AB$6&lt;=6,Scenario_High_PL!$C$58/6,0)))</f>
        <v>-224350.43437499995</v>
      </c>
      <c r="AC54" s="133">
        <f>AB54+((IF(AC$7=1,IF(AC$8&lt;=Assumptions!$F$59,0,INDEX(Scenario_High_PL!$C$18:$G$18,1,AC$7)/MAX(1,12-Assumptions!$F$59)),INDEX(Scenario_High_PL!$C$18:$G$18,1,AC$7)/12))-(IF(AC$7=1,IF(AC$8&lt;=Assumptions!$F$59,0,INDEX(Scenario_High_PL!$C$29:$G$29,1,AC$7)/MAX(1,12-Assumptions!$F$59)),INDEX(Scenario_High_PL!$C$29:$G$29,1,AC$7)/12))-(INDEX(Scenario_High_PL!$C$42:$G$42,1,AC$7)/12)-(INDEX(Scenario_High_PL!$C$56:$G$56,1,AC$7)/12)-(IF(AC$6&lt;=6,Scenario_High_PL!$C$58/6,0)))</f>
        <v>-48285.684374999953</v>
      </c>
      <c r="AD54" s="133">
        <f>AC54+((IF(AD$7=1,IF(AD$8&lt;=Assumptions!$F$59,0,INDEX(Scenario_High_PL!$C$18:$G$18,1,AD$7)/MAX(1,12-Assumptions!$F$59)),INDEX(Scenario_High_PL!$C$18:$G$18,1,AD$7)/12))-(IF(AD$7=1,IF(AD$8&lt;=Assumptions!$F$59,0,INDEX(Scenario_High_PL!$C$29:$G$29,1,AD$7)/MAX(1,12-Assumptions!$F$59)),INDEX(Scenario_High_PL!$C$29:$G$29,1,AD$7)/12))-(INDEX(Scenario_High_PL!$C$42:$G$42,1,AD$7)/12)-(INDEX(Scenario_High_PL!$C$56:$G$56,1,AD$7)/12)-(IF(AD$6&lt;=6,Scenario_High_PL!$C$58/6,0)))</f>
        <v>127779.06562500005</v>
      </c>
      <c r="AE54" s="133">
        <f>AD54+((IF(AE$7=1,IF(AE$8&lt;=Assumptions!$F$59,0,INDEX(Scenario_High_PL!$C$18:$G$18,1,AE$7)/MAX(1,12-Assumptions!$F$59)),INDEX(Scenario_High_PL!$C$18:$G$18,1,AE$7)/12))-(IF(AE$7=1,IF(AE$8&lt;=Assumptions!$F$59,0,INDEX(Scenario_High_PL!$C$29:$G$29,1,AE$7)/MAX(1,12-Assumptions!$F$59)),INDEX(Scenario_High_PL!$C$29:$G$29,1,AE$7)/12))-(INDEX(Scenario_High_PL!$C$42:$G$42,1,AE$7)/12)-(INDEX(Scenario_High_PL!$C$56:$G$56,1,AE$7)/12)-(IF(AE$6&lt;=6,Scenario_High_PL!$C$58/6,0)))</f>
        <v>303843.81562500005</v>
      </c>
      <c r="AF54" s="133">
        <f>AE54+((IF(AF$7=1,IF(AF$8&lt;=Assumptions!$F$59,0,INDEX(Scenario_High_PL!$C$18:$G$18,1,AF$7)/MAX(1,12-Assumptions!$F$59)),INDEX(Scenario_High_PL!$C$18:$G$18,1,AF$7)/12))-(IF(AF$7=1,IF(AF$8&lt;=Assumptions!$F$59,0,INDEX(Scenario_High_PL!$C$29:$G$29,1,AF$7)/MAX(1,12-Assumptions!$F$59)),INDEX(Scenario_High_PL!$C$29:$G$29,1,AF$7)/12))-(INDEX(Scenario_High_PL!$C$42:$G$42,1,AF$7)/12)-(INDEX(Scenario_High_PL!$C$56:$G$56,1,AF$7)/12)-(IF(AF$6&lt;=6,Scenario_High_PL!$C$58/6,0)))</f>
        <v>479908.56562500005</v>
      </c>
      <c r="AG54" s="133">
        <f>AF54+((IF(AG$7=1,IF(AG$8&lt;=Assumptions!$F$59,0,INDEX(Scenario_High_PL!$C$18:$G$18,1,AG$7)/MAX(1,12-Assumptions!$F$59)),INDEX(Scenario_High_PL!$C$18:$G$18,1,AG$7)/12))-(IF(AG$7=1,IF(AG$8&lt;=Assumptions!$F$59,0,INDEX(Scenario_High_PL!$C$29:$G$29,1,AG$7)/MAX(1,12-Assumptions!$F$59)),INDEX(Scenario_High_PL!$C$29:$G$29,1,AG$7)/12))-(INDEX(Scenario_High_PL!$C$42:$G$42,1,AG$7)/12)-(INDEX(Scenario_High_PL!$C$56:$G$56,1,AG$7)/12)-(IF(AG$6&lt;=6,Scenario_High_PL!$C$58/6,0)))</f>
        <v>655973.31562500005</v>
      </c>
      <c r="AH54" s="133">
        <f>AG54+((IF(AH$7=1,IF(AH$8&lt;=Assumptions!$F$59,0,INDEX(Scenario_High_PL!$C$18:$G$18,1,AH$7)/MAX(1,12-Assumptions!$F$59)),INDEX(Scenario_High_PL!$C$18:$G$18,1,AH$7)/12))-(IF(AH$7=1,IF(AH$8&lt;=Assumptions!$F$59,0,INDEX(Scenario_High_PL!$C$29:$G$29,1,AH$7)/MAX(1,12-Assumptions!$F$59)),INDEX(Scenario_High_PL!$C$29:$G$29,1,AH$7)/12))-(INDEX(Scenario_High_PL!$C$42:$G$42,1,AH$7)/12)-(INDEX(Scenario_High_PL!$C$56:$G$56,1,AH$7)/12)-(IF(AH$6&lt;=6,Scenario_High_PL!$C$58/6,0)))</f>
        <v>832038.06562500005</v>
      </c>
      <c r="AI54" s="133">
        <f>AH54+((IF(AI$7=1,IF(AI$8&lt;=Assumptions!$F$59,0,INDEX(Scenario_High_PL!$C$18:$G$18,1,AI$7)/MAX(1,12-Assumptions!$F$59)),INDEX(Scenario_High_PL!$C$18:$G$18,1,AI$7)/12))-(IF(AI$7=1,IF(AI$8&lt;=Assumptions!$F$59,0,INDEX(Scenario_High_PL!$C$29:$G$29,1,AI$7)/MAX(1,12-Assumptions!$F$59)),INDEX(Scenario_High_PL!$C$29:$G$29,1,AI$7)/12))-(INDEX(Scenario_High_PL!$C$42:$G$42,1,AI$7)/12)-(INDEX(Scenario_High_PL!$C$56:$G$56,1,AI$7)/12)-(IF(AI$6&lt;=6,Scenario_High_PL!$C$58/6,0)))</f>
        <v>1008102.815625</v>
      </c>
      <c r="AJ54" s="133">
        <f>AI54+((IF(AJ$7=1,IF(AJ$8&lt;=Assumptions!$F$59,0,INDEX(Scenario_High_PL!$C$18:$G$18,1,AJ$7)/MAX(1,12-Assumptions!$F$59)),INDEX(Scenario_High_PL!$C$18:$G$18,1,AJ$7)/12))-(IF(AJ$7=1,IF(AJ$8&lt;=Assumptions!$F$59,0,INDEX(Scenario_High_PL!$C$29:$G$29,1,AJ$7)/MAX(1,12-Assumptions!$F$59)),INDEX(Scenario_High_PL!$C$29:$G$29,1,AJ$7)/12))-(INDEX(Scenario_High_PL!$C$42:$G$42,1,AJ$7)/12)-(INDEX(Scenario_High_PL!$C$56:$G$56,1,AJ$7)/12)-(IF(AJ$6&lt;=6,Scenario_High_PL!$C$58/6,0)))</f>
        <v>1184167.565625</v>
      </c>
      <c r="AK54" s="133">
        <f>AJ54+((IF(AK$7=1,IF(AK$8&lt;=Assumptions!$F$59,0,INDEX(Scenario_High_PL!$C$18:$G$18,1,AK$7)/MAX(1,12-Assumptions!$F$59)),INDEX(Scenario_High_PL!$C$18:$G$18,1,AK$7)/12))-(IF(AK$7=1,IF(AK$8&lt;=Assumptions!$F$59,0,INDEX(Scenario_High_PL!$C$29:$G$29,1,AK$7)/MAX(1,12-Assumptions!$F$59)),INDEX(Scenario_High_PL!$C$29:$G$29,1,AK$7)/12))-(INDEX(Scenario_High_PL!$C$42:$G$42,1,AK$7)/12)-(INDEX(Scenario_High_PL!$C$56:$G$56,1,AK$7)/12)-(IF(AK$6&lt;=6,Scenario_High_PL!$C$58/6,0)))</f>
        <v>1360232.315625</v>
      </c>
      <c r="AL54" s="133">
        <f>AK54+((IF(AL$7=1,IF(AL$8&lt;=Assumptions!$F$59,0,INDEX(Scenario_High_PL!$C$18:$G$18,1,AL$7)/MAX(1,12-Assumptions!$F$59)),INDEX(Scenario_High_PL!$C$18:$G$18,1,AL$7)/12))-(IF(AL$7=1,IF(AL$8&lt;=Assumptions!$F$59,0,INDEX(Scenario_High_PL!$C$29:$G$29,1,AL$7)/MAX(1,12-Assumptions!$F$59)),INDEX(Scenario_High_PL!$C$29:$G$29,1,AL$7)/12))-(INDEX(Scenario_High_PL!$C$42:$G$42,1,AL$7)/12)-(INDEX(Scenario_High_PL!$C$56:$G$56,1,AL$7)/12)-(IF(AL$6&lt;=6,Scenario_High_PL!$C$58/6,0)))</f>
        <v>1974384.2671875001</v>
      </c>
      <c r="AM54" s="133">
        <f>AL54+((IF(AM$7=1,IF(AM$8&lt;=Assumptions!$F$59,0,INDEX(Scenario_High_PL!$C$18:$G$18,1,AM$7)/MAX(1,12-Assumptions!$F$59)),INDEX(Scenario_High_PL!$C$18:$G$18,1,AM$7)/12))-(IF(AM$7=1,IF(AM$8&lt;=Assumptions!$F$59,0,INDEX(Scenario_High_PL!$C$29:$G$29,1,AM$7)/MAX(1,12-Assumptions!$F$59)),INDEX(Scenario_High_PL!$C$29:$G$29,1,AM$7)/12))-(INDEX(Scenario_High_PL!$C$42:$G$42,1,AM$7)/12)-(INDEX(Scenario_High_PL!$C$56:$G$56,1,AM$7)/12)-(IF(AM$6&lt;=6,Scenario_High_PL!$C$58/6,0)))</f>
        <v>2588536.21875</v>
      </c>
      <c r="AN54" s="133">
        <f>AM54+((IF(AN$7=1,IF(AN$8&lt;=Assumptions!$F$59,0,INDEX(Scenario_High_PL!$C$18:$G$18,1,AN$7)/MAX(1,12-Assumptions!$F$59)),INDEX(Scenario_High_PL!$C$18:$G$18,1,AN$7)/12))-(IF(AN$7=1,IF(AN$8&lt;=Assumptions!$F$59,0,INDEX(Scenario_High_PL!$C$29:$G$29,1,AN$7)/MAX(1,12-Assumptions!$F$59)),INDEX(Scenario_High_PL!$C$29:$G$29,1,AN$7)/12))-(INDEX(Scenario_High_PL!$C$42:$G$42,1,AN$7)/12)-(INDEX(Scenario_High_PL!$C$56:$G$56,1,AN$7)/12)-(IF(AN$6&lt;=6,Scenario_High_PL!$C$58/6,0)))</f>
        <v>3202688.1703125001</v>
      </c>
      <c r="AO54" s="133">
        <f>AN54+((IF(AO$7=1,IF(AO$8&lt;=Assumptions!$F$59,0,INDEX(Scenario_High_PL!$C$18:$G$18,1,AO$7)/MAX(1,12-Assumptions!$F$59)),INDEX(Scenario_High_PL!$C$18:$G$18,1,AO$7)/12))-(IF(AO$7=1,IF(AO$8&lt;=Assumptions!$F$59,0,INDEX(Scenario_High_PL!$C$29:$G$29,1,AO$7)/MAX(1,12-Assumptions!$F$59)),INDEX(Scenario_High_PL!$C$29:$G$29,1,AO$7)/12))-(INDEX(Scenario_High_PL!$C$42:$G$42,1,AO$7)/12)-(INDEX(Scenario_High_PL!$C$56:$G$56,1,AO$7)/12)-(IF(AO$6&lt;=6,Scenario_High_PL!$C$58/6,0)))</f>
        <v>3816840.1218750002</v>
      </c>
      <c r="AP54" s="133">
        <f>AO54+((IF(AP$7=1,IF(AP$8&lt;=Assumptions!$F$59,0,INDEX(Scenario_High_PL!$C$18:$G$18,1,AP$7)/MAX(1,12-Assumptions!$F$59)),INDEX(Scenario_High_PL!$C$18:$G$18,1,AP$7)/12))-(IF(AP$7=1,IF(AP$8&lt;=Assumptions!$F$59,0,INDEX(Scenario_High_PL!$C$29:$G$29,1,AP$7)/MAX(1,12-Assumptions!$F$59)),INDEX(Scenario_High_PL!$C$29:$G$29,1,AP$7)/12))-(INDEX(Scenario_High_PL!$C$42:$G$42,1,AP$7)/12)-(INDEX(Scenario_High_PL!$C$56:$G$56,1,AP$7)/12)-(IF(AP$6&lt;=6,Scenario_High_PL!$C$58/6,0)))</f>
        <v>4430992.0734375007</v>
      </c>
      <c r="AQ54" s="133">
        <f>AP54+((IF(AQ$7=1,IF(AQ$8&lt;=Assumptions!$F$59,0,INDEX(Scenario_High_PL!$C$18:$G$18,1,AQ$7)/MAX(1,12-Assumptions!$F$59)),INDEX(Scenario_High_PL!$C$18:$G$18,1,AQ$7)/12))-(IF(AQ$7=1,IF(AQ$8&lt;=Assumptions!$F$59,0,INDEX(Scenario_High_PL!$C$29:$G$29,1,AQ$7)/MAX(1,12-Assumptions!$F$59)),INDEX(Scenario_High_PL!$C$29:$G$29,1,AQ$7)/12))-(INDEX(Scenario_High_PL!$C$42:$G$42,1,AQ$7)/12)-(INDEX(Scenario_High_PL!$C$56:$G$56,1,AQ$7)/12)-(IF(AQ$6&lt;=6,Scenario_High_PL!$C$58/6,0)))</f>
        <v>5045144.0250000004</v>
      </c>
      <c r="AR54" s="133">
        <f>AQ54+((IF(AR$7=1,IF(AR$8&lt;=Assumptions!$F$59,0,INDEX(Scenario_High_PL!$C$18:$G$18,1,AR$7)/MAX(1,12-Assumptions!$F$59)),INDEX(Scenario_High_PL!$C$18:$G$18,1,AR$7)/12))-(IF(AR$7=1,IF(AR$8&lt;=Assumptions!$F$59,0,INDEX(Scenario_High_PL!$C$29:$G$29,1,AR$7)/MAX(1,12-Assumptions!$F$59)),INDEX(Scenario_High_PL!$C$29:$G$29,1,AR$7)/12))-(INDEX(Scenario_High_PL!$C$42:$G$42,1,AR$7)/12)-(INDEX(Scenario_High_PL!$C$56:$G$56,1,AR$7)/12)-(IF(AR$6&lt;=6,Scenario_High_PL!$C$58/6,0)))</f>
        <v>5659295.9765625</v>
      </c>
      <c r="AS54" s="133">
        <f>AR54+((IF(AS$7=1,IF(AS$8&lt;=Assumptions!$F$59,0,INDEX(Scenario_High_PL!$C$18:$G$18,1,AS$7)/MAX(1,12-Assumptions!$F$59)),INDEX(Scenario_High_PL!$C$18:$G$18,1,AS$7)/12))-(IF(AS$7=1,IF(AS$8&lt;=Assumptions!$F$59,0,INDEX(Scenario_High_PL!$C$29:$G$29,1,AS$7)/MAX(1,12-Assumptions!$F$59)),INDEX(Scenario_High_PL!$C$29:$G$29,1,AS$7)/12))-(INDEX(Scenario_High_PL!$C$42:$G$42,1,AS$7)/12)-(INDEX(Scenario_High_PL!$C$56:$G$56,1,AS$7)/12)-(IF(AS$6&lt;=6,Scenario_High_PL!$C$58/6,0)))</f>
        <v>6273447.9281249996</v>
      </c>
      <c r="AT54" s="133">
        <f>AS54+((IF(AT$7=1,IF(AT$8&lt;=Assumptions!$F$59,0,INDEX(Scenario_High_PL!$C$18:$G$18,1,AT$7)/MAX(1,12-Assumptions!$F$59)),INDEX(Scenario_High_PL!$C$18:$G$18,1,AT$7)/12))-(IF(AT$7=1,IF(AT$8&lt;=Assumptions!$F$59,0,INDEX(Scenario_High_PL!$C$29:$G$29,1,AT$7)/MAX(1,12-Assumptions!$F$59)),INDEX(Scenario_High_PL!$C$29:$G$29,1,AT$7)/12))-(INDEX(Scenario_High_PL!$C$42:$G$42,1,AT$7)/12)-(INDEX(Scenario_High_PL!$C$56:$G$56,1,AT$7)/12)-(IF(AT$6&lt;=6,Scenario_High_PL!$C$58/6,0)))</f>
        <v>6887599.8796874993</v>
      </c>
      <c r="AU54" s="133">
        <f>AT54+((IF(AU$7=1,IF(AU$8&lt;=Assumptions!$F$59,0,INDEX(Scenario_High_PL!$C$18:$G$18,1,AU$7)/MAX(1,12-Assumptions!$F$59)),INDEX(Scenario_High_PL!$C$18:$G$18,1,AU$7)/12))-(IF(AU$7=1,IF(AU$8&lt;=Assumptions!$F$59,0,INDEX(Scenario_High_PL!$C$29:$G$29,1,AU$7)/MAX(1,12-Assumptions!$F$59)),INDEX(Scenario_High_PL!$C$29:$G$29,1,AU$7)/12))-(INDEX(Scenario_High_PL!$C$42:$G$42,1,AU$7)/12)-(INDEX(Scenario_High_PL!$C$56:$G$56,1,AU$7)/12)-(IF(AU$6&lt;=6,Scenario_High_PL!$C$58/6,0)))</f>
        <v>7501751.8312499989</v>
      </c>
      <c r="AV54" s="133">
        <f>AU54+((IF(AV$7=1,IF(AV$8&lt;=Assumptions!$F$59,0,INDEX(Scenario_High_PL!$C$18:$G$18,1,AV$7)/MAX(1,12-Assumptions!$F$59)),INDEX(Scenario_High_PL!$C$18:$G$18,1,AV$7)/12))-(IF(AV$7=1,IF(AV$8&lt;=Assumptions!$F$59,0,INDEX(Scenario_High_PL!$C$29:$G$29,1,AV$7)/MAX(1,12-Assumptions!$F$59)),INDEX(Scenario_High_PL!$C$29:$G$29,1,AV$7)/12))-(INDEX(Scenario_High_PL!$C$42:$G$42,1,AV$7)/12)-(INDEX(Scenario_High_PL!$C$56:$G$56,1,AV$7)/12)-(IF(AV$6&lt;=6,Scenario_High_PL!$C$58/6,0)))</f>
        <v>8115903.7828124985</v>
      </c>
      <c r="AW54" s="133">
        <f>AV54+((IF(AW$7=1,IF(AW$8&lt;=Assumptions!$F$59,0,INDEX(Scenario_High_PL!$C$18:$G$18,1,AW$7)/MAX(1,12-Assumptions!$F$59)),INDEX(Scenario_High_PL!$C$18:$G$18,1,AW$7)/12))-(IF(AW$7=1,IF(AW$8&lt;=Assumptions!$F$59,0,INDEX(Scenario_High_PL!$C$29:$G$29,1,AW$7)/MAX(1,12-Assumptions!$F$59)),INDEX(Scenario_High_PL!$C$29:$G$29,1,AW$7)/12))-(INDEX(Scenario_High_PL!$C$42:$G$42,1,AW$7)/12)-(INDEX(Scenario_High_PL!$C$56:$G$56,1,AW$7)/12)-(IF(AW$6&lt;=6,Scenario_High_PL!$C$58/6,0)))</f>
        <v>8730055.7343749981</v>
      </c>
      <c r="AX54" s="133">
        <f>AW54+((IF(AX$7=1,IF(AX$8&lt;=Assumptions!$F$59,0,INDEX(Scenario_High_PL!$C$18:$G$18,1,AX$7)/MAX(1,12-Assumptions!$F$59)),INDEX(Scenario_High_PL!$C$18:$G$18,1,AX$7)/12))-(IF(AX$7=1,IF(AX$8&lt;=Assumptions!$F$59,0,INDEX(Scenario_High_PL!$C$29:$G$29,1,AX$7)/MAX(1,12-Assumptions!$F$59)),INDEX(Scenario_High_PL!$C$29:$G$29,1,AX$7)/12))-(INDEX(Scenario_High_PL!$C$42:$G$42,1,AX$7)/12)-(INDEX(Scenario_High_PL!$C$56:$G$56,1,AX$7)/12)-(IF(AX$6&lt;=6,Scenario_High_PL!$C$58/6,0)))</f>
        <v>10653943.191666665</v>
      </c>
      <c r="AY54" s="133">
        <f>AX54+((IF(AY$7=1,IF(AY$8&lt;=Assumptions!$F$59,0,INDEX(Scenario_High_PL!$C$18:$G$18,1,AY$7)/MAX(1,12-Assumptions!$F$59)),INDEX(Scenario_High_PL!$C$18:$G$18,1,AY$7)/12))-(IF(AY$7=1,IF(AY$8&lt;=Assumptions!$F$59,0,INDEX(Scenario_High_PL!$C$29:$G$29,1,AY$7)/MAX(1,12-Assumptions!$F$59)),INDEX(Scenario_High_PL!$C$29:$G$29,1,AY$7)/12))-(INDEX(Scenario_High_PL!$C$42:$G$42,1,AY$7)/12)-(INDEX(Scenario_High_PL!$C$56:$G$56,1,AY$7)/12)-(IF(AY$6&lt;=6,Scenario_High_PL!$C$58/6,0)))</f>
        <v>12577830.648958331</v>
      </c>
      <c r="AZ54" s="133">
        <f>AY54+((IF(AZ$7=1,IF(AZ$8&lt;=Assumptions!$F$59,0,INDEX(Scenario_High_PL!$C$18:$G$18,1,AZ$7)/MAX(1,12-Assumptions!$F$59)),INDEX(Scenario_High_PL!$C$18:$G$18,1,AZ$7)/12))-(IF(AZ$7=1,IF(AZ$8&lt;=Assumptions!$F$59,0,INDEX(Scenario_High_PL!$C$29:$G$29,1,AZ$7)/MAX(1,12-Assumptions!$F$59)),INDEX(Scenario_High_PL!$C$29:$G$29,1,AZ$7)/12))-(INDEX(Scenario_High_PL!$C$42:$G$42,1,AZ$7)/12)-(INDEX(Scenario_High_PL!$C$56:$G$56,1,AZ$7)/12)-(IF(AZ$6&lt;=6,Scenario_High_PL!$C$58/6,0)))</f>
        <v>14501718.106249997</v>
      </c>
      <c r="BA54" s="133">
        <f>AZ54+((IF(BA$7=1,IF(BA$8&lt;=Assumptions!$F$59,0,INDEX(Scenario_High_PL!$C$18:$G$18,1,BA$7)/MAX(1,12-Assumptions!$F$59)),INDEX(Scenario_High_PL!$C$18:$G$18,1,BA$7)/12))-(IF(BA$7=1,IF(BA$8&lt;=Assumptions!$F$59,0,INDEX(Scenario_High_PL!$C$29:$G$29,1,BA$7)/MAX(1,12-Assumptions!$F$59)),INDEX(Scenario_High_PL!$C$29:$G$29,1,BA$7)/12))-(INDEX(Scenario_High_PL!$C$42:$G$42,1,BA$7)/12)-(INDEX(Scenario_High_PL!$C$56:$G$56,1,BA$7)/12)-(IF(BA$6&lt;=6,Scenario_High_PL!$C$58/6,0)))</f>
        <v>16425605.563541664</v>
      </c>
      <c r="BB54" s="133">
        <f>BA54+((IF(BB$7=1,IF(BB$8&lt;=Assumptions!$F$59,0,INDEX(Scenario_High_PL!$C$18:$G$18,1,BB$7)/MAX(1,12-Assumptions!$F$59)),INDEX(Scenario_High_PL!$C$18:$G$18,1,BB$7)/12))-(IF(BB$7=1,IF(BB$8&lt;=Assumptions!$F$59,0,INDEX(Scenario_High_PL!$C$29:$G$29,1,BB$7)/MAX(1,12-Assumptions!$F$59)),INDEX(Scenario_High_PL!$C$29:$G$29,1,BB$7)/12))-(INDEX(Scenario_High_PL!$C$42:$G$42,1,BB$7)/12)-(INDEX(Scenario_High_PL!$C$56:$G$56,1,BB$7)/12)-(IF(BB$6&lt;=6,Scenario_High_PL!$C$58/6,0)))</f>
        <v>18349493.020833332</v>
      </c>
      <c r="BC54" s="133">
        <f>BB54+((IF(BC$7=1,IF(BC$8&lt;=Assumptions!$F$59,0,INDEX(Scenario_High_PL!$C$18:$G$18,1,BC$7)/MAX(1,12-Assumptions!$F$59)),INDEX(Scenario_High_PL!$C$18:$G$18,1,BC$7)/12))-(IF(BC$7=1,IF(BC$8&lt;=Assumptions!$F$59,0,INDEX(Scenario_High_PL!$C$29:$G$29,1,BC$7)/MAX(1,12-Assumptions!$F$59)),INDEX(Scenario_High_PL!$C$29:$G$29,1,BC$7)/12))-(INDEX(Scenario_High_PL!$C$42:$G$42,1,BC$7)/12)-(INDEX(Scenario_High_PL!$C$56:$G$56,1,BC$7)/12)-(IF(BC$6&lt;=6,Scenario_High_PL!$C$58/6,0)))</f>
        <v>20273380.478124999</v>
      </c>
      <c r="BD54" s="133">
        <f>BC54+((IF(BD$7=1,IF(BD$8&lt;=Assumptions!$F$59,0,INDEX(Scenario_High_PL!$C$18:$G$18,1,BD$7)/MAX(1,12-Assumptions!$F$59)),INDEX(Scenario_High_PL!$C$18:$G$18,1,BD$7)/12))-(IF(BD$7=1,IF(BD$8&lt;=Assumptions!$F$59,0,INDEX(Scenario_High_PL!$C$29:$G$29,1,BD$7)/MAX(1,12-Assumptions!$F$59)),INDEX(Scenario_High_PL!$C$29:$G$29,1,BD$7)/12))-(INDEX(Scenario_High_PL!$C$42:$G$42,1,BD$7)/12)-(INDEX(Scenario_High_PL!$C$56:$G$56,1,BD$7)/12)-(IF(BD$6&lt;=6,Scenario_High_PL!$C$58/6,0)))</f>
        <v>22197267.935416665</v>
      </c>
      <c r="BE54" s="133">
        <f>BD54+((IF(BE$7=1,IF(BE$8&lt;=Assumptions!$F$59,0,INDEX(Scenario_High_PL!$C$18:$G$18,1,BE$7)/MAX(1,12-Assumptions!$F$59)),INDEX(Scenario_High_PL!$C$18:$G$18,1,BE$7)/12))-(IF(BE$7=1,IF(BE$8&lt;=Assumptions!$F$59,0,INDEX(Scenario_High_PL!$C$29:$G$29,1,BE$7)/MAX(1,12-Assumptions!$F$59)),INDEX(Scenario_High_PL!$C$29:$G$29,1,BE$7)/12))-(INDEX(Scenario_High_PL!$C$42:$G$42,1,BE$7)/12)-(INDEX(Scenario_High_PL!$C$56:$G$56,1,BE$7)/12)-(IF(BE$6&lt;=6,Scenario_High_PL!$C$58/6,0)))</f>
        <v>24121155.392708331</v>
      </c>
      <c r="BF54" s="133">
        <f>BE54+((IF(BF$7=1,IF(BF$8&lt;=Assumptions!$F$59,0,INDEX(Scenario_High_PL!$C$18:$G$18,1,BF$7)/MAX(1,12-Assumptions!$F$59)),INDEX(Scenario_High_PL!$C$18:$G$18,1,BF$7)/12))-(IF(BF$7=1,IF(BF$8&lt;=Assumptions!$F$59,0,INDEX(Scenario_High_PL!$C$29:$G$29,1,BF$7)/MAX(1,12-Assumptions!$F$59)),INDEX(Scenario_High_PL!$C$29:$G$29,1,BF$7)/12))-(INDEX(Scenario_High_PL!$C$42:$G$42,1,BF$7)/12)-(INDEX(Scenario_High_PL!$C$56:$G$56,1,BF$7)/12)-(IF(BF$6&lt;=6,Scenario_High_PL!$C$58/6,0)))</f>
        <v>26045042.849999998</v>
      </c>
      <c r="BG54" s="133">
        <f>BF54+((IF(BG$7=1,IF(BG$8&lt;=Assumptions!$F$59,0,INDEX(Scenario_High_PL!$C$18:$G$18,1,BG$7)/MAX(1,12-Assumptions!$F$59)),INDEX(Scenario_High_PL!$C$18:$G$18,1,BG$7)/12))-(IF(BG$7=1,IF(BG$8&lt;=Assumptions!$F$59,0,INDEX(Scenario_High_PL!$C$29:$G$29,1,BG$7)/MAX(1,12-Assumptions!$F$59)),INDEX(Scenario_High_PL!$C$29:$G$29,1,BG$7)/12))-(INDEX(Scenario_High_PL!$C$42:$G$42,1,BG$7)/12)-(INDEX(Scenario_High_PL!$C$56:$G$56,1,BG$7)/12)-(IF(BG$6&lt;=6,Scenario_High_PL!$C$58/6,0)))</f>
        <v>27968930.307291664</v>
      </c>
      <c r="BH54" s="133">
        <f>BG54+((IF(BH$7=1,IF(BH$8&lt;=Assumptions!$F$59,0,INDEX(Scenario_High_PL!$C$18:$G$18,1,BH$7)/MAX(1,12-Assumptions!$F$59)),INDEX(Scenario_High_PL!$C$18:$G$18,1,BH$7)/12))-(IF(BH$7=1,IF(BH$8&lt;=Assumptions!$F$59,0,INDEX(Scenario_High_PL!$C$29:$G$29,1,BH$7)/MAX(1,12-Assumptions!$F$59)),INDEX(Scenario_High_PL!$C$29:$G$29,1,BH$7)/12))-(INDEX(Scenario_High_PL!$C$42:$G$42,1,BH$7)/12)-(INDEX(Scenario_High_PL!$C$56:$G$56,1,BH$7)/12)-(IF(BH$6&lt;=6,Scenario_High_PL!$C$58/6,0)))</f>
        <v>29892817.764583331</v>
      </c>
      <c r="BI54" s="133">
        <f>BH54+((IF(BI$7=1,IF(BI$8&lt;=Assumptions!$F$59,0,INDEX(Scenario_High_PL!$C$18:$G$18,1,BI$7)/MAX(1,12-Assumptions!$F$59)),INDEX(Scenario_High_PL!$C$18:$G$18,1,BI$7)/12))-(IF(BI$7=1,IF(BI$8&lt;=Assumptions!$F$59,0,INDEX(Scenario_High_PL!$C$29:$G$29,1,BI$7)/MAX(1,12-Assumptions!$F$59)),INDEX(Scenario_High_PL!$C$29:$G$29,1,BI$7)/12))-(INDEX(Scenario_High_PL!$C$42:$G$42,1,BI$7)/12)-(INDEX(Scenario_High_PL!$C$56:$G$56,1,BI$7)/12)-(IF(BI$6&lt;=6,Scenario_High_PL!$C$58/6,0)))</f>
        <v>31816705.221874997</v>
      </c>
    </row>
  </sheetData>
  <mergeCells count="4">
    <mergeCell ref="A49:BI49"/>
    <mergeCell ref="A1:BI1"/>
    <mergeCell ref="A43:L43"/>
    <mergeCell ref="A2:B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74"/>
  <sheetViews>
    <sheetView showGridLines="0" workbookViewId="0">
      <pane xSplit="2" ySplit="5" topLeftCell="C6" activePane="bottomRight" state="frozen"/>
      <selection activeCell="G8" sqref="G8"/>
      <selection pane="topRight" activeCell="G8" sqref="G8"/>
      <selection pane="bottomLeft" activeCell="G8" sqref="G8"/>
      <selection pane="bottomRight" activeCell="H8" sqref="H8"/>
    </sheetView>
  </sheetViews>
  <sheetFormatPr defaultColWidth="8.6328125" defaultRowHeight="14.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Assumptions!$F$11</f>
        <v>180</v>
      </c>
      <c r="D7" s="94">
        <f>Assumptions!$F$12</f>
        <v>900</v>
      </c>
      <c r="E7" s="94">
        <f>Assumptions!$F$13</f>
        <v>3000</v>
      </c>
      <c r="F7" s="95">
        <f>Assumptions!$F$155</f>
        <v>7500</v>
      </c>
      <c r="G7" s="95">
        <f>Assumptions!$F$156</f>
        <v>18000</v>
      </c>
      <c r="H7" s="95" t="s">
        <v>622</v>
      </c>
    </row>
    <row r="8" spans="2:8" ht="15" customHeight="1">
      <c r="B8" s="7" t="s">
        <v>623</v>
      </c>
      <c r="C8" s="203">
        <f>Assumptions!$F$14</f>
        <v>30000</v>
      </c>
      <c r="D8" s="203">
        <f>C8*(1+Assumptions!$F$15)</f>
        <v>40500</v>
      </c>
      <c r="E8" s="203">
        <f>D8*(1+Assumptions!$F$15)</f>
        <v>54675</v>
      </c>
      <c r="F8" s="203">
        <f>E8*(1+Assumptions!$F$15)</f>
        <v>73811.25</v>
      </c>
      <c r="G8" s="203">
        <f>F8*(1+Assumptions!$F$15)</f>
        <v>99645.1875</v>
      </c>
      <c r="H8" s="97" t="s">
        <v>624</v>
      </c>
    </row>
    <row r="9" spans="2:8" ht="21.75" customHeight="1">
      <c r="B9" s="7" t="s">
        <v>625</v>
      </c>
      <c r="C9" s="98">
        <f>C7*C8</f>
        <v>5400000</v>
      </c>
      <c r="D9" s="98">
        <f>D7*D8</f>
        <v>36450000</v>
      </c>
      <c r="E9" s="98">
        <f>E7*E8</f>
        <v>164025000</v>
      </c>
      <c r="F9" s="99">
        <f>F7*F8</f>
        <v>553584375</v>
      </c>
      <c r="G9" s="99">
        <f>G7*G8</f>
        <v>1793613375</v>
      </c>
      <c r="H9" s="99" t="s">
        <v>626</v>
      </c>
    </row>
    <row r="10" spans="2:8" ht="15" customHeight="1">
      <c r="B10" s="7" t="s">
        <v>627</v>
      </c>
      <c r="C10" s="94">
        <f>Tier_Economics!E7</f>
        <v>1215</v>
      </c>
      <c r="D10" s="94">
        <f>Tier_Economics!I7</f>
        <v>5265</v>
      </c>
      <c r="E10" s="94">
        <f>Tier_Economics!M7</f>
        <v>15300</v>
      </c>
      <c r="F10" s="95">
        <f>Tier_Economics!Q7</f>
        <v>33300</v>
      </c>
      <c r="G10" s="95">
        <f>Tier_Economics!U7</f>
        <v>72900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180</v>
      </c>
      <c r="D11" s="100">
        <f>D7*Assumptions!$F$16*Assumptions!$F$62</f>
        <v>900</v>
      </c>
      <c r="E11" s="100">
        <f>E7*Assumptions!$F$16*Assumptions!$F$62</f>
        <v>3000</v>
      </c>
      <c r="F11" s="101">
        <f>F7*Assumptions!$F$16*Assumptions!$F$62</f>
        <v>7500</v>
      </c>
      <c r="G11" s="101">
        <f>G7*Assumptions!$F$16*Assumptions!$F$62</f>
        <v>18000</v>
      </c>
      <c r="H11" s="101" t="s">
        <v>630</v>
      </c>
    </row>
    <row r="12" spans="2:8" ht="15" customHeight="1">
      <c r="B12" s="7" t="s">
        <v>631</v>
      </c>
      <c r="C12" s="94">
        <f>Tier_Economics!E16</f>
        <v>23.58</v>
      </c>
      <c r="D12" s="94">
        <f>Tier_Economics!I16</f>
        <v>96.3</v>
      </c>
      <c r="E12" s="94">
        <f>Tier_Economics!M16</f>
        <v>264</v>
      </c>
      <c r="F12" s="95">
        <f>Tier_Economics!Q16</f>
        <v>540</v>
      </c>
      <c r="G12" s="95">
        <f>Tier_Economics!U16</f>
        <v>1134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Tier_Economics!E12</f>
        <v>61515</v>
      </c>
      <c r="D14" s="96">
        <f>Tier_Economics!I12</f>
        <v>341718.75</v>
      </c>
      <c r="E14" s="96">
        <f>Tier_Economics!M12</f>
        <v>1369608.75</v>
      </c>
      <c r="F14" s="97">
        <f>Tier_Economics!Q12</f>
        <v>4162954.5</v>
      </c>
      <c r="G14" s="97">
        <f>Tier_Economics!U12</f>
        <v>12689814.628125001</v>
      </c>
      <c r="H14" s="97" t="s">
        <v>635</v>
      </c>
    </row>
    <row r="15" spans="2:8" ht="15" customHeight="1">
      <c r="B15" s="7" t="s">
        <v>636</v>
      </c>
      <c r="C15" s="96">
        <f>Tier_Economics!E14</f>
        <v>29565</v>
      </c>
      <c r="D15" s="96">
        <f>Tier_Economics!I14</f>
        <v>110700</v>
      </c>
      <c r="E15" s="96">
        <f>Tier_Economics!M14</f>
        <v>276750</v>
      </c>
      <c r="F15" s="97">
        <f>Tier_Economics!Q14</f>
        <v>508500</v>
      </c>
      <c r="G15" s="97">
        <f>Tier_Economics!U14</f>
        <v>990000</v>
      </c>
      <c r="H15" s="97" t="s">
        <v>637</v>
      </c>
    </row>
    <row r="16" spans="2:8" ht="15" customHeight="1">
      <c r="B16" s="7" t="s">
        <v>638</v>
      </c>
      <c r="C16" s="96">
        <f>Tier_Economics!E18</f>
        <v>8928</v>
      </c>
      <c r="D16" s="96">
        <f>Tier_Economics!I18</f>
        <v>31680</v>
      </c>
      <c r="E16" s="96">
        <f>Tier_Economics!M18</f>
        <v>74400</v>
      </c>
      <c r="F16" s="97">
        <f>Tier_Economics!Q18</f>
        <v>126000</v>
      </c>
      <c r="G16" s="97">
        <f>Tier_Economics!U18</f>
        <v>230400</v>
      </c>
      <c r="H16" s="97" t="s">
        <v>639</v>
      </c>
    </row>
    <row r="17" spans="2:8" ht="21.75" customHeight="1">
      <c r="B17" s="7" t="s">
        <v>640</v>
      </c>
      <c r="C17" s="98">
        <f>Revenue_Risk_AddOns!B15</f>
        <v>7497</v>
      </c>
      <c r="D17" s="96">
        <f>Revenue_Risk_AddOns!C15</f>
        <v>114678</v>
      </c>
      <c r="E17" s="96">
        <f>Revenue_Risk_AddOns!D15</f>
        <v>238590</v>
      </c>
      <c r="F17" s="97">
        <f>Revenue_Risk_AddOns!E15</f>
        <v>422400</v>
      </c>
      <c r="G17" s="97">
        <f>Revenue_Risk_AddOns!F15</f>
        <v>830040</v>
      </c>
      <c r="H17" s="97" t="s">
        <v>641</v>
      </c>
    </row>
    <row r="18" spans="2:8" ht="15" customHeight="1">
      <c r="B18" s="17" t="s">
        <v>642</v>
      </c>
      <c r="C18" s="102">
        <f>SUM(C14:C17)</f>
        <v>107505</v>
      </c>
      <c r="D18" s="102">
        <f>SUM(D14:D17)</f>
        <v>598776.75</v>
      </c>
      <c r="E18" s="102">
        <f>SUM(E14:E17)</f>
        <v>1959348.75</v>
      </c>
      <c r="F18" s="103">
        <f>SUM(F14:F17)</f>
        <v>5219854.5</v>
      </c>
      <c r="G18" s="103">
        <f>SUM(G14:G17)</f>
        <v>14740254.628125001</v>
      </c>
      <c r="H18" s="195" t="s">
        <v>643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28.476562499999996</v>
      </c>
      <c r="D20" s="96">
        <f>D10*Assumptions!$F$19/Assumptions!$F$8</f>
        <v>123.39843749999999</v>
      </c>
      <c r="E20" s="96">
        <f>E10*Assumptions!$F$19/Assumptions!$F$8</f>
        <v>358.59375</v>
      </c>
      <c r="F20" s="97">
        <f>F10*Assumptions!$F$19/Assumptions!$F$8</f>
        <v>780.46875</v>
      </c>
      <c r="G20" s="97">
        <f>G10*Assumptions!$F$19/Assumptions!$F$8</f>
        <v>1708.59375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492.1875</v>
      </c>
      <c r="D21" s="96">
        <f>D11*Assumptions!$F$20/Assumptions!$F$8</f>
        <v>2460.9375</v>
      </c>
      <c r="E21" s="96">
        <f>E11*Assumptions!$F$20/Assumptions!$F$8</f>
        <v>8203.125</v>
      </c>
      <c r="F21" s="97">
        <f>F11*Assumptions!$F$20/Assumptions!$F$8</f>
        <v>20507.8125</v>
      </c>
      <c r="G21" s="97">
        <f>G11*Assumptions!$F$20/Assumptions!$F$8</f>
        <v>49218.75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189.84375000000003</v>
      </c>
      <c r="D22" s="96">
        <f>D11*Assumptions!$F$21/Assumptions!$F$8</f>
        <v>949.21875</v>
      </c>
      <c r="E22" s="96">
        <f>E11*Assumptions!$F$21/Assumptions!$F$8</f>
        <v>3164.0625000000005</v>
      </c>
      <c r="F22" s="97">
        <f>F11*Assumptions!$F$21/Assumptions!$F$8</f>
        <v>7910.15625</v>
      </c>
      <c r="G22" s="97">
        <f>G11*Assumptions!$F$21/Assumptions!$F$8</f>
        <v>18984.375</v>
      </c>
      <c r="H22" s="97" t="s">
        <v>650</v>
      </c>
    </row>
    <row r="23" spans="2:8" ht="15" customHeight="1">
      <c r="B23" s="7" t="s">
        <v>651</v>
      </c>
      <c r="C23" s="96">
        <f>Tier_Economics!E19+Tier_Economics!E20</f>
        <v>22032</v>
      </c>
      <c r="D23" s="96">
        <f>Tier_Economics!I19+Tier_Economics!I20</f>
        <v>74520</v>
      </c>
      <c r="E23" s="96">
        <f>Tier_Economics!M19+Tier_Economics!M20</f>
        <v>165600</v>
      </c>
      <c r="F23" s="97">
        <f>Tier_Economics!Q19+Tier_Economics!Q20</f>
        <v>261000</v>
      </c>
      <c r="G23" s="97">
        <f>Tier_Economics!U19+Tier_Economics!U20</f>
        <v>453600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28.125</v>
      </c>
      <c r="D24" s="96">
        <f>D7*Assumptions!$F$22/Assumptions!$F$8</f>
        <v>140.625</v>
      </c>
      <c r="E24" s="96">
        <f>E7*Assumptions!$F$22/Assumptions!$F$8</f>
        <v>468.75</v>
      </c>
      <c r="F24" s="97">
        <f>F7*Assumptions!$F$22/Assumptions!$F$8</f>
        <v>1171.875</v>
      </c>
      <c r="G24" s="97">
        <f>G7*Assumptions!$F$22/Assumptions!$F$8</f>
        <v>2812.5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1.40625</v>
      </c>
      <c r="D25" s="96">
        <f>D7*Assumptions!$F$23/Assumptions!$F$8</f>
        <v>7.03125</v>
      </c>
      <c r="E25" s="96">
        <f>E7*Assumptions!$F$23/Assumptions!$F$8</f>
        <v>23.4375</v>
      </c>
      <c r="F25" s="97">
        <f>F7*Assumptions!$F$23/Assumptions!$F$8</f>
        <v>58.59375</v>
      </c>
      <c r="G25" s="97">
        <f>G7*Assumptions!$F$23/Assumptions!$F$8</f>
        <v>140.625</v>
      </c>
      <c r="H25" s="195" t="s">
        <v>656</v>
      </c>
    </row>
    <row r="26" spans="2:8" ht="15" customHeight="1">
      <c r="B26" s="7" t="s">
        <v>657</v>
      </c>
      <c r="C26" s="96">
        <f>C7*Assumptions!$F$24/Assumptions!$F$8</f>
        <v>4.2187499999999991</v>
      </c>
      <c r="D26" s="96">
        <f>D7*Assumptions!$F$24/Assumptions!$F$8</f>
        <v>21.09375</v>
      </c>
      <c r="E26" s="96">
        <f>E7*Assumptions!$F$24/Assumptions!$F$8</f>
        <v>70.3125</v>
      </c>
      <c r="F26" s="97">
        <f>F7*Assumptions!$F$24/Assumptions!$F$8</f>
        <v>175.78125</v>
      </c>
      <c r="G26" s="97">
        <f>G7*Assumptions!$F$24/Assumptions!$F$8</f>
        <v>421.875</v>
      </c>
      <c r="H26" s="195" t="s">
        <v>658</v>
      </c>
    </row>
    <row r="27" spans="2:8" ht="15" customHeight="1">
      <c r="B27" s="7" t="s">
        <v>659</v>
      </c>
      <c r="C27" s="96">
        <f>Tier_Economics!E21</f>
        <v>1980</v>
      </c>
      <c r="D27" s="96">
        <f>Tier_Economics!I21</f>
        <v>7470</v>
      </c>
      <c r="E27" s="96">
        <f>Tier_Economics!M21</f>
        <v>18900</v>
      </c>
      <c r="F27" s="97">
        <f>Tier_Economics!Q21</f>
        <v>35400</v>
      </c>
      <c r="G27" s="97">
        <f>Tier_Economics!U21</f>
        <v>70200</v>
      </c>
      <c r="H27" s="97" t="s">
        <v>660</v>
      </c>
    </row>
    <row r="28" spans="2:8" ht="15" customHeight="1">
      <c r="B28" s="7" t="s">
        <v>661</v>
      </c>
      <c r="C28" s="96">
        <f>Tier_Economics!E22+Revenue_Risk_AddOns!B24</f>
        <v>21713.8</v>
      </c>
      <c r="D28" s="96">
        <f>Tier_Economics!I22+Revenue_Risk_AddOns!C24</f>
        <v>103379</v>
      </c>
      <c r="E28" s="96">
        <f>Tier_Economics!M22+Revenue_Risk_AddOns!D24</f>
        <v>319948</v>
      </c>
      <c r="F28" s="97">
        <f>Tier_Economics!Q22+Revenue_Risk_AddOns!E24</f>
        <v>776041</v>
      </c>
      <c r="G28" s="97">
        <f>Tier_Economics!U22+Revenue_Risk_AddOns!F24</f>
        <v>1943181</v>
      </c>
      <c r="H28" s="97" t="s">
        <v>662</v>
      </c>
    </row>
    <row r="29" spans="2:8" ht="15" customHeight="1">
      <c r="B29" s="17" t="s">
        <v>663</v>
      </c>
      <c r="C29" s="102">
        <f>SUM(C20:C28)</f>
        <v>46470.057812500003</v>
      </c>
      <c r="D29" s="102">
        <f>SUM(D20:D28)</f>
        <v>189071.3046875</v>
      </c>
      <c r="E29" s="102">
        <f>SUM(E20:E28)</f>
        <v>516736.28125</v>
      </c>
      <c r="F29" s="103">
        <f>SUM(F20:F28)</f>
        <v>1103045.6875</v>
      </c>
      <c r="G29" s="103">
        <f>SUM(G20:G28)</f>
        <v>2540267.71875</v>
      </c>
      <c r="H29" s="195" t="s">
        <v>664</v>
      </c>
    </row>
    <row r="30" spans="2:8" ht="15" customHeight="1">
      <c r="B30" s="25" t="s">
        <v>665</v>
      </c>
      <c r="C30" s="104">
        <f>C18-C29</f>
        <v>61034.942187499997</v>
      </c>
      <c r="D30" s="104">
        <f>D18-D29</f>
        <v>409705.4453125</v>
      </c>
      <c r="E30" s="104">
        <f>E18-E29</f>
        <v>1442612.46875</v>
      </c>
      <c r="F30" s="105">
        <f>F18-F29</f>
        <v>4116808.8125</v>
      </c>
      <c r="G30" s="105">
        <f>G18-G29</f>
        <v>12199986.909375001</v>
      </c>
      <c r="H30" s="195" t="s">
        <v>666</v>
      </c>
    </row>
    <row r="31" spans="2:8" ht="15" customHeight="1">
      <c r="B31" s="7" t="s">
        <v>667</v>
      </c>
      <c r="C31" s="26">
        <f>IF(C18=0,0,C30/C18)</f>
        <v>0.56774049753499833</v>
      </c>
      <c r="D31" s="26">
        <f>IF(D18=0,0,D30/D18)</f>
        <v>0.68423739784903137</v>
      </c>
      <c r="E31" s="26">
        <f>IF(E18=0,0,E30/E18)</f>
        <v>0.73627141097265103</v>
      </c>
      <c r="F31" s="84">
        <f>IF(F18=0,0,F30/F18)</f>
        <v>0.78868267544622173</v>
      </c>
      <c r="G31" s="84">
        <f>IF(G18=0,0,G30/G18)</f>
        <v>0.827664597197455</v>
      </c>
      <c r="H31" s="196" t="s">
        <v>668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2</v>
      </c>
      <c r="D33" s="94">
        <f>Assumptions!$F$39</f>
        <v>2</v>
      </c>
      <c r="E33" s="94">
        <f>Assumptions!$F$39</f>
        <v>2</v>
      </c>
      <c r="F33" s="95">
        <f>Assumptions!$F$39</f>
        <v>2</v>
      </c>
      <c r="G33" s="95">
        <f>Assumptions!$F$39</f>
        <v>2</v>
      </c>
      <c r="H33" s="197" t="s">
        <v>670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1</v>
      </c>
      <c r="D35" s="94">
        <f>Assumptions!$F$41+1</f>
        <v>2</v>
      </c>
      <c r="E35" s="94">
        <f>Assumptions!$F$41+2</f>
        <v>3</v>
      </c>
      <c r="F35" s="95">
        <f>Assumptions!$F$41+3</f>
        <v>4</v>
      </c>
      <c r="G35" s="95">
        <f>Assumptions!$F$41+4</f>
        <v>5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97" t="s">
        <v>677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340000</v>
      </c>
      <c r="D38" s="96">
        <f>D33*Assumptions!$F$44+D34*Assumptions!$F$45+D35*Assumptions!$F$46+D36*Assumptions!$F$47</f>
        <v>520000</v>
      </c>
      <c r="E38" s="96">
        <f>E33*Assumptions!$F$44+E34*Assumptions!$F$45+E35*Assumptions!$F$46+E36*Assumptions!$F$47</f>
        <v>700000</v>
      </c>
      <c r="F38" s="97">
        <f>F33*Assumptions!$F$44+F34*Assumptions!$F$45+F35*Assumptions!$F$46+F36*Assumptions!$F$47</f>
        <v>880000</v>
      </c>
      <c r="G38" s="97">
        <f>G33*Assumptions!$F$44+G34*Assumptions!$F$45+G35*Assumptions!$F$46+G36*Assumptions!$F$47</f>
        <v>1060000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36000</v>
      </c>
      <c r="D39" s="96">
        <f>MAX(0,(D38-Assumptions!$F$49*D37)*Assumptions!$F$48-Assumptions!$F$60)</f>
        <v>60750</v>
      </c>
      <c r="E39" s="96">
        <f>MAX(0,(E38-Assumptions!$F$49*E37)*Assumptions!$F$48-Assumptions!$F$60)</f>
        <v>85500</v>
      </c>
      <c r="F39" s="97">
        <f>MAX(0,(F38-Assumptions!$F$49*F37)*Assumptions!$F$48-Assumptions!$F$60)</f>
        <v>110250</v>
      </c>
      <c r="G39" s="97">
        <f>MAX(0,(G38-Assumptions!$F$49*G37)*Assumptions!$F$48-Assumptions!$F$60)</f>
        <v>135000</v>
      </c>
      <c r="H39" s="97" t="s">
        <v>681</v>
      </c>
    </row>
    <row r="40" spans="2:8" ht="15" customHeight="1">
      <c r="B40" s="7" t="s">
        <v>682</v>
      </c>
      <c r="C40" s="96">
        <f>C38*Assumptions!$F$50</f>
        <v>13600</v>
      </c>
      <c r="D40" s="96">
        <f>D38*Assumptions!$F$50</f>
        <v>20800</v>
      </c>
      <c r="E40" s="96">
        <f>E38*Assumptions!$F$50</f>
        <v>28000</v>
      </c>
      <c r="F40" s="97">
        <f>F38*Assumptions!$F$50</f>
        <v>35200</v>
      </c>
      <c r="G40" s="97">
        <f>G38*Assumptions!$F$50</f>
        <v>42400</v>
      </c>
      <c r="H40" s="195" t="s">
        <v>683</v>
      </c>
    </row>
    <row r="41" spans="2:8" ht="15" customHeight="1">
      <c r="B41" s="7" t="s">
        <v>249</v>
      </c>
      <c r="C41" s="96">
        <f>C38*Assumptions!$F$51</f>
        <v>10200</v>
      </c>
      <c r="D41" s="96">
        <f>D38*Assumptions!$F$51</f>
        <v>15600</v>
      </c>
      <c r="E41" s="96">
        <f>E38*Assumptions!$F$51</f>
        <v>21000</v>
      </c>
      <c r="F41" s="97">
        <f>F38*Assumptions!$F$51</f>
        <v>26400</v>
      </c>
      <c r="G41" s="97">
        <f>G38*Assumptions!$F$51</f>
        <v>31800</v>
      </c>
      <c r="H41" s="195" t="s">
        <v>684</v>
      </c>
    </row>
    <row r="42" spans="2:8" ht="15" customHeight="1">
      <c r="B42" s="17" t="s">
        <v>685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95" t="s">
        <v>686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3000</v>
      </c>
      <c r="D44" s="96">
        <f>Assumptions!$F$26*12*1.5</f>
        <v>4500</v>
      </c>
      <c r="E44" s="96">
        <f>Assumptions!$F$26*12*2.5</f>
        <v>7500</v>
      </c>
      <c r="F44" s="97">
        <f>Assumptions!$F$26*12*4</f>
        <v>12000</v>
      </c>
      <c r="G44" s="97">
        <f>Assumptions!$F$26*12*6</f>
        <v>18000</v>
      </c>
      <c r="H44" s="97" t="s">
        <v>688</v>
      </c>
    </row>
    <row r="45" spans="2:8" ht="15" customHeight="1">
      <c r="B45" s="7" t="s">
        <v>200</v>
      </c>
      <c r="C45" s="96">
        <f>Assumptions!$F$27*12*1</f>
        <v>1440</v>
      </c>
      <c r="D45" s="96">
        <f>Assumptions!$F$27*12*1.5</f>
        <v>2160</v>
      </c>
      <c r="E45" s="96">
        <f>Assumptions!$F$27*12*2.5</f>
        <v>3600</v>
      </c>
      <c r="F45" s="97">
        <f>Assumptions!$F$27*12*4</f>
        <v>5760</v>
      </c>
      <c r="G45" s="97">
        <f>Assumptions!$F$27*12*6</f>
        <v>8640</v>
      </c>
      <c r="H45" s="97" t="s">
        <v>688</v>
      </c>
    </row>
    <row r="46" spans="2:8" ht="15" customHeight="1">
      <c r="B46" s="7" t="s">
        <v>202</v>
      </c>
      <c r="C46" s="96">
        <f>Assumptions!$F$28*12*1</f>
        <v>1800</v>
      </c>
      <c r="D46" s="96">
        <f>Assumptions!$F$28*12*1.5</f>
        <v>2700</v>
      </c>
      <c r="E46" s="96">
        <f>Assumptions!$F$28*12*2.5</f>
        <v>4500</v>
      </c>
      <c r="F46" s="97">
        <f>Assumptions!$F$28*12*4</f>
        <v>7200</v>
      </c>
      <c r="G46" s="97">
        <f>Assumptions!$F$28*12*6</f>
        <v>10800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720</v>
      </c>
      <c r="D47" s="96">
        <f>Assumptions!$F$29*12*D37/6</f>
        <v>1080</v>
      </c>
      <c r="E47" s="96">
        <f>Assumptions!$F$29*12*E37/6</f>
        <v>1440</v>
      </c>
      <c r="F47" s="97">
        <f>Assumptions!$F$29*12*F37/6</f>
        <v>1800</v>
      </c>
      <c r="G47" s="97">
        <f>Assumptions!$F$29*12*G37/6</f>
        <v>2160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1080</v>
      </c>
      <c r="D48" s="96">
        <f>Assumptions!$F$30*12*D37/6</f>
        <v>1620</v>
      </c>
      <c r="E48" s="96">
        <f>Assumptions!$F$30*12*E37/6</f>
        <v>2160</v>
      </c>
      <c r="F48" s="97">
        <f>Assumptions!$F$30*12*F37/6</f>
        <v>2700</v>
      </c>
      <c r="G48" s="97">
        <f>Assumptions!$F$30*12*G37/6</f>
        <v>3240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Assumptions!$F$34*12*1+Revenue_Risk_AddOns!B36</f>
        <v>194400</v>
      </c>
      <c r="D52" s="96">
        <f>Assumptions!$F$34*12*1.5+Revenue_Risk_AddOns!C36</f>
        <v>162850</v>
      </c>
      <c r="E52" s="96">
        <f>Assumptions!$F$34*12*2+Revenue_Risk_AddOns!D36</f>
        <v>186300</v>
      </c>
      <c r="F52" s="97">
        <f>Assumptions!$F$34*12*2.5+Revenue_Risk_AddOns!E36</f>
        <v>217250</v>
      </c>
      <c r="G52" s="97">
        <f>Assumptions!$F$34*12*3+Revenue_Risk_AddOns!F36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18000</v>
      </c>
      <c r="D53" s="96">
        <f>Assumptions!$F$35*12*2</f>
        <v>36000</v>
      </c>
      <c r="E53" s="96">
        <f>Assumptions!$F$35*12*3</f>
        <v>54000</v>
      </c>
      <c r="F53" s="97">
        <f>Assumptions!$F$35*12*4</f>
        <v>72000</v>
      </c>
      <c r="G53" s="97">
        <f>Assumptions!$F$35*12*5</f>
        <v>90000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4800</v>
      </c>
      <c r="D54" s="96">
        <f>Assumptions!$F$36*12*D37/6</f>
        <v>7200</v>
      </c>
      <c r="E54" s="96">
        <f>Assumptions!$F$36*12*E37/6</f>
        <v>9600</v>
      </c>
      <c r="F54" s="97">
        <f>Assumptions!$F$36*12*F37/6</f>
        <v>12000</v>
      </c>
      <c r="G54" s="97">
        <f>Assumptions!$F$36*12*G37/6</f>
        <v>14400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95" t="s">
        <v>696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702</v>
      </c>
    </row>
    <row r="61" spans="2:8" ht="21.75" customHeight="1">
      <c r="B61" s="25" t="s">
        <v>703</v>
      </c>
      <c r="C61" s="104">
        <f>C30-C42-C56</f>
        <v>-576365.05781250005</v>
      </c>
      <c r="D61" s="104">
        <f>D30-D42-D56</f>
        <v>-451924.5546875</v>
      </c>
      <c r="E61" s="104">
        <f>E30-E42-E56</f>
        <v>307032.46875</v>
      </c>
      <c r="F61" s="105">
        <f>F30-F42-F56</f>
        <v>2694558.8125</v>
      </c>
      <c r="G61" s="105">
        <f>G30-G42-G56</f>
        <v>10487946.909375001</v>
      </c>
      <c r="H61" s="105" t="s">
        <v>704</v>
      </c>
    </row>
    <row r="62" spans="2:8" ht="15" customHeight="1">
      <c r="B62" s="27" t="s">
        <v>705</v>
      </c>
      <c r="C62" s="108">
        <f>C30-C60</f>
        <v>-817477.5078125</v>
      </c>
      <c r="D62" s="108">
        <f>D30-D60</f>
        <v>-451924.5546875</v>
      </c>
      <c r="E62" s="108">
        <f>E30-E60</f>
        <v>307032.46875</v>
      </c>
      <c r="F62" s="109">
        <f>F30-F60</f>
        <v>2694558.8125</v>
      </c>
      <c r="G62" s="109">
        <f>G30-G60</f>
        <v>10487946.909375001</v>
      </c>
      <c r="H62" s="195" t="s">
        <v>706</v>
      </c>
    </row>
    <row r="63" spans="2:8" ht="15" customHeight="1">
      <c r="B63" s="25" t="s">
        <v>707</v>
      </c>
      <c r="C63" s="104">
        <f>C62</f>
        <v>-817477.5078125</v>
      </c>
      <c r="D63" s="104">
        <f>C63+D62</f>
        <v>-1269402.0625</v>
      </c>
      <c r="E63" s="104">
        <f>D63+E62</f>
        <v>-962369.59375</v>
      </c>
      <c r="F63" s="105">
        <f>E63+F62</f>
        <v>1732189.21875</v>
      </c>
      <c r="G63" s="105">
        <f>F63+G62</f>
        <v>12220136.128125001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1062720.7601562501</v>
      </c>
      <c r="D64" s="98">
        <f>-MIN(0,C63,D63)*(1+Assumptions!$F$58)</f>
        <v>1650222.6812500001</v>
      </c>
      <c r="E64" s="98">
        <f>-MIN(0,C63,D63,E63)*(1+Assumptions!$F$58)</f>
        <v>1650222.6812500001</v>
      </c>
      <c r="F64" s="99">
        <f>-MIN(0,C63,D63,E63,F63)*(1+Assumptions!$F$58)</f>
        <v>1650222.6812500001</v>
      </c>
      <c r="G64" s="99">
        <f>-MIN(0,C63,D63,E63,F63,G63)*(1+Assumptions!$F$58)</f>
        <v>1650222.6812500001</v>
      </c>
      <c r="H64" s="99" t="s">
        <v>710</v>
      </c>
    </row>
    <row r="65" spans="2:8">
      <c r="B65" s="66" t="s">
        <v>711</v>
      </c>
      <c r="C65" s="67">
        <f>ROUND(Revenue_Risk_AddOns!B41,0)</f>
        <v>240000</v>
      </c>
      <c r="D65" s="67">
        <f>ROUND(Revenue_Risk_AddOns!C41,0)</f>
        <v>0</v>
      </c>
      <c r="E65" s="67">
        <f>ROUND(Revenue_Risk_AddOns!D41,0)</f>
        <v>0</v>
      </c>
      <c r="F65" s="110">
        <f>ROUND(Revenue_Risk_AddOns!E41,0)</f>
        <v>0</v>
      </c>
      <c r="G65" s="110">
        <f>ROUND(Revenue_Risk_AddOns!F41,0)</f>
        <v>0</v>
      </c>
      <c r="H65" s="110" t="s">
        <v>712</v>
      </c>
    </row>
    <row r="66" spans="2:8">
      <c r="B66" s="66" t="s">
        <v>713</v>
      </c>
      <c r="C66" s="67">
        <f>ROUND(C64+C65,0)</f>
        <v>1302721</v>
      </c>
      <c r="D66" s="67">
        <f>ROUND(D64+D65,0)</f>
        <v>1650223</v>
      </c>
      <c r="E66" s="67">
        <f>ROUND(E64+E65,0)</f>
        <v>1650223</v>
      </c>
      <c r="F66" s="110">
        <f>ROUND(F64+F65,0)</f>
        <v>1650223</v>
      </c>
      <c r="G66" s="110">
        <f>ROUND(G64+G65,0)</f>
        <v>1650223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Assumptions!$F$110</f>
        <v>3</v>
      </c>
      <c r="D69" s="63">
        <f>Assumptions!$F$111</f>
        <v>4</v>
      </c>
      <c r="E69" s="63">
        <f>Assumptions!$F$112</f>
        <v>6</v>
      </c>
      <c r="F69" s="86">
        <f>Assumptions!$F$165</f>
        <v>8</v>
      </c>
      <c r="G69" s="86">
        <f>Assumptions!$F$166</f>
        <v>10</v>
      </c>
      <c r="H69" s="86" t="s">
        <v>717</v>
      </c>
    </row>
    <row r="70" spans="2:8">
      <c r="B70" t="s">
        <v>718</v>
      </c>
      <c r="C70" s="63">
        <f>IF(C69=0,0,C7/C69)</f>
        <v>60</v>
      </c>
      <c r="D70" s="63">
        <f>IF(D69=0,0,D7/D69)</f>
        <v>225</v>
      </c>
      <c r="E70" s="63">
        <f>IF(E69=0,0,E7/E69)</f>
        <v>500</v>
      </c>
      <c r="F70" s="86">
        <f>IF(F69=0,0,F7/F69)</f>
        <v>937.5</v>
      </c>
      <c r="G70" s="86">
        <f>IF(G69=0,0,G7/G69)</f>
        <v>1800</v>
      </c>
      <c r="H70" s="86" t="s">
        <v>719</v>
      </c>
    </row>
    <row r="71" spans="2:8">
      <c r="B71" t="s">
        <v>720</v>
      </c>
      <c r="C71" s="111">
        <f>IF(C7=0,0,C18/C7)</f>
        <v>597.25</v>
      </c>
      <c r="D71" s="111">
        <f>IF(D7=0,0,D18/D7)</f>
        <v>665.3075</v>
      </c>
      <c r="E71" s="111">
        <f>IF(E7=0,0,E18/E7)</f>
        <v>653.11625000000004</v>
      </c>
      <c r="F71" s="112">
        <f>IF(F7=0,0,F18/F7)</f>
        <v>695.98059999999998</v>
      </c>
      <c r="G71" s="112">
        <f>IF(G7=0,0,G18/G7)</f>
        <v>818.90303489583334</v>
      </c>
      <c r="H71" s="112" t="s">
        <v>721</v>
      </c>
    </row>
    <row r="72" spans="2:8">
      <c r="B72" t="s">
        <v>722</v>
      </c>
      <c r="C72" s="111">
        <f>IF(C70=0,0,C18/C70)</f>
        <v>1791.75</v>
      </c>
      <c r="D72" s="111">
        <f>IF(D70=0,0,D18/D70)</f>
        <v>2661.23</v>
      </c>
      <c r="E72" s="111">
        <f>IF(E70=0,0,E18/E70)</f>
        <v>3918.6975000000002</v>
      </c>
      <c r="F72" s="112">
        <f>IF(F70=0,0,F18/F70)</f>
        <v>5567.8447999999999</v>
      </c>
      <c r="G72" s="112">
        <f>IF(G70=0,0,G18/G70)</f>
        <v>8189.0303489583339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Register / confirm VAT treatment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E5" sqref="E5"/>
    </sheetView>
  </sheetViews>
  <sheetFormatPr defaultRowHeight="14.5"/>
  <cols>
    <col min="1" max="1" width="34" customWidth="1"/>
    <col min="2" max="21" width="15" customWidth="1"/>
  </cols>
  <sheetData>
    <row r="1" spans="1:21" ht="18.5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Assumptions!$F$64</f>
        <v>0.15</v>
      </c>
      <c r="C4" s="62">
        <f>Assumptions!$F$65</f>
        <v>0.45</v>
      </c>
      <c r="D4" s="62">
        <f>Assumptions!$F$66</f>
        <v>0.4</v>
      </c>
      <c r="E4" s="62">
        <f>SUM(B4:D4)</f>
        <v>1</v>
      </c>
      <c r="F4" s="62">
        <f>Assumptions!$F$67</f>
        <v>0.3</v>
      </c>
      <c r="G4" s="62">
        <f>Assumptions!$F$68</f>
        <v>0.45</v>
      </c>
      <c r="H4" s="62">
        <f>Assumptions!$F$69</f>
        <v>0.25</v>
      </c>
      <c r="I4" s="62">
        <f>SUM(F4:H4)</f>
        <v>1</v>
      </c>
      <c r="J4" s="62">
        <f>Assumptions!$F$70</f>
        <v>0.45</v>
      </c>
      <c r="K4" s="62">
        <f>Assumptions!$F$71</f>
        <v>0.4</v>
      </c>
      <c r="L4" s="62">
        <f>Assumptions!$F$72</f>
        <v>0.15</v>
      </c>
      <c r="M4" s="62">
        <f>SUM(J4:L4)</f>
        <v>1</v>
      </c>
      <c r="N4" s="85">
        <f>Assumptions!$F$157</f>
        <v>0.6</v>
      </c>
      <c r="O4" s="85">
        <f>Assumptions!$F$158</f>
        <v>0.32</v>
      </c>
      <c r="P4" s="85">
        <f>Assumptions!$F$159</f>
        <v>0.08</v>
      </c>
      <c r="Q4" s="85">
        <f>SUM(N4:P4)</f>
        <v>0.99999999999999989</v>
      </c>
      <c r="R4" s="85">
        <f>Assumptions!$F$160</f>
        <v>0.7</v>
      </c>
      <c r="S4" s="85">
        <f>Assumptions!$F$161</f>
        <v>0.25</v>
      </c>
      <c r="T4" s="85">
        <f>Assumptions!$F$162</f>
        <v>0.05</v>
      </c>
      <c r="U4" s="85">
        <f>SUM(R4:T4)</f>
        <v>1</v>
      </c>
    </row>
    <row r="5" spans="1:21">
      <c r="A5" s="57" t="s">
        <v>750</v>
      </c>
      <c r="B5" s="64">
        <f>'P&amp;L_5yr'!$C$7*B4</f>
        <v>27</v>
      </c>
      <c r="C5" s="64">
        <f>'P&amp;L_5yr'!$C$7*C4</f>
        <v>81</v>
      </c>
      <c r="D5" s="64">
        <f>'P&amp;L_5yr'!$C$7*D4</f>
        <v>72</v>
      </c>
      <c r="E5" s="64">
        <f>SUM(B5:D5)</f>
        <v>180</v>
      </c>
      <c r="F5" s="64">
        <f>'P&amp;L_5yr'!$D$7*F4</f>
        <v>270</v>
      </c>
      <c r="G5" s="64">
        <f>'P&amp;L_5yr'!$D$7*G4</f>
        <v>405</v>
      </c>
      <c r="H5" s="64">
        <f>'P&amp;L_5yr'!$D$7*H4</f>
        <v>225</v>
      </c>
      <c r="I5" s="64">
        <f>SUM(F5:H5)</f>
        <v>900</v>
      </c>
      <c r="J5" s="64">
        <f>'P&amp;L_5yr'!$E$7*J4</f>
        <v>1350</v>
      </c>
      <c r="K5" s="64">
        <f>'P&amp;L_5yr'!$E$7*K4</f>
        <v>1200</v>
      </c>
      <c r="L5" s="64">
        <f>'P&amp;L_5yr'!$E$7*L4</f>
        <v>450</v>
      </c>
      <c r="M5" s="64">
        <f>SUM(J5:L5)</f>
        <v>3000</v>
      </c>
      <c r="N5" s="87">
        <f>'P&amp;L_5yr'!$F$7*N4</f>
        <v>4500</v>
      </c>
      <c r="O5" s="87">
        <f>'P&amp;L_5yr'!$F$7*O4</f>
        <v>2400</v>
      </c>
      <c r="P5" s="87">
        <f>'P&amp;L_5yr'!$F$7*P4</f>
        <v>600</v>
      </c>
      <c r="Q5" s="87">
        <f>SUM(N5:P5)</f>
        <v>7500</v>
      </c>
      <c r="R5" s="87">
        <f>'P&amp;L_5yr'!$G$7*R4</f>
        <v>12600</v>
      </c>
      <c r="S5" s="87">
        <f>'P&amp;L_5yr'!$G$7*S4</f>
        <v>4500</v>
      </c>
      <c r="T5" s="87">
        <f>'P&amp;L_5yr'!$G$7*T4</f>
        <v>900</v>
      </c>
      <c r="U5" s="87">
        <f>SUM(R5:T5)</f>
        <v>18000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6.75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5.85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5.0999999999999996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4.4400000000000004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4.05</v>
      </c>
    </row>
    <row r="7" spans="1:21">
      <c r="A7" s="57" t="s">
        <v>627</v>
      </c>
      <c r="B7" s="64">
        <f>B5*B6</f>
        <v>81</v>
      </c>
      <c r="C7" s="64">
        <f>C5*C6</f>
        <v>486</v>
      </c>
      <c r="D7" s="64">
        <f>D5*D6</f>
        <v>648</v>
      </c>
      <c r="E7" s="64">
        <f>SUM(B7:D7)</f>
        <v>1215</v>
      </c>
      <c r="F7" s="64">
        <f>F5*F6</f>
        <v>810</v>
      </c>
      <c r="G7" s="64">
        <f>G5*G6</f>
        <v>2430</v>
      </c>
      <c r="H7" s="64">
        <f>H5*H6</f>
        <v>2025</v>
      </c>
      <c r="I7" s="64">
        <f>SUM(F7:H7)</f>
        <v>5265</v>
      </c>
      <c r="J7" s="64">
        <f>J5*J6</f>
        <v>4050</v>
      </c>
      <c r="K7" s="64">
        <f>K5*K6</f>
        <v>7200</v>
      </c>
      <c r="L7" s="64">
        <f>L5*L6</f>
        <v>4050</v>
      </c>
      <c r="M7" s="64">
        <f>SUM(J7:L7)</f>
        <v>15300</v>
      </c>
      <c r="N7" s="87">
        <f>N5*N6</f>
        <v>13500</v>
      </c>
      <c r="O7" s="87">
        <f>O5*O6</f>
        <v>14400</v>
      </c>
      <c r="P7" s="87">
        <f>P5*P6</f>
        <v>5400</v>
      </c>
      <c r="Q7" s="87">
        <f>SUM(N7:P7)</f>
        <v>33300</v>
      </c>
      <c r="R7" s="87">
        <f>R5*R6</f>
        <v>37800</v>
      </c>
      <c r="S7" s="87">
        <f>S5*S6</f>
        <v>27000</v>
      </c>
      <c r="T7" s="87">
        <f>T5*T6</f>
        <v>8100</v>
      </c>
      <c r="U7" s="87">
        <f>SUM(R7:T7)</f>
        <v>72900</v>
      </c>
    </row>
    <row r="8" spans="1:21">
      <c r="A8" s="57" t="s">
        <v>752</v>
      </c>
      <c r="B8" s="111">
        <f>'P&amp;L_5yr'!$C$8</f>
        <v>30000</v>
      </c>
      <c r="C8" s="111">
        <f>'P&amp;L_5yr'!$C$8</f>
        <v>30000</v>
      </c>
      <c r="D8" s="111">
        <f>'P&amp;L_5yr'!$C$8</f>
        <v>30000</v>
      </c>
      <c r="E8" s="111">
        <f>'P&amp;L_5yr'!$C$8</f>
        <v>30000</v>
      </c>
      <c r="F8" s="111">
        <f>'P&amp;L_5yr'!$D$8</f>
        <v>40500</v>
      </c>
      <c r="G8" s="111">
        <f>'P&amp;L_5yr'!$D$8</f>
        <v>40500</v>
      </c>
      <c r="H8" s="111">
        <f>'P&amp;L_5yr'!$D$8</f>
        <v>40500</v>
      </c>
      <c r="I8" s="111">
        <f>'P&amp;L_5yr'!$D$8</f>
        <v>40500</v>
      </c>
      <c r="J8" s="111">
        <f>'P&amp;L_5yr'!$E$8</f>
        <v>54675</v>
      </c>
      <c r="K8" s="111">
        <f>'P&amp;L_5yr'!$E$8</f>
        <v>54675</v>
      </c>
      <c r="L8" s="111">
        <f>'P&amp;L_5yr'!$E$8</f>
        <v>54675</v>
      </c>
      <c r="M8" s="111">
        <f>'P&amp;L_5yr'!$E$8</f>
        <v>54675</v>
      </c>
      <c r="N8" s="112">
        <f>'P&amp;L_5yr'!$F$8</f>
        <v>73811.25</v>
      </c>
      <c r="O8" s="112">
        <f>'P&amp;L_5yr'!$F$8</f>
        <v>73811.25</v>
      </c>
      <c r="P8" s="112">
        <f>'P&amp;L_5yr'!$F$8</f>
        <v>73811.25</v>
      </c>
      <c r="Q8" s="112">
        <f>'P&amp;L_5yr'!$F$8</f>
        <v>73811.25</v>
      </c>
      <c r="R8" s="112">
        <f>'P&amp;L_5yr'!$G$8</f>
        <v>99645.1875</v>
      </c>
      <c r="S8" s="112">
        <f>'P&amp;L_5yr'!$G$8</f>
        <v>99645.1875</v>
      </c>
      <c r="T8" s="112">
        <f>'P&amp;L_5yr'!$G$8</f>
        <v>99645.1875</v>
      </c>
      <c r="U8" s="112">
        <f>'P&amp;L_5yr'!$G$8</f>
        <v>99645.1875</v>
      </c>
    </row>
    <row r="9" spans="1:21">
      <c r="A9" s="57" t="s">
        <v>753</v>
      </c>
      <c r="B9" s="111">
        <f>B5*B8</f>
        <v>810000</v>
      </c>
      <c r="C9" s="111">
        <f>C5*C8</f>
        <v>2430000</v>
      </c>
      <c r="D9" s="111">
        <f>D5*D8</f>
        <v>2160000</v>
      </c>
      <c r="E9" s="111">
        <f>SUM(B9:D9)</f>
        <v>5400000</v>
      </c>
      <c r="F9" s="111">
        <f>F5*F8</f>
        <v>10935000</v>
      </c>
      <c r="G9" s="111">
        <f>G5*G8</f>
        <v>16402500</v>
      </c>
      <c r="H9" s="111">
        <f>H5*H8</f>
        <v>9112500</v>
      </c>
      <c r="I9" s="111">
        <f>SUM(F9:H9)</f>
        <v>36450000</v>
      </c>
      <c r="J9" s="111">
        <f>J5*J8</f>
        <v>73811250</v>
      </c>
      <c r="K9" s="111">
        <f>K5*K8</f>
        <v>65610000</v>
      </c>
      <c r="L9" s="111">
        <f>L5*L8</f>
        <v>24603750</v>
      </c>
      <c r="M9" s="111">
        <f>SUM(J9:L9)</f>
        <v>164025000</v>
      </c>
      <c r="N9" s="112">
        <f>N5*N8</f>
        <v>332150625</v>
      </c>
      <c r="O9" s="112">
        <f>O5*O8</f>
        <v>177147000</v>
      </c>
      <c r="P9" s="112">
        <f>P5*P8</f>
        <v>44286750</v>
      </c>
      <c r="Q9" s="112">
        <f>SUM(N9:P9)</f>
        <v>553584375</v>
      </c>
      <c r="R9" s="112">
        <f>R5*R8</f>
        <v>1255529362.5</v>
      </c>
      <c r="S9" s="112">
        <f>S5*S8</f>
        <v>448403343.75</v>
      </c>
      <c r="T9" s="112">
        <f>T5*T8</f>
        <v>89680668.75</v>
      </c>
      <c r="U9" s="112">
        <f>SUM(R9:T9)</f>
        <v>1793613375</v>
      </c>
    </row>
    <row r="10" spans="1:21">
      <c r="A10" s="57" t="s">
        <v>754</v>
      </c>
      <c r="B10" s="62">
        <f>Assumptions!$F$73</f>
        <v>6.0000000000000001E-3</v>
      </c>
      <c r="C10" s="62">
        <f>Assumptions!$F$74</f>
        <v>8.5000000000000006E-3</v>
      </c>
      <c r="D10" s="62">
        <f>Assumptions!$F$75</f>
        <v>1.4999999999999999E-2</v>
      </c>
      <c r="E10" s="62">
        <f>IF(E9=0,0,SUM(B9*B10,C9*C10,D9*D10)/E9)</f>
        <v>1.0725E-2</v>
      </c>
      <c r="F10" s="62">
        <f>Assumptions!$F$73</f>
        <v>6.0000000000000001E-3</v>
      </c>
      <c r="G10" s="62">
        <f>Assumptions!$F$74</f>
        <v>8.5000000000000006E-3</v>
      </c>
      <c r="H10" s="62">
        <f>Assumptions!$F$75</f>
        <v>1.4999999999999999E-2</v>
      </c>
      <c r="I10" s="62">
        <f>IF(I9=0,0,SUM(F9*F10,G9*G10,H9*H10)/I9)</f>
        <v>9.3749999999999997E-3</v>
      </c>
      <c r="J10" s="62">
        <f>Assumptions!$F$73</f>
        <v>6.0000000000000001E-3</v>
      </c>
      <c r="K10" s="62">
        <f>Assumptions!$F$74</f>
        <v>8.5000000000000006E-3</v>
      </c>
      <c r="L10" s="62">
        <f>Assumptions!$F$75</f>
        <v>1.4999999999999999E-2</v>
      </c>
      <c r="M10" s="62">
        <f>IF(M9=0,0,SUM(J9*J10,K9*K10,L9*L10)/M9)</f>
        <v>8.3499999999999998E-3</v>
      </c>
      <c r="N10" s="85">
        <f>Assumptions!$F$73</f>
        <v>6.0000000000000001E-3</v>
      </c>
      <c r="O10" s="85">
        <f>Assumptions!$F$74</f>
        <v>8.5000000000000006E-3</v>
      </c>
      <c r="P10" s="85">
        <f>Assumptions!$F$75</f>
        <v>1.4999999999999999E-2</v>
      </c>
      <c r="Q10" s="85">
        <f>IF(Q9=0,0,SUM(N9*N10,O9*O10,P9*P10)/Q9)</f>
        <v>7.5199999999999998E-3</v>
      </c>
      <c r="R10" s="85">
        <f>Assumptions!$F$73</f>
        <v>6.0000000000000001E-3</v>
      </c>
      <c r="S10" s="85">
        <f>Assumptions!$F$74</f>
        <v>8.5000000000000006E-3</v>
      </c>
      <c r="T10" s="85">
        <f>Assumptions!$F$75</f>
        <v>1.4999999999999999E-2</v>
      </c>
      <c r="U10" s="85">
        <f>IF(U9=0,0,SUM(R9*R10,S9*S10,T9*T10)/U9)</f>
        <v>7.0750000000000006E-3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335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282.5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242.5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210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192.5</v>
      </c>
    </row>
    <row r="12" spans="1:21">
      <c r="A12" s="57" t="s">
        <v>756</v>
      </c>
      <c r="B12" s="111">
        <f>B5*MAX(B8*B10,B11)</f>
        <v>4860</v>
      </c>
      <c r="C12" s="111">
        <f>C5*MAX(C8*C10,C11)</f>
        <v>20655.000000000004</v>
      </c>
      <c r="D12" s="111">
        <f>D5*MAX(D8*D10,D11)</f>
        <v>36000</v>
      </c>
      <c r="E12" s="111">
        <f>SUM(B12:D12)</f>
        <v>61515</v>
      </c>
      <c r="F12" s="111">
        <f>F5*MAX(F8*F10,F11)</f>
        <v>65610</v>
      </c>
      <c r="G12" s="111">
        <f>G5*MAX(G8*G10,G11)</f>
        <v>139421.25</v>
      </c>
      <c r="H12" s="111">
        <f>H5*MAX(H8*H10,H11)</f>
        <v>136687.5</v>
      </c>
      <c r="I12" s="111">
        <f>SUM(F12:H12)</f>
        <v>341718.75</v>
      </c>
      <c r="J12" s="111">
        <f>J5*MAX(J8*J10,J11)</f>
        <v>442867.5</v>
      </c>
      <c r="K12" s="111">
        <f>K5*MAX(K8*K10,K11)</f>
        <v>557685</v>
      </c>
      <c r="L12" s="111">
        <f>L5*MAX(L8*L10,L11)</f>
        <v>369056.25</v>
      </c>
      <c r="M12" s="111">
        <f>SUM(J12:L12)</f>
        <v>1369608.75</v>
      </c>
      <c r="N12" s="112">
        <f>N5*MAX(N8*N10,N11)</f>
        <v>1992903.75</v>
      </c>
      <c r="O12" s="112">
        <f>O5*MAX(O8*O10,O11)</f>
        <v>1505749.5</v>
      </c>
      <c r="P12" s="112">
        <f>P5*MAX(P8*P10,P11)</f>
        <v>664301.25</v>
      </c>
      <c r="Q12" s="112">
        <f>SUM(N12:P12)</f>
        <v>4162954.5</v>
      </c>
      <c r="R12" s="112">
        <f>R5*MAX(R8*R10,R11)</f>
        <v>7533176.1749999998</v>
      </c>
      <c r="S12" s="112">
        <f>S5*MAX(S8*S10,S11)</f>
        <v>3811428.4218750005</v>
      </c>
      <c r="T12" s="112">
        <f>T5*MAX(T8*T10,T11)</f>
        <v>1345210.0312499998</v>
      </c>
      <c r="U12" s="112">
        <f>SUM(R12:T12)</f>
        <v>12689814.628125001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164.25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123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92.25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67.8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55</v>
      </c>
    </row>
    <row r="14" spans="1:21">
      <c r="A14" s="57" t="s">
        <v>758</v>
      </c>
      <c r="B14" s="111">
        <f>B5*B13</f>
        <v>675</v>
      </c>
      <c r="C14" s="111">
        <f>C5*C13</f>
        <v>7290</v>
      </c>
      <c r="D14" s="111">
        <f>D5*D13</f>
        <v>21600</v>
      </c>
      <c r="E14" s="111">
        <f>SUM(B14:D14)</f>
        <v>29565</v>
      </c>
      <c r="F14" s="111">
        <f>F5*F13</f>
        <v>6750</v>
      </c>
      <c r="G14" s="111">
        <f>G5*G13</f>
        <v>36450</v>
      </c>
      <c r="H14" s="111">
        <f>H5*H13</f>
        <v>67500</v>
      </c>
      <c r="I14" s="111">
        <f>SUM(F14:H14)</f>
        <v>110700</v>
      </c>
      <c r="J14" s="111">
        <f>J5*J13</f>
        <v>33750</v>
      </c>
      <c r="K14" s="111">
        <f>K5*K13</f>
        <v>108000</v>
      </c>
      <c r="L14" s="111">
        <f>L5*L13</f>
        <v>135000</v>
      </c>
      <c r="M14" s="111">
        <f>SUM(J14:L14)</f>
        <v>276750</v>
      </c>
      <c r="N14" s="112">
        <f>N5*N13</f>
        <v>112500</v>
      </c>
      <c r="O14" s="112">
        <f>O5*O13</f>
        <v>216000</v>
      </c>
      <c r="P14" s="112">
        <f>P5*P13</f>
        <v>180000</v>
      </c>
      <c r="Q14" s="112">
        <f>SUM(N14:P14)</f>
        <v>508500</v>
      </c>
      <c r="R14" s="112">
        <f>R5*R13</f>
        <v>315000</v>
      </c>
      <c r="S14" s="112">
        <f>S5*S13</f>
        <v>405000</v>
      </c>
      <c r="T14" s="112">
        <f>T5*T13</f>
        <v>270000</v>
      </c>
      <c r="U14" s="112">
        <f>SUM(R14:T14)</f>
        <v>990000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0.13099999999999998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0.107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8.7999999999999995E-2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7.1999999999999995E-2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6.3E-2</v>
      </c>
    </row>
    <row r="16" spans="1:21">
      <c r="A16" s="57" t="s">
        <v>760</v>
      </c>
      <c r="B16" s="64">
        <f>B5*B15</f>
        <v>1.08</v>
      </c>
      <c r="C16" s="64">
        <f>C5*C15</f>
        <v>8.1</v>
      </c>
      <c r="D16" s="64">
        <f>D5*D15</f>
        <v>14.4</v>
      </c>
      <c r="E16" s="64">
        <f>SUM(B16:D16)</f>
        <v>23.58</v>
      </c>
      <c r="F16" s="64">
        <f>F5*F15</f>
        <v>10.8</v>
      </c>
      <c r="G16" s="64">
        <f>G5*G15</f>
        <v>40.5</v>
      </c>
      <c r="H16" s="64">
        <f>H5*H15</f>
        <v>45</v>
      </c>
      <c r="I16" s="64">
        <f>SUM(F16:H16)</f>
        <v>96.3</v>
      </c>
      <c r="J16" s="64">
        <f>J5*J15</f>
        <v>54</v>
      </c>
      <c r="K16" s="64">
        <f>K5*K15</f>
        <v>120</v>
      </c>
      <c r="L16" s="64">
        <f>L5*L15</f>
        <v>90</v>
      </c>
      <c r="M16" s="64">
        <f>SUM(J16:L16)</f>
        <v>264</v>
      </c>
      <c r="N16" s="87">
        <f>N5*N15</f>
        <v>180</v>
      </c>
      <c r="O16" s="87">
        <f>O5*O15</f>
        <v>240</v>
      </c>
      <c r="P16" s="87">
        <f>P5*P15</f>
        <v>120</v>
      </c>
      <c r="Q16" s="87">
        <f>SUM(N16:P16)</f>
        <v>540</v>
      </c>
      <c r="R16" s="87">
        <f>R5*R15</f>
        <v>504</v>
      </c>
      <c r="S16" s="87">
        <f>S5*S15</f>
        <v>450</v>
      </c>
      <c r="T16" s="87">
        <f>T5*T15</f>
        <v>180</v>
      </c>
      <c r="U16" s="87">
        <f>SUM(R16:T16)</f>
        <v>1134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378.62595419847332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328.97196261682245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281.81818181818181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233.33333333333334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203.17460317460316</v>
      </c>
    </row>
    <row r="18" spans="1:21">
      <c r="A18" s="57" t="s">
        <v>762</v>
      </c>
      <c r="B18" s="111">
        <f>B16*B17</f>
        <v>108</v>
      </c>
      <c r="C18" s="111">
        <f>C16*C17</f>
        <v>1620</v>
      </c>
      <c r="D18" s="111">
        <f>D16*D17</f>
        <v>7200</v>
      </c>
      <c r="E18" s="111">
        <f t="shared" ref="E18:E24" si="0">SUM(B18:D18)</f>
        <v>8928</v>
      </c>
      <c r="F18" s="111">
        <f>F16*F17</f>
        <v>1080</v>
      </c>
      <c r="G18" s="111">
        <f>G16*G17</f>
        <v>8100</v>
      </c>
      <c r="H18" s="111">
        <f>H16*H17</f>
        <v>22500</v>
      </c>
      <c r="I18" s="111">
        <f t="shared" ref="I18:I24" si="1">SUM(F18:H18)</f>
        <v>31680</v>
      </c>
      <c r="J18" s="111">
        <f>J16*J17</f>
        <v>5400</v>
      </c>
      <c r="K18" s="111">
        <f>K16*K17</f>
        <v>24000</v>
      </c>
      <c r="L18" s="111">
        <f>L16*L17</f>
        <v>45000</v>
      </c>
      <c r="M18" s="111">
        <f t="shared" ref="M18:M24" si="2">SUM(J18:L18)</f>
        <v>74400</v>
      </c>
      <c r="N18" s="112">
        <f>N16*N17</f>
        <v>18000</v>
      </c>
      <c r="O18" s="112">
        <f>O16*O17</f>
        <v>48000</v>
      </c>
      <c r="P18" s="112">
        <f>P16*P17</f>
        <v>60000</v>
      </c>
      <c r="Q18" s="112">
        <f t="shared" ref="Q18:Q24" si="3">SUM(N18:P18)</f>
        <v>126000</v>
      </c>
      <c r="R18" s="112">
        <f>R16*R17</f>
        <v>50400</v>
      </c>
      <c r="S18" s="112">
        <f>S16*S17</f>
        <v>90000</v>
      </c>
      <c r="T18" s="112">
        <f>T16*T17</f>
        <v>90000</v>
      </c>
      <c r="U18" s="112">
        <f t="shared" ref="U18:U24" si="4">SUM(R18:T18)</f>
        <v>230400</v>
      </c>
    </row>
    <row r="19" spans="1:21">
      <c r="A19" s="57" t="s">
        <v>763</v>
      </c>
      <c r="B19" s="111">
        <f>B5*Assumptions!$F$85</f>
        <v>81</v>
      </c>
      <c r="C19" s="111">
        <f>C5*Assumptions!$F$86</f>
        <v>810</v>
      </c>
      <c r="D19" s="111">
        <f>D5*Assumptions!$F$87</f>
        <v>10800</v>
      </c>
      <c r="E19" s="111">
        <f t="shared" si="0"/>
        <v>11691</v>
      </c>
      <c r="F19" s="111">
        <f>F5*Assumptions!$F$85</f>
        <v>810</v>
      </c>
      <c r="G19" s="111">
        <f>G5*Assumptions!$F$86</f>
        <v>4050</v>
      </c>
      <c r="H19" s="111">
        <f>H5*Assumptions!$F$87</f>
        <v>33750</v>
      </c>
      <c r="I19" s="111">
        <f t="shared" si="1"/>
        <v>38610</v>
      </c>
      <c r="J19" s="111">
        <f>J5*Assumptions!$F$85</f>
        <v>4050</v>
      </c>
      <c r="K19" s="111">
        <f>K5*Assumptions!$F$86</f>
        <v>12000</v>
      </c>
      <c r="L19" s="111">
        <f>L5*Assumptions!$F$87</f>
        <v>67500</v>
      </c>
      <c r="M19" s="111">
        <f t="shared" si="2"/>
        <v>83550</v>
      </c>
      <c r="N19" s="112">
        <f>N5*Assumptions!$F$85</f>
        <v>13500</v>
      </c>
      <c r="O19" s="112">
        <f>O5*Assumptions!$F$86</f>
        <v>24000</v>
      </c>
      <c r="P19" s="112">
        <f>P5*Assumptions!$F$87</f>
        <v>90000</v>
      </c>
      <c r="Q19" s="112">
        <f t="shared" si="3"/>
        <v>127500</v>
      </c>
      <c r="R19" s="112">
        <f>R5*Assumptions!$F$85</f>
        <v>37800</v>
      </c>
      <c r="S19" s="112">
        <f>S5*Assumptions!$F$86</f>
        <v>45000</v>
      </c>
      <c r="T19" s="112">
        <f>T5*Assumptions!$F$87</f>
        <v>135000</v>
      </c>
      <c r="U19" s="112">
        <f t="shared" si="4"/>
        <v>217800</v>
      </c>
    </row>
    <row r="20" spans="1:21">
      <c r="A20" s="57" t="s">
        <v>764</v>
      </c>
      <c r="B20" s="111">
        <f>B5*Assumptions!$F$88</f>
        <v>81</v>
      </c>
      <c r="C20" s="111">
        <f>C5*Assumptions!$F$89</f>
        <v>1620</v>
      </c>
      <c r="D20" s="111">
        <f>D5*Assumptions!$F$90</f>
        <v>8640</v>
      </c>
      <c r="E20" s="111">
        <f t="shared" si="0"/>
        <v>10341</v>
      </c>
      <c r="F20" s="111">
        <f>F5*Assumptions!$F$88</f>
        <v>810</v>
      </c>
      <c r="G20" s="111">
        <f>G5*Assumptions!$F$89</f>
        <v>8100</v>
      </c>
      <c r="H20" s="111">
        <f>H5*Assumptions!$F$90</f>
        <v>27000</v>
      </c>
      <c r="I20" s="111">
        <f t="shared" si="1"/>
        <v>35910</v>
      </c>
      <c r="J20" s="111">
        <f>J5*Assumptions!$F$88</f>
        <v>4050</v>
      </c>
      <c r="K20" s="111">
        <f>K5*Assumptions!$F$89</f>
        <v>24000</v>
      </c>
      <c r="L20" s="111">
        <f>L5*Assumptions!$F$90</f>
        <v>54000</v>
      </c>
      <c r="M20" s="111">
        <f t="shared" si="2"/>
        <v>82050</v>
      </c>
      <c r="N20" s="112">
        <f>N5*Assumptions!$F$88</f>
        <v>13500</v>
      </c>
      <c r="O20" s="112">
        <f>O5*Assumptions!$F$89</f>
        <v>48000</v>
      </c>
      <c r="P20" s="112">
        <f>P5*Assumptions!$F$90</f>
        <v>72000</v>
      </c>
      <c r="Q20" s="112">
        <f t="shared" si="3"/>
        <v>133500</v>
      </c>
      <c r="R20" s="112">
        <f>R5*Assumptions!$F$88</f>
        <v>37800</v>
      </c>
      <c r="S20" s="112">
        <f>S5*Assumptions!$F$89</f>
        <v>90000</v>
      </c>
      <c r="T20" s="112">
        <f>T5*Assumptions!$F$90</f>
        <v>108000</v>
      </c>
      <c r="U20" s="112">
        <f t="shared" si="4"/>
        <v>235800</v>
      </c>
    </row>
    <row r="21" spans="1:21">
      <c r="A21" s="57" t="s">
        <v>765</v>
      </c>
      <c r="B21" s="111">
        <f>B5*Assumptions!$F$91</f>
        <v>54</v>
      </c>
      <c r="C21" s="111">
        <f>C5*Assumptions!$F$92</f>
        <v>486</v>
      </c>
      <c r="D21" s="111">
        <f>D5*Assumptions!$F$93</f>
        <v>1440</v>
      </c>
      <c r="E21" s="111">
        <f t="shared" si="0"/>
        <v>1980</v>
      </c>
      <c r="F21" s="111">
        <f>F5*Assumptions!$F$91</f>
        <v>540</v>
      </c>
      <c r="G21" s="111">
        <f>G5*Assumptions!$F$92</f>
        <v>2430</v>
      </c>
      <c r="H21" s="111">
        <f>H5*Assumptions!$F$93</f>
        <v>4500</v>
      </c>
      <c r="I21" s="111">
        <f t="shared" si="1"/>
        <v>7470</v>
      </c>
      <c r="J21" s="111">
        <f>J5*Assumptions!$F$91</f>
        <v>2700</v>
      </c>
      <c r="K21" s="111">
        <f>K5*Assumptions!$F$92</f>
        <v>7200</v>
      </c>
      <c r="L21" s="111">
        <f>L5*Assumptions!$F$93</f>
        <v>9000</v>
      </c>
      <c r="M21" s="111">
        <f t="shared" si="2"/>
        <v>18900</v>
      </c>
      <c r="N21" s="112">
        <f>N5*Assumptions!$F$91</f>
        <v>9000</v>
      </c>
      <c r="O21" s="112">
        <f>O5*Assumptions!$F$92</f>
        <v>14400</v>
      </c>
      <c r="P21" s="112">
        <f>P5*Assumptions!$F$93</f>
        <v>12000</v>
      </c>
      <c r="Q21" s="112">
        <f t="shared" si="3"/>
        <v>35400</v>
      </c>
      <c r="R21" s="112">
        <f>R5*Assumptions!$F$91</f>
        <v>25200</v>
      </c>
      <c r="S21" s="112">
        <f>S5*Assumptions!$F$92</f>
        <v>27000</v>
      </c>
      <c r="T21" s="112">
        <f>T5*Assumptions!$F$93</f>
        <v>18000</v>
      </c>
      <c r="U21" s="112">
        <f t="shared" si="4"/>
        <v>70200</v>
      </c>
    </row>
    <row r="22" spans="1:21">
      <c r="A22" s="57" t="s">
        <v>766</v>
      </c>
      <c r="B22" s="111">
        <f>B16*Assumptions!$F$97</f>
        <v>64.800000000000011</v>
      </c>
      <c r="C22" s="111">
        <f>C16*Assumptions!$F$98</f>
        <v>972</v>
      </c>
      <c r="D22" s="111">
        <f>D16*Assumptions!$F$99</f>
        <v>5040</v>
      </c>
      <c r="E22" s="111">
        <f t="shared" si="0"/>
        <v>6076.8</v>
      </c>
      <c r="F22" s="111">
        <f>F16*Assumptions!$F$97</f>
        <v>648</v>
      </c>
      <c r="G22" s="111">
        <f>G16*Assumptions!$F$98</f>
        <v>4860</v>
      </c>
      <c r="H22" s="111">
        <f>H16*Assumptions!$F$99</f>
        <v>15750</v>
      </c>
      <c r="I22" s="111">
        <f t="shared" si="1"/>
        <v>21258</v>
      </c>
      <c r="J22" s="111">
        <f>J16*Assumptions!$F$97</f>
        <v>3240</v>
      </c>
      <c r="K22" s="111">
        <f>K16*Assumptions!$F$98</f>
        <v>14400</v>
      </c>
      <c r="L22" s="111">
        <f>L16*Assumptions!$F$99</f>
        <v>31500</v>
      </c>
      <c r="M22" s="111">
        <f t="shared" si="2"/>
        <v>49140</v>
      </c>
      <c r="N22" s="112">
        <f>N16*Assumptions!$F$97</f>
        <v>10800</v>
      </c>
      <c r="O22" s="112">
        <f>O16*Assumptions!$F$98</f>
        <v>28800</v>
      </c>
      <c r="P22" s="112">
        <f>P16*Assumptions!$F$99</f>
        <v>42000</v>
      </c>
      <c r="Q22" s="112">
        <f t="shared" si="3"/>
        <v>81600</v>
      </c>
      <c r="R22" s="112">
        <f>R16*Assumptions!$F$97</f>
        <v>30240</v>
      </c>
      <c r="S22" s="112">
        <f>S16*Assumptions!$F$98</f>
        <v>54000</v>
      </c>
      <c r="T22" s="112">
        <f>T16*Assumptions!$F$99</f>
        <v>63000</v>
      </c>
      <c r="U22" s="112">
        <f t="shared" si="4"/>
        <v>147240</v>
      </c>
    </row>
    <row r="23" spans="1:21">
      <c r="A23" s="57" t="s">
        <v>767</v>
      </c>
      <c r="B23" s="111">
        <f>SUM(B19:B22)</f>
        <v>280.8</v>
      </c>
      <c r="C23" s="111">
        <f>SUM(C19:C22)</f>
        <v>3888</v>
      </c>
      <c r="D23" s="111">
        <f>SUM(D19:D22)</f>
        <v>25920</v>
      </c>
      <c r="E23" s="111">
        <f t="shared" si="0"/>
        <v>30088.799999999999</v>
      </c>
      <c r="F23" s="111">
        <f>SUM(F19:F22)</f>
        <v>2808</v>
      </c>
      <c r="G23" s="111">
        <f>SUM(G19:G22)</f>
        <v>19440</v>
      </c>
      <c r="H23" s="111">
        <f>SUM(H19:H22)</f>
        <v>81000</v>
      </c>
      <c r="I23" s="111">
        <f t="shared" si="1"/>
        <v>103248</v>
      </c>
      <c r="J23" s="111">
        <f>SUM(J19:J22)</f>
        <v>14040</v>
      </c>
      <c r="K23" s="111">
        <f>SUM(K19:K22)</f>
        <v>57600</v>
      </c>
      <c r="L23" s="111">
        <f>SUM(L19:L22)</f>
        <v>162000</v>
      </c>
      <c r="M23" s="111">
        <f t="shared" si="2"/>
        <v>233640</v>
      </c>
      <c r="N23" s="112">
        <f>SUM(N19:N22)</f>
        <v>46800</v>
      </c>
      <c r="O23" s="112">
        <f>SUM(O19:O22)</f>
        <v>115200</v>
      </c>
      <c r="P23" s="112">
        <f>SUM(P19:P22)</f>
        <v>216000</v>
      </c>
      <c r="Q23" s="112">
        <f t="shared" si="3"/>
        <v>378000</v>
      </c>
      <c r="R23" s="112">
        <f>SUM(R19:R22)</f>
        <v>131040</v>
      </c>
      <c r="S23" s="112">
        <f>SUM(S19:S22)</f>
        <v>216000</v>
      </c>
      <c r="T23" s="112">
        <f>SUM(T19:T22)</f>
        <v>324000</v>
      </c>
      <c r="U23" s="112">
        <f t="shared" si="4"/>
        <v>671040</v>
      </c>
    </row>
    <row r="24" spans="1:21">
      <c r="A24" s="57" t="s">
        <v>768</v>
      </c>
      <c r="B24" s="111">
        <f>SUM(B12,B14,B18)</f>
        <v>5643</v>
      </c>
      <c r="C24" s="111">
        <f>SUM(C12,C14,C18)</f>
        <v>29565.000000000004</v>
      </c>
      <c r="D24" s="111">
        <f>SUM(D12,D14,D18)</f>
        <v>64800</v>
      </c>
      <c r="E24" s="111">
        <f t="shared" si="0"/>
        <v>100008</v>
      </c>
      <c r="F24" s="111">
        <f>SUM(F12,F14,F18)</f>
        <v>73440</v>
      </c>
      <c r="G24" s="111">
        <f>SUM(G12,G14,G18)</f>
        <v>183971.25</v>
      </c>
      <c r="H24" s="111">
        <f>SUM(H12,H14,H18)</f>
        <v>226687.5</v>
      </c>
      <c r="I24" s="111">
        <f t="shared" si="1"/>
        <v>484098.75</v>
      </c>
      <c r="J24" s="111">
        <f>SUM(J12,J14,J18)</f>
        <v>482017.5</v>
      </c>
      <c r="K24" s="111">
        <f>SUM(K12,K14,K18)</f>
        <v>689685</v>
      </c>
      <c r="L24" s="111">
        <f>SUM(L12,L14,L18)</f>
        <v>549056.25</v>
      </c>
      <c r="M24" s="111">
        <f t="shared" si="2"/>
        <v>1720758.75</v>
      </c>
      <c r="N24" s="112">
        <f>SUM(N12,N14,N18)</f>
        <v>2123403.75</v>
      </c>
      <c r="O24" s="112">
        <f>SUM(O12,O14,O18)</f>
        <v>1769749.5</v>
      </c>
      <c r="P24" s="112">
        <f>SUM(P12,P14,P18)</f>
        <v>904301.25</v>
      </c>
      <c r="Q24" s="112">
        <f t="shared" si="3"/>
        <v>4797454.5</v>
      </c>
      <c r="R24" s="112">
        <f>SUM(R12,R14,R18)</f>
        <v>7898576.1749999998</v>
      </c>
      <c r="S24" s="112">
        <f>SUM(S12,S14,S18)</f>
        <v>4306428.421875</v>
      </c>
      <c r="T24" s="112">
        <f>SUM(T12,T14,T18)</f>
        <v>1705210.0312499998</v>
      </c>
      <c r="U24" s="112">
        <f t="shared" si="4"/>
        <v>13910214.628125001</v>
      </c>
    </row>
    <row r="25" spans="1:21">
      <c r="A25" s="57" t="s">
        <v>769</v>
      </c>
      <c r="B25" s="111">
        <f t="shared" ref="B25:U25" si="5">B24-B23</f>
        <v>5362.2</v>
      </c>
      <c r="C25" s="111">
        <f t="shared" si="5"/>
        <v>25677.000000000004</v>
      </c>
      <c r="D25" s="111">
        <f t="shared" si="5"/>
        <v>38880</v>
      </c>
      <c r="E25" s="111">
        <f t="shared" si="5"/>
        <v>69919.199999999997</v>
      </c>
      <c r="F25" s="111">
        <f t="shared" si="5"/>
        <v>70632</v>
      </c>
      <c r="G25" s="111">
        <f t="shared" si="5"/>
        <v>164531.25</v>
      </c>
      <c r="H25" s="111">
        <f t="shared" si="5"/>
        <v>145687.5</v>
      </c>
      <c r="I25" s="111">
        <f t="shared" si="5"/>
        <v>380850.75</v>
      </c>
      <c r="J25" s="111">
        <f t="shared" si="5"/>
        <v>467977.5</v>
      </c>
      <c r="K25" s="111">
        <f t="shared" si="5"/>
        <v>632085</v>
      </c>
      <c r="L25" s="111">
        <f t="shared" si="5"/>
        <v>387056.25</v>
      </c>
      <c r="M25" s="111">
        <f t="shared" si="5"/>
        <v>1487118.75</v>
      </c>
      <c r="N25" s="112">
        <f t="shared" si="5"/>
        <v>2076603.75</v>
      </c>
      <c r="O25" s="112">
        <f t="shared" si="5"/>
        <v>1654549.5</v>
      </c>
      <c r="P25" s="112">
        <f t="shared" si="5"/>
        <v>688301.25</v>
      </c>
      <c r="Q25" s="112">
        <f t="shared" si="5"/>
        <v>4419454.5</v>
      </c>
      <c r="R25" s="112">
        <f t="shared" si="5"/>
        <v>7767536.1749999998</v>
      </c>
      <c r="S25" s="112">
        <f t="shared" si="5"/>
        <v>4090428.421875</v>
      </c>
      <c r="T25" s="112">
        <f t="shared" si="5"/>
        <v>1381210.0312499998</v>
      </c>
      <c r="U25" s="112">
        <f t="shared" si="5"/>
        <v>13239174.628125001</v>
      </c>
    </row>
    <row r="26" spans="1:21">
      <c r="A26" s="57" t="s">
        <v>770</v>
      </c>
      <c r="B26" s="62">
        <f t="shared" ref="B26:U26" si="6">IF(B24=0,0,B25/B24)</f>
        <v>0.95023923444976077</v>
      </c>
      <c r="C26" s="62">
        <f t="shared" si="6"/>
        <v>0.86849315068493149</v>
      </c>
      <c r="D26" s="62">
        <f t="shared" si="6"/>
        <v>0.6</v>
      </c>
      <c r="E26" s="62">
        <f t="shared" si="6"/>
        <v>0.69913606911447079</v>
      </c>
      <c r="F26" s="62">
        <f t="shared" si="6"/>
        <v>0.96176470588235297</v>
      </c>
      <c r="G26" s="62">
        <f t="shared" si="6"/>
        <v>0.89433131535498078</v>
      </c>
      <c r="H26" s="62">
        <f t="shared" si="6"/>
        <v>0.64267990074441683</v>
      </c>
      <c r="I26" s="62">
        <f t="shared" si="6"/>
        <v>0.78672120099463183</v>
      </c>
      <c r="J26" s="62">
        <f t="shared" si="6"/>
        <v>0.97087242683097608</v>
      </c>
      <c r="K26" s="62">
        <f t="shared" si="6"/>
        <v>0.91648361208377738</v>
      </c>
      <c r="L26" s="62">
        <f t="shared" si="6"/>
        <v>0.70494826349759243</v>
      </c>
      <c r="M26" s="62">
        <f t="shared" si="6"/>
        <v>0.86422268664913082</v>
      </c>
      <c r="N26" s="85">
        <f t="shared" si="6"/>
        <v>0.97795991459466902</v>
      </c>
      <c r="O26" s="85">
        <f t="shared" si="6"/>
        <v>0.93490604178726988</v>
      </c>
      <c r="P26" s="85">
        <f t="shared" si="6"/>
        <v>0.76114154436920223</v>
      </c>
      <c r="Q26" s="85">
        <f t="shared" si="6"/>
        <v>0.92120821573190537</v>
      </c>
      <c r="R26" s="85">
        <f t="shared" si="6"/>
        <v>0.98340966813553587</v>
      </c>
      <c r="S26" s="85">
        <f t="shared" si="6"/>
        <v>0.94984242652152229</v>
      </c>
      <c r="T26" s="85">
        <f t="shared" si="6"/>
        <v>0.80999408045794064</v>
      </c>
      <c r="U26" s="85">
        <f t="shared" si="6"/>
        <v>0.95175919150498034</v>
      </c>
    </row>
    <row r="27" spans="1:21">
      <c r="A27" s="57" t="s">
        <v>771</v>
      </c>
      <c r="B27" s="113">
        <f>B4*Assumptions!$F$100</f>
        <v>0.15</v>
      </c>
      <c r="C27" s="113">
        <f>C4*Assumptions!$F$101</f>
        <v>1.35</v>
      </c>
      <c r="D27" s="113">
        <f>D4*Assumptions!$F$102</f>
        <v>2</v>
      </c>
      <c r="E27" s="113">
        <f>SUM(B27:D27)</f>
        <v>3.5</v>
      </c>
      <c r="F27" s="113">
        <f>F4*Assumptions!$F$100</f>
        <v>0.3</v>
      </c>
      <c r="G27" s="113">
        <f>G4*Assumptions!$F$101</f>
        <v>1.35</v>
      </c>
      <c r="H27" s="113">
        <f>H4*Assumptions!$F$102</f>
        <v>1.25</v>
      </c>
      <c r="I27" s="113">
        <f>SUM(F27:H27)</f>
        <v>2.9000000000000004</v>
      </c>
      <c r="J27" s="113">
        <f>J4*Assumptions!$F$100</f>
        <v>0.45</v>
      </c>
      <c r="K27" s="113">
        <f>K4*Assumptions!$F$101</f>
        <v>1.2000000000000002</v>
      </c>
      <c r="L27" s="113">
        <f>L4*Assumptions!$F$102</f>
        <v>0.75</v>
      </c>
      <c r="M27" s="113">
        <f>SUM(J27:L27)</f>
        <v>2.4000000000000004</v>
      </c>
      <c r="N27" s="114">
        <f>N4*Assumptions!$F$100</f>
        <v>0.6</v>
      </c>
      <c r="O27" s="114">
        <f>O4*Assumptions!$F$101</f>
        <v>0.96</v>
      </c>
      <c r="P27" s="114">
        <f>P4*Assumptions!$F$102</f>
        <v>0.4</v>
      </c>
      <c r="Q27" s="114">
        <f>SUM(N27:P27)</f>
        <v>1.96</v>
      </c>
      <c r="R27" s="114">
        <f>R4*Assumptions!$F$100</f>
        <v>0.7</v>
      </c>
      <c r="S27" s="114">
        <f>S4*Assumptions!$F$101</f>
        <v>0.75</v>
      </c>
      <c r="T27" s="114">
        <f>T4*Assumptions!$F$102</f>
        <v>0.25</v>
      </c>
      <c r="U27" s="114">
        <f>SUM(R27:T27)</f>
        <v>1.7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3.0325000000000002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1.99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1.2725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0.75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0.51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86"/>
  <sheetViews>
    <sheetView showGridLines="0" workbookViewId="0"/>
  </sheetViews>
  <sheetFormatPr defaultColWidth="8.6328125" defaultRowHeight="14.5"/>
  <cols>
    <col min="1" max="1" width="34.90625" customWidth="1"/>
    <col min="2" max="2" width="43.1796875" customWidth="1"/>
    <col min="3" max="3" width="21.6328125" bestFit="1" customWidth="1"/>
    <col min="4" max="4" width="20.6328125" bestFit="1" customWidth="1"/>
    <col min="5" max="5" width="39.90625" bestFit="1" customWidth="1"/>
    <col min="6" max="6" width="8.7265625" customWidth="1"/>
    <col min="7" max="7" width="17.08984375" customWidth="1"/>
    <col min="8" max="8" width="74.54296875" customWidth="1"/>
    <col min="9" max="9" width="52" customWidth="1"/>
    <col min="10" max="10" width="29.6328125" customWidth="1"/>
    <col min="11" max="11" width="13.54296875" customWidth="1"/>
  </cols>
  <sheetData>
    <row r="2" spans="1:11" ht="17.25" customHeight="1">
      <c r="B2" s="2" t="s">
        <v>779</v>
      </c>
    </row>
    <row r="3" spans="1:11" ht="15" customHeight="1">
      <c r="B3" s="3" t="s">
        <v>780</v>
      </c>
    </row>
    <row r="5" spans="1:11" ht="23.25" customHeight="1">
      <c r="A5" s="56" t="s">
        <v>781</v>
      </c>
      <c r="B5" s="60" t="s">
        <v>85</v>
      </c>
      <c r="C5" s="60" t="s">
        <v>782</v>
      </c>
      <c r="D5" s="60" t="s">
        <v>783</v>
      </c>
      <c r="E5" s="60" t="s">
        <v>784</v>
      </c>
      <c r="F5" s="60" t="s">
        <v>785</v>
      </c>
      <c r="G5" s="60" t="s">
        <v>786</v>
      </c>
      <c r="H5" s="60" t="s">
        <v>787</v>
      </c>
      <c r="I5" s="60" t="s">
        <v>788</v>
      </c>
      <c r="J5" s="60" t="s">
        <v>789</v>
      </c>
      <c r="K5" s="5"/>
    </row>
    <row r="6" spans="1:11" ht="18.75" customHeight="1">
      <c r="A6" t="s">
        <v>790</v>
      </c>
      <c r="B6" s="28" t="s">
        <v>83</v>
      </c>
      <c r="C6" s="29" t="s">
        <v>791</v>
      </c>
      <c r="D6" s="30" t="s">
        <v>792</v>
      </c>
      <c r="E6" s="30" t="s">
        <v>793</v>
      </c>
      <c r="F6" s="30" t="s">
        <v>87</v>
      </c>
      <c r="G6" s="31" t="s">
        <v>166</v>
      </c>
      <c r="H6" s="32" t="s">
        <v>794</v>
      </c>
      <c r="I6" s="33" t="s">
        <v>795</v>
      </c>
      <c r="J6" s="34" t="s">
        <v>796</v>
      </c>
      <c r="K6" s="20"/>
    </row>
    <row r="7" spans="1:11" ht="15" customHeight="1">
      <c r="A7" t="s">
        <v>755</v>
      </c>
      <c r="B7" s="28" t="s">
        <v>83</v>
      </c>
      <c r="C7" s="29" t="s">
        <v>797</v>
      </c>
      <c r="D7" s="35" t="s">
        <v>792</v>
      </c>
      <c r="E7" s="35" t="s">
        <v>798</v>
      </c>
      <c r="F7" s="35" t="s">
        <v>498</v>
      </c>
      <c r="G7" s="31" t="s">
        <v>166</v>
      </c>
      <c r="H7" s="32" t="s">
        <v>799</v>
      </c>
      <c r="I7" s="33" t="s">
        <v>795</v>
      </c>
      <c r="J7" s="34" t="s">
        <v>796</v>
      </c>
      <c r="K7" s="20"/>
    </row>
    <row r="8" spans="1:11" ht="15" customHeight="1">
      <c r="A8" t="s">
        <v>800</v>
      </c>
      <c r="B8" s="28" t="s">
        <v>83</v>
      </c>
      <c r="C8" s="29" t="s">
        <v>801</v>
      </c>
      <c r="D8" s="35" t="s">
        <v>792</v>
      </c>
      <c r="E8" s="35" t="s">
        <v>802</v>
      </c>
      <c r="F8" s="35" t="s">
        <v>498</v>
      </c>
      <c r="G8" s="31" t="s">
        <v>166</v>
      </c>
      <c r="H8" s="32" t="s">
        <v>803</v>
      </c>
      <c r="I8" s="33" t="s">
        <v>795</v>
      </c>
      <c r="J8" s="34" t="s">
        <v>796</v>
      </c>
      <c r="K8" s="20"/>
    </row>
    <row r="9" spans="1:11" ht="15" customHeight="1">
      <c r="A9" t="s">
        <v>761</v>
      </c>
      <c r="B9" s="28" t="s">
        <v>83</v>
      </c>
      <c r="C9" s="29" t="s">
        <v>804</v>
      </c>
      <c r="D9" s="35" t="s">
        <v>792</v>
      </c>
      <c r="E9" s="35" t="s">
        <v>805</v>
      </c>
      <c r="F9" s="35" t="s">
        <v>498</v>
      </c>
      <c r="G9" s="31" t="s">
        <v>166</v>
      </c>
      <c r="H9" s="32" t="s">
        <v>806</v>
      </c>
      <c r="I9" s="33" t="s">
        <v>795</v>
      </c>
      <c r="J9" s="34" t="s">
        <v>796</v>
      </c>
      <c r="K9" s="20"/>
    </row>
    <row r="10" spans="1:11" ht="15" customHeight="1">
      <c r="A10" t="s">
        <v>807</v>
      </c>
      <c r="B10" s="28" t="s">
        <v>83</v>
      </c>
      <c r="C10" s="29">
        <v>0</v>
      </c>
      <c r="D10" s="35">
        <v>500</v>
      </c>
      <c r="E10" s="35">
        <v>1500</v>
      </c>
      <c r="F10" s="35" t="s">
        <v>498</v>
      </c>
      <c r="G10" s="31" t="s">
        <v>166</v>
      </c>
      <c r="H10" s="32" t="s">
        <v>808</v>
      </c>
      <c r="I10" s="33" t="s">
        <v>809</v>
      </c>
      <c r="J10" s="34" t="s">
        <v>796</v>
      </c>
      <c r="K10" s="20"/>
    </row>
    <row r="11" spans="1:11" ht="15" customHeight="1">
      <c r="A11" t="s">
        <v>810</v>
      </c>
      <c r="B11" s="28" t="s">
        <v>83</v>
      </c>
      <c r="C11" s="29">
        <v>0.2</v>
      </c>
      <c r="D11" s="30">
        <v>0.35</v>
      </c>
      <c r="E11" s="30">
        <v>0.55000000000000004</v>
      </c>
      <c r="F11" s="30" t="s">
        <v>87</v>
      </c>
      <c r="G11" s="31" t="s">
        <v>811</v>
      </c>
      <c r="H11" s="36" t="s">
        <v>812</v>
      </c>
      <c r="I11" s="33" t="s">
        <v>813</v>
      </c>
      <c r="J11" s="34" t="s">
        <v>814</v>
      </c>
      <c r="K11" s="20"/>
    </row>
    <row r="12" spans="1:11" ht="18.75" customHeight="1">
      <c r="A12" t="s">
        <v>815</v>
      </c>
      <c r="B12" s="28" t="s">
        <v>816</v>
      </c>
      <c r="C12" s="14">
        <v>100</v>
      </c>
      <c r="D12" s="35">
        <v>100</v>
      </c>
      <c r="E12" s="35">
        <v>100</v>
      </c>
      <c r="F12" s="35" t="s">
        <v>498</v>
      </c>
      <c r="G12" s="31" t="s">
        <v>817</v>
      </c>
      <c r="H12" s="37" t="s">
        <v>818</v>
      </c>
      <c r="I12" s="33" t="s">
        <v>819</v>
      </c>
      <c r="J12" s="34" t="s">
        <v>796</v>
      </c>
      <c r="K12" s="20"/>
    </row>
    <row r="13" spans="1:11" ht="18.75" customHeight="1">
      <c r="A13" t="s">
        <v>820</v>
      </c>
      <c r="B13" s="28" t="s">
        <v>93</v>
      </c>
      <c r="C13" s="38">
        <v>50</v>
      </c>
      <c r="D13" s="35">
        <v>50</v>
      </c>
      <c r="E13" s="35">
        <v>50</v>
      </c>
      <c r="F13" s="35" t="s">
        <v>498</v>
      </c>
      <c r="G13" s="31" t="s">
        <v>817</v>
      </c>
      <c r="H13" s="37" t="s">
        <v>818</v>
      </c>
      <c r="I13" s="33" t="s">
        <v>821</v>
      </c>
      <c r="J13" s="34" t="s">
        <v>796</v>
      </c>
      <c r="K13" s="20"/>
    </row>
    <row r="14" spans="1:11" ht="15" customHeight="1">
      <c r="A14" t="s">
        <v>822</v>
      </c>
      <c r="B14" s="28" t="s">
        <v>93</v>
      </c>
      <c r="C14" s="38">
        <v>0</v>
      </c>
      <c r="D14" s="35">
        <v>63</v>
      </c>
      <c r="E14" s="35">
        <v>63</v>
      </c>
      <c r="F14" s="35" t="s">
        <v>498</v>
      </c>
      <c r="G14" s="31" t="s">
        <v>817</v>
      </c>
      <c r="H14" s="37" t="s">
        <v>823</v>
      </c>
      <c r="I14" s="33" t="s">
        <v>824</v>
      </c>
      <c r="J14" s="34" t="s">
        <v>796</v>
      </c>
      <c r="K14" s="20"/>
    </row>
    <row r="15" spans="1:11" ht="15" customHeight="1">
      <c r="A15" t="s">
        <v>507</v>
      </c>
      <c r="B15" s="28" t="s">
        <v>816</v>
      </c>
      <c r="C15" s="14">
        <v>375</v>
      </c>
      <c r="D15" s="35">
        <v>1500</v>
      </c>
      <c r="E15" s="35">
        <v>3000</v>
      </c>
      <c r="F15" s="35" t="s">
        <v>498</v>
      </c>
      <c r="G15" s="31" t="s">
        <v>811</v>
      </c>
      <c r="H15" s="36" t="s">
        <v>825</v>
      </c>
      <c r="I15" s="33" t="s">
        <v>826</v>
      </c>
      <c r="J15" s="34" t="s">
        <v>796</v>
      </c>
      <c r="K15" s="20"/>
    </row>
    <row r="16" spans="1:11" ht="15" customHeight="1">
      <c r="A16" t="s">
        <v>827</v>
      </c>
      <c r="B16" s="28" t="s">
        <v>816</v>
      </c>
      <c r="C16" s="14">
        <v>200</v>
      </c>
      <c r="D16" s="35">
        <v>600</v>
      </c>
      <c r="E16" s="35">
        <v>1500</v>
      </c>
      <c r="F16" s="35" t="s">
        <v>498</v>
      </c>
      <c r="G16" s="31" t="s">
        <v>166</v>
      </c>
      <c r="H16" s="32" t="s">
        <v>828</v>
      </c>
      <c r="I16" s="33"/>
      <c r="J16" s="34" t="s">
        <v>796</v>
      </c>
      <c r="K16" s="20"/>
    </row>
    <row r="17" spans="1:11" ht="15" customHeight="1">
      <c r="A17" t="s">
        <v>829</v>
      </c>
      <c r="B17" s="28" t="s">
        <v>816</v>
      </c>
      <c r="C17" s="14">
        <v>300</v>
      </c>
      <c r="D17" s="35">
        <v>900</v>
      </c>
      <c r="E17" s="35">
        <v>2500</v>
      </c>
      <c r="F17" s="35" t="s">
        <v>498</v>
      </c>
      <c r="G17" s="31" t="s">
        <v>166</v>
      </c>
      <c r="H17" s="32" t="s">
        <v>830</v>
      </c>
      <c r="I17" s="33"/>
      <c r="J17" s="34" t="s">
        <v>796</v>
      </c>
      <c r="K17" s="20"/>
    </row>
    <row r="18" spans="1:11" ht="15" customHeight="1">
      <c r="A18" t="s">
        <v>831</v>
      </c>
      <c r="B18" s="28" t="s">
        <v>93</v>
      </c>
      <c r="C18" s="38">
        <v>3000</v>
      </c>
      <c r="D18" s="35">
        <v>8000</v>
      </c>
      <c r="E18" s="35">
        <v>18000</v>
      </c>
      <c r="F18" s="35" t="s">
        <v>498</v>
      </c>
      <c r="G18" s="31" t="s">
        <v>166</v>
      </c>
      <c r="H18" s="32" t="s">
        <v>832</v>
      </c>
      <c r="I18" s="33" t="s">
        <v>833</v>
      </c>
      <c r="J18" s="34" t="s">
        <v>796</v>
      </c>
      <c r="K18" s="20"/>
    </row>
    <row r="19" spans="1:11" ht="15" customHeight="1">
      <c r="A19" t="s">
        <v>834</v>
      </c>
      <c r="B19" s="39" t="s">
        <v>93</v>
      </c>
      <c r="C19" s="40">
        <v>8000</v>
      </c>
      <c r="D19" s="41">
        <v>25000</v>
      </c>
      <c r="E19" s="41">
        <v>60000</v>
      </c>
      <c r="F19" s="41" t="s">
        <v>498</v>
      </c>
      <c r="G19" s="31" t="s">
        <v>166</v>
      </c>
      <c r="H19" s="32" t="s">
        <v>835</v>
      </c>
      <c r="I19" s="33" t="s">
        <v>836</v>
      </c>
      <c r="J19" s="34" t="s">
        <v>796</v>
      </c>
      <c r="K19" s="20"/>
    </row>
    <row r="20" spans="1:11" ht="15" customHeight="1">
      <c r="A20" t="s">
        <v>837</v>
      </c>
      <c r="B20" s="28" t="s">
        <v>93</v>
      </c>
      <c r="C20" s="38">
        <v>2000</v>
      </c>
      <c r="D20" s="35">
        <v>6000</v>
      </c>
      <c r="E20" s="35">
        <v>15000</v>
      </c>
      <c r="F20" s="35" t="s">
        <v>498</v>
      </c>
      <c r="G20" s="31" t="s">
        <v>166</v>
      </c>
      <c r="H20" s="32" t="s">
        <v>838</v>
      </c>
      <c r="I20" s="33"/>
      <c r="J20" s="34" t="s">
        <v>796</v>
      </c>
      <c r="K20" s="20"/>
    </row>
    <row r="21" spans="1:11" ht="15" customHeight="1">
      <c r="A21" t="s">
        <v>839</v>
      </c>
      <c r="B21" s="28" t="s">
        <v>93</v>
      </c>
      <c r="C21" s="38">
        <v>1000</v>
      </c>
      <c r="D21" s="35">
        <v>3000</v>
      </c>
      <c r="E21" s="35">
        <v>8000</v>
      </c>
      <c r="F21" s="35" t="s">
        <v>498</v>
      </c>
      <c r="G21" s="31" t="s">
        <v>166</v>
      </c>
      <c r="H21" s="32" t="s">
        <v>840</v>
      </c>
      <c r="I21" s="33"/>
      <c r="J21" s="34" t="s">
        <v>796</v>
      </c>
      <c r="K21" s="20"/>
    </row>
    <row r="22" spans="1:11" ht="15" customHeight="1">
      <c r="A22" t="s">
        <v>524</v>
      </c>
      <c r="B22" s="28" t="s">
        <v>93</v>
      </c>
      <c r="C22" s="38">
        <v>52</v>
      </c>
      <c r="D22" s="35">
        <v>60</v>
      </c>
      <c r="E22" s="35">
        <v>60</v>
      </c>
      <c r="F22" s="35" t="s">
        <v>498</v>
      </c>
      <c r="G22" s="31" t="s">
        <v>817</v>
      </c>
      <c r="H22" s="37" t="s">
        <v>841</v>
      </c>
      <c r="I22" s="33" t="s">
        <v>842</v>
      </c>
      <c r="J22" s="34" t="s">
        <v>796</v>
      </c>
      <c r="K22" s="20"/>
    </row>
    <row r="23" spans="1:11" ht="15" customHeight="1">
      <c r="A23" t="s">
        <v>843</v>
      </c>
      <c r="B23" s="28" t="s">
        <v>816</v>
      </c>
      <c r="C23" s="14">
        <v>12000</v>
      </c>
      <c r="D23" s="35">
        <v>30000</v>
      </c>
      <c r="E23" s="35">
        <v>60000</v>
      </c>
      <c r="F23" s="35" t="s">
        <v>498</v>
      </c>
      <c r="G23" s="31" t="s">
        <v>811</v>
      </c>
      <c r="H23" s="36" t="s">
        <v>844</v>
      </c>
      <c r="I23" s="33" t="s">
        <v>845</v>
      </c>
      <c r="J23" s="34" t="s">
        <v>796</v>
      </c>
      <c r="K23" s="20"/>
    </row>
    <row r="24" spans="1:11" ht="15" customHeight="1">
      <c r="A24" t="s">
        <v>846</v>
      </c>
      <c r="B24" s="28" t="s">
        <v>816</v>
      </c>
      <c r="C24" s="14">
        <v>3000</v>
      </c>
      <c r="D24" s="35">
        <v>7000</v>
      </c>
      <c r="E24" s="35">
        <v>15000</v>
      </c>
      <c r="F24" s="35" t="s">
        <v>498</v>
      </c>
      <c r="G24" s="31" t="s">
        <v>166</v>
      </c>
      <c r="H24" s="32" t="s">
        <v>847</v>
      </c>
      <c r="I24" s="33"/>
      <c r="J24" s="34" t="s">
        <v>796</v>
      </c>
      <c r="K24" s="20"/>
    </row>
    <row r="25" spans="1:11" ht="15" customHeight="1">
      <c r="A25" t="s">
        <v>848</v>
      </c>
      <c r="B25" s="28" t="s">
        <v>816</v>
      </c>
      <c r="C25" s="14">
        <v>15000</v>
      </c>
      <c r="D25" s="35">
        <v>40000</v>
      </c>
      <c r="E25" s="35">
        <v>90000</v>
      </c>
      <c r="F25" s="35" t="s">
        <v>498</v>
      </c>
      <c r="G25" s="31" t="s">
        <v>166</v>
      </c>
      <c r="H25" s="32" t="s">
        <v>849</v>
      </c>
      <c r="I25" s="33"/>
      <c r="J25" s="34" t="s">
        <v>796</v>
      </c>
      <c r="K25" s="20"/>
    </row>
    <row r="26" spans="1:11" ht="15" customHeight="1">
      <c r="A26" t="s">
        <v>850</v>
      </c>
      <c r="B26" s="28" t="s">
        <v>816</v>
      </c>
      <c r="C26" s="14">
        <v>20000</v>
      </c>
      <c r="D26" s="35">
        <v>50000</v>
      </c>
      <c r="E26" s="35">
        <v>110000</v>
      </c>
      <c r="F26" s="35" t="s">
        <v>498</v>
      </c>
      <c r="G26" s="31" t="s">
        <v>166</v>
      </c>
      <c r="H26" s="32" t="s">
        <v>851</v>
      </c>
      <c r="I26" s="33"/>
      <c r="J26" s="34" t="s">
        <v>796</v>
      </c>
      <c r="K26" s="20"/>
    </row>
    <row r="27" spans="1:11" ht="15" customHeight="1">
      <c r="A27" t="s">
        <v>536</v>
      </c>
      <c r="B27" s="28" t="s">
        <v>816</v>
      </c>
      <c r="C27" s="14">
        <v>3000</v>
      </c>
      <c r="D27" s="35">
        <v>9000</v>
      </c>
      <c r="E27" s="35">
        <v>20000</v>
      </c>
      <c r="F27" s="35" t="s">
        <v>498</v>
      </c>
      <c r="G27" s="31" t="s">
        <v>166</v>
      </c>
      <c r="H27" s="32"/>
      <c r="I27" s="33"/>
      <c r="J27" s="34" t="s">
        <v>796</v>
      </c>
      <c r="K27" s="20"/>
    </row>
    <row r="28" spans="1:11" ht="15" customHeight="1">
      <c r="A28" t="s">
        <v>852</v>
      </c>
      <c r="B28" s="28" t="s">
        <v>816</v>
      </c>
      <c r="C28" s="14">
        <v>1500</v>
      </c>
      <c r="D28" s="35">
        <v>5000</v>
      </c>
      <c r="E28" s="35">
        <v>12000</v>
      </c>
      <c r="F28" s="35" t="s">
        <v>498</v>
      </c>
      <c r="G28" s="31" t="s">
        <v>166</v>
      </c>
      <c r="H28" s="32"/>
      <c r="I28" s="33"/>
      <c r="J28" s="34" t="s">
        <v>796</v>
      </c>
      <c r="K28" s="20"/>
    </row>
    <row r="29" spans="1:11" ht="15" customHeight="1">
      <c r="A29" t="s">
        <v>853</v>
      </c>
      <c r="B29" s="28" t="s">
        <v>816</v>
      </c>
      <c r="C29" s="14">
        <v>1100</v>
      </c>
      <c r="D29" s="35">
        <v>4300</v>
      </c>
      <c r="E29" s="35">
        <v>10800</v>
      </c>
      <c r="F29" s="35" t="s">
        <v>498</v>
      </c>
      <c r="G29" s="31" t="s">
        <v>854</v>
      </c>
      <c r="H29" s="42" t="s">
        <v>855</v>
      </c>
      <c r="I29" s="33"/>
      <c r="J29" s="34" t="s">
        <v>796</v>
      </c>
      <c r="K29" s="20"/>
    </row>
    <row r="30" spans="1:11" ht="15" customHeight="1">
      <c r="A30" t="s">
        <v>856</v>
      </c>
      <c r="B30" s="55" t="s">
        <v>857</v>
      </c>
      <c r="C30" s="29">
        <v>1000</v>
      </c>
      <c r="D30" s="35">
        <v>5000</v>
      </c>
      <c r="E30" s="35">
        <v>15000</v>
      </c>
      <c r="F30" s="35" t="s">
        <v>498</v>
      </c>
      <c r="G30" s="31" t="s">
        <v>166</v>
      </c>
      <c r="H30" s="32" t="s">
        <v>858</v>
      </c>
      <c r="I30" s="33"/>
      <c r="J30" s="34" t="s">
        <v>796</v>
      </c>
      <c r="K30" s="20"/>
    </row>
    <row r="31" spans="1:11" ht="15" customHeight="1">
      <c r="A31" t="s">
        <v>859</v>
      </c>
      <c r="B31" s="28" t="s">
        <v>860</v>
      </c>
      <c r="C31" s="43">
        <v>0.01</v>
      </c>
      <c r="D31" s="44">
        <v>0.03</v>
      </c>
      <c r="E31" s="44">
        <v>0.08</v>
      </c>
      <c r="F31" s="44" t="s">
        <v>861</v>
      </c>
      <c r="G31" s="31" t="s">
        <v>862</v>
      </c>
      <c r="H31" s="42" t="s">
        <v>863</v>
      </c>
      <c r="I31" s="33" t="s">
        <v>864</v>
      </c>
      <c r="J31" s="34" t="s">
        <v>796</v>
      </c>
      <c r="K31" s="20"/>
    </row>
    <row r="32" spans="1:11" ht="15" customHeight="1">
      <c r="A32" t="s">
        <v>865</v>
      </c>
      <c r="B32" s="28" t="s">
        <v>860</v>
      </c>
      <c r="C32" s="43">
        <v>1.5E-3</v>
      </c>
      <c r="D32" s="44">
        <v>0.01</v>
      </c>
      <c r="E32" s="44">
        <v>0.05</v>
      </c>
      <c r="F32" s="44" t="s">
        <v>861</v>
      </c>
      <c r="G32" s="31" t="s">
        <v>862</v>
      </c>
      <c r="H32" s="42" t="s">
        <v>866</v>
      </c>
      <c r="I32" s="33" t="s">
        <v>867</v>
      </c>
      <c r="J32" s="34" t="s">
        <v>796</v>
      </c>
      <c r="K32" s="20"/>
    </row>
    <row r="33" spans="1:11" ht="15" customHeight="1">
      <c r="A33" t="s">
        <v>868</v>
      </c>
      <c r="B33" s="28" t="s">
        <v>860</v>
      </c>
      <c r="C33" s="43">
        <v>2</v>
      </c>
      <c r="D33" s="35">
        <v>3.5</v>
      </c>
      <c r="E33" s="35">
        <v>6</v>
      </c>
      <c r="F33" s="35" t="s">
        <v>861</v>
      </c>
      <c r="G33" s="31" t="s">
        <v>862</v>
      </c>
      <c r="H33" s="42" t="s">
        <v>869</v>
      </c>
      <c r="I33" s="33" t="s">
        <v>870</v>
      </c>
      <c r="J33" s="34" t="s">
        <v>796</v>
      </c>
      <c r="K33" s="20"/>
    </row>
    <row r="34" spans="1:11" ht="15" customHeight="1">
      <c r="A34" t="s">
        <v>871</v>
      </c>
      <c r="B34" s="28" t="s">
        <v>860</v>
      </c>
      <c r="C34" s="43">
        <v>0.3</v>
      </c>
      <c r="D34" s="44">
        <v>1.35</v>
      </c>
      <c r="E34" s="35">
        <v>5</v>
      </c>
      <c r="F34" s="35" t="s">
        <v>861</v>
      </c>
      <c r="G34" s="31" t="s">
        <v>862</v>
      </c>
      <c r="H34" s="42" t="s">
        <v>872</v>
      </c>
      <c r="I34" s="33" t="s">
        <v>873</v>
      </c>
      <c r="J34" s="34" t="s">
        <v>796</v>
      </c>
      <c r="K34" s="20"/>
    </row>
    <row r="35" spans="1:11" ht="15" customHeight="1">
      <c r="A35" t="s">
        <v>874</v>
      </c>
      <c r="B35" s="28" t="s">
        <v>860</v>
      </c>
      <c r="C35" s="43">
        <v>0.5</v>
      </c>
      <c r="D35" s="44">
        <v>4</v>
      </c>
      <c r="E35" s="35">
        <v>12</v>
      </c>
      <c r="F35" s="35" t="s">
        <v>498</v>
      </c>
      <c r="G35" s="31" t="s">
        <v>166</v>
      </c>
      <c r="H35" s="32" t="s">
        <v>875</v>
      </c>
      <c r="I35" s="33" t="s">
        <v>876</v>
      </c>
      <c r="J35" s="34" t="s">
        <v>796</v>
      </c>
      <c r="K35" s="20"/>
    </row>
    <row r="36" spans="1:11" ht="15" customHeight="1">
      <c r="A36" t="s">
        <v>877</v>
      </c>
      <c r="B36" s="28" t="s">
        <v>860</v>
      </c>
      <c r="C36" s="43">
        <v>0.05</v>
      </c>
      <c r="D36" s="44">
        <v>0.2</v>
      </c>
      <c r="E36" s="44">
        <v>0.8</v>
      </c>
      <c r="F36" s="44" t="s">
        <v>861</v>
      </c>
      <c r="G36" s="31" t="s">
        <v>817</v>
      </c>
      <c r="H36" s="37" t="s">
        <v>878</v>
      </c>
      <c r="I36" s="33" t="s">
        <v>879</v>
      </c>
      <c r="J36" s="34" t="s">
        <v>796</v>
      </c>
      <c r="K36" s="20"/>
    </row>
    <row r="37" spans="1:11" ht="15" customHeight="1">
      <c r="A37" t="s">
        <v>880</v>
      </c>
      <c r="B37" s="28" t="s">
        <v>860</v>
      </c>
      <c r="C37" s="43">
        <v>2E-3</v>
      </c>
      <c r="D37" s="44">
        <v>0.01</v>
      </c>
      <c r="E37" s="44">
        <v>0.03</v>
      </c>
      <c r="F37" s="44" t="s">
        <v>861</v>
      </c>
      <c r="G37" s="31" t="s">
        <v>862</v>
      </c>
      <c r="H37" s="42" t="s">
        <v>881</v>
      </c>
      <c r="I37" s="33"/>
      <c r="J37" s="34" t="s">
        <v>796</v>
      </c>
      <c r="K37" s="20"/>
    </row>
    <row r="38" spans="1:11" ht="15" customHeight="1">
      <c r="A38" t="s">
        <v>882</v>
      </c>
      <c r="B38" s="28" t="s">
        <v>860</v>
      </c>
      <c r="C38" s="43">
        <v>0.01</v>
      </c>
      <c r="D38" s="44">
        <v>0.03</v>
      </c>
      <c r="E38" s="44">
        <v>0.08</v>
      </c>
      <c r="F38" s="44" t="s">
        <v>861</v>
      </c>
      <c r="G38" s="31" t="s">
        <v>862</v>
      </c>
      <c r="H38" s="42" t="s">
        <v>883</v>
      </c>
      <c r="I38" s="33"/>
      <c r="J38" s="34" t="s">
        <v>796</v>
      </c>
      <c r="K38" s="20"/>
    </row>
    <row r="39" spans="1:11" ht="15" customHeight="1">
      <c r="A39" t="s">
        <v>659</v>
      </c>
      <c r="B39" s="28" t="s">
        <v>860</v>
      </c>
      <c r="C39" s="43">
        <v>1</v>
      </c>
      <c r="D39" s="35">
        <v>3</v>
      </c>
      <c r="E39" s="35">
        <v>8</v>
      </c>
      <c r="F39" s="35" t="s">
        <v>498</v>
      </c>
      <c r="G39" s="31" t="s">
        <v>166</v>
      </c>
      <c r="H39" s="32" t="s">
        <v>884</v>
      </c>
      <c r="I39" s="33"/>
      <c r="J39" s="34" t="s">
        <v>796</v>
      </c>
      <c r="K39" s="20"/>
    </row>
    <row r="40" spans="1:11" ht="15" customHeight="1">
      <c r="A40" t="s">
        <v>885</v>
      </c>
      <c r="B40" s="28" t="s">
        <v>860</v>
      </c>
      <c r="C40" s="43">
        <v>20</v>
      </c>
      <c r="D40" s="35">
        <v>60</v>
      </c>
      <c r="E40" s="35">
        <v>150</v>
      </c>
      <c r="F40" s="35" t="s">
        <v>498</v>
      </c>
      <c r="G40" s="31" t="s">
        <v>166</v>
      </c>
      <c r="H40" s="32" t="s">
        <v>886</v>
      </c>
      <c r="I40" s="33" t="s">
        <v>887</v>
      </c>
      <c r="J40" s="34" t="s">
        <v>796</v>
      </c>
      <c r="K40" s="20"/>
    </row>
    <row r="41" spans="1:11" ht="15" customHeight="1">
      <c r="A41" t="s">
        <v>197</v>
      </c>
      <c r="B41" s="28" t="s">
        <v>888</v>
      </c>
      <c r="C41" s="45">
        <v>50</v>
      </c>
      <c r="D41" s="35">
        <v>250</v>
      </c>
      <c r="E41" s="35">
        <v>900</v>
      </c>
      <c r="F41" s="35" t="s">
        <v>498</v>
      </c>
      <c r="G41" s="31" t="s">
        <v>862</v>
      </c>
      <c r="H41" s="42" t="s">
        <v>889</v>
      </c>
      <c r="I41" s="33" t="s">
        <v>890</v>
      </c>
      <c r="J41" s="34" t="s">
        <v>796</v>
      </c>
      <c r="K41" s="20"/>
    </row>
    <row r="42" spans="1:11" ht="15" customHeight="1">
      <c r="A42" t="s">
        <v>200</v>
      </c>
      <c r="B42" s="28" t="s">
        <v>888</v>
      </c>
      <c r="C42" s="45">
        <v>20</v>
      </c>
      <c r="D42" s="35">
        <v>120</v>
      </c>
      <c r="E42" s="35">
        <v>500</v>
      </c>
      <c r="F42" s="35" t="s">
        <v>498</v>
      </c>
      <c r="G42" s="31" t="s">
        <v>854</v>
      </c>
      <c r="H42" s="42" t="s">
        <v>891</v>
      </c>
      <c r="I42" s="33"/>
      <c r="J42" s="34" t="s">
        <v>796</v>
      </c>
      <c r="K42" s="20"/>
    </row>
    <row r="43" spans="1:11" ht="15" customHeight="1">
      <c r="A43" t="s">
        <v>892</v>
      </c>
      <c r="B43" s="28" t="s">
        <v>888</v>
      </c>
      <c r="C43" s="45">
        <v>30</v>
      </c>
      <c r="D43" s="35">
        <v>150</v>
      </c>
      <c r="E43" s="35">
        <v>500</v>
      </c>
      <c r="F43" s="35" t="s">
        <v>498</v>
      </c>
      <c r="G43" s="31" t="s">
        <v>854</v>
      </c>
      <c r="H43" s="42" t="s">
        <v>893</v>
      </c>
      <c r="I43" s="33"/>
      <c r="J43" s="34" t="s">
        <v>796</v>
      </c>
      <c r="K43" s="20"/>
    </row>
    <row r="44" spans="1:11" ht="15" customHeight="1">
      <c r="A44" t="s">
        <v>204</v>
      </c>
      <c r="B44" s="28" t="s">
        <v>888</v>
      </c>
      <c r="C44" s="45">
        <v>20</v>
      </c>
      <c r="D44" s="35">
        <v>60</v>
      </c>
      <c r="E44" s="35">
        <v>200</v>
      </c>
      <c r="F44" s="35" t="s">
        <v>498</v>
      </c>
      <c r="G44" s="31" t="s">
        <v>862</v>
      </c>
      <c r="H44" s="42" t="s">
        <v>894</v>
      </c>
      <c r="I44" s="33"/>
      <c r="J44" s="34" t="s">
        <v>796</v>
      </c>
      <c r="K44" s="20"/>
    </row>
    <row r="45" spans="1:11" ht="15" customHeight="1">
      <c r="A45" t="s">
        <v>895</v>
      </c>
      <c r="B45" s="28" t="s">
        <v>888</v>
      </c>
      <c r="C45" s="45">
        <v>30</v>
      </c>
      <c r="D45" s="35">
        <v>90</v>
      </c>
      <c r="E45" s="35">
        <v>250</v>
      </c>
      <c r="F45" s="35" t="s">
        <v>498</v>
      </c>
      <c r="G45" s="31" t="s">
        <v>862</v>
      </c>
      <c r="H45" s="42" t="s">
        <v>896</v>
      </c>
      <c r="I45" s="33"/>
      <c r="J45" s="34" t="s">
        <v>796</v>
      </c>
      <c r="K45" s="20"/>
    </row>
    <row r="46" spans="1:11" ht="15" customHeight="1">
      <c r="A46" t="s">
        <v>208</v>
      </c>
      <c r="B46" s="28" t="s">
        <v>888</v>
      </c>
      <c r="C46" s="45">
        <v>0</v>
      </c>
      <c r="D46" s="35">
        <v>80</v>
      </c>
      <c r="E46" s="35">
        <v>300</v>
      </c>
      <c r="F46" s="35" t="s">
        <v>498</v>
      </c>
      <c r="G46" s="31" t="s">
        <v>854</v>
      </c>
      <c r="H46" s="42" t="s">
        <v>897</v>
      </c>
      <c r="I46" s="33"/>
      <c r="J46" s="34" t="s">
        <v>796</v>
      </c>
      <c r="K46" s="20"/>
    </row>
    <row r="47" spans="1:11" ht="15" customHeight="1">
      <c r="A47" t="s">
        <v>210</v>
      </c>
      <c r="B47" s="28" t="s">
        <v>888</v>
      </c>
      <c r="C47" s="45">
        <v>150</v>
      </c>
      <c r="D47" s="35">
        <v>350</v>
      </c>
      <c r="E47" s="35">
        <v>800</v>
      </c>
      <c r="F47" s="35" t="s">
        <v>498</v>
      </c>
      <c r="G47" s="31" t="s">
        <v>166</v>
      </c>
      <c r="H47" s="32" t="s">
        <v>898</v>
      </c>
      <c r="I47" s="33"/>
      <c r="J47" s="34" t="s">
        <v>796</v>
      </c>
      <c r="K47" s="20"/>
    </row>
    <row r="48" spans="1:11" ht="15" customHeight="1">
      <c r="A48" t="s">
        <v>899</v>
      </c>
      <c r="B48" s="28" t="s">
        <v>888</v>
      </c>
      <c r="C48" s="45">
        <v>0</v>
      </c>
      <c r="D48" s="35">
        <v>600</v>
      </c>
      <c r="E48" s="35">
        <v>2000</v>
      </c>
      <c r="F48" s="35" t="s">
        <v>498</v>
      </c>
      <c r="G48" s="31" t="s">
        <v>166</v>
      </c>
      <c r="H48" s="32" t="s">
        <v>900</v>
      </c>
      <c r="I48" s="33"/>
      <c r="J48" s="34" t="s">
        <v>796</v>
      </c>
      <c r="K48" s="20"/>
    </row>
    <row r="49" spans="1:11" ht="15" customHeight="1">
      <c r="A49" t="s">
        <v>214</v>
      </c>
      <c r="B49" s="28" t="s">
        <v>93</v>
      </c>
      <c r="C49" s="38">
        <v>0</v>
      </c>
      <c r="D49" s="35">
        <v>1200</v>
      </c>
      <c r="E49" s="35">
        <v>4000</v>
      </c>
      <c r="F49" s="35" t="s">
        <v>498</v>
      </c>
      <c r="G49" s="31" t="s">
        <v>901</v>
      </c>
      <c r="H49" s="36" t="s">
        <v>902</v>
      </c>
      <c r="I49" s="33"/>
      <c r="J49" s="34" t="s">
        <v>796</v>
      </c>
      <c r="K49" s="20"/>
    </row>
    <row r="50" spans="1:11" ht="15" customHeight="1">
      <c r="A50" t="s">
        <v>903</v>
      </c>
      <c r="B50" s="28" t="s">
        <v>857</v>
      </c>
      <c r="C50" s="29">
        <v>200</v>
      </c>
      <c r="D50" s="35">
        <v>1500</v>
      </c>
      <c r="E50" s="35">
        <v>6000</v>
      </c>
      <c r="F50" s="35" t="s">
        <v>498</v>
      </c>
      <c r="G50" s="31" t="s">
        <v>166</v>
      </c>
      <c r="H50" s="32"/>
      <c r="I50" s="33"/>
      <c r="J50" s="34" t="s">
        <v>796</v>
      </c>
      <c r="K50" s="20"/>
    </row>
    <row r="51" spans="1:11" ht="15" customHeight="1">
      <c r="A51" t="s">
        <v>218</v>
      </c>
      <c r="B51" s="28" t="s">
        <v>888</v>
      </c>
      <c r="C51" s="45">
        <v>0</v>
      </c>
      <c r="D51" s="35">
        <v>400</v>
      </c>
      <c r="E51" s="35">
        <v>1500</v>
      </c>
      <c r="F51" s="35" t="s">
        <v>498</v>
      </c>
      <c r="G51" s="31" t="s">
        <v>166</v>
      </c>
      <c r="H51" s="32"/>
      <c r="I51" s="33"/>
      <c r="J51" s="34" t="s">
        <v>796</v>
      </c>
      <c r="K51" s="20"/>
    </row>
    <row r="52" spans="1:11" ht="15" customHeight="1">
      <c r="A52" t="s">
        <v>904</v>
      </c>
      <c r="B52" s="28" t="s">
        <v>888</v>
      </c>
      <c r="C52" s="45">
        <v>250</v>
      </c>
      <c r="D52" s="35">
        <v>700</v>
      </c>
      <c r="E52" s="35">
        <v>2000</v>
      </c>
      <c r="F52" s="35" t="s">
        <v>498</v>
      </c>
      <c r="G52" s="31" t="s">
        <v>901</v>
      </c>
      <c r="H52" s="36" t="s">
        <v>905</v>
      </c>
      <c r="I52" s="33" t="s">
        <v>906</v>
      </c>
      <c r="J52" s="34" t="s">
        <v>796</v>
      </c>
      <c r="K52" s="20"/>
    </row>
    <row r="53" spans="1:11" ht="15" customHeight="1">
      <c r="A53" t="s">
        <v>233</v>
      </c>
      <c r="B53" s="28" t="s">
        <v>907</v>
      </c>
      <c r="C53" s="46">
        <v>30000</v>
      </c>
      <c r="D53" s="35">
        <v>45000</v>
      </c>
      <c r="E53" s="35">
        <v>65000</v>
      </c>
      <c r="F53" s="35" t="s">
        <v>498</v>
      </c>
      <c r="G53" s="31" t="s">
        <v>811</v>
      </c>
      <c r="H53" s="36" t="s">
        <v>908</v>
      </c>
      <c r="I53" s="33"/>
      <c r="J53" s="34" t="s">
        <v>796</v>
      </c>
      <c r="K53" s="20"/>
    </row>
    <row r="54" spans="1:11" ht="15" customHeight="1">
      <c r="A54" t="s">
        <v>909</v>
      </c>
      <c r="B54" s="28" t="s">
        <v>907</v>
      </c>
      <c r="C54" s="46">
        <v>50000</v>
      </c>
      <c r="D54" s="35">
        <v>70000</v>
      </c>
      <c r="E54" s="35">
        <v>95000</v>
      </c>
      <c r="F54" s="35" t="s">
        <v>498</v>
      </c>
      <c r="G54" s="31" t="s">
        <v>811</v>
      </c>
      <c r="H54" s="36" t="s">
        <v>910</v>
      </c>
      <c r="I54" s="33"/>
      <c r="J54" s="34" t="s">
        <v>796</v>
      </c>
      <c r="K54" s="20"/>
    </row>
    <row r="55" spans="1:11" ht="15" customHeight="1">
      <c r="A55" t="s">
        <v>238</v>
      </c>
      <c r="B55" s="28" t="s">
        <v>907</v>
      </c>
      <c r="C55" s="46">
        <v>45000</v>
      </c>
      <c r="D55" s="35">
        <v>60000</v>
      </c>
      <c r="E55" s="35">
        <v>85000</v>
      </c>
      <c r="F55" s="35" t="s">
        <v>498</v>
      </c>
      <c r="G55" s="31" t="s">
        <v>811</v>
      </c>
      <c r="H55" s="36" t="s">
        <v>911</v>
      </c>
      <c r="I55" s="33" t="s">
        <v>912</v>
      </c>
      <c r="J55" s="34" t="s">
        <v>796</v>
      </c>
      <c r="K55" s="20"/>
    </row>
    <row r="56" spans="1:11" ht="15" customHeight="1">
      <c r="A56" t="s">
        <v>240</v>
      </c>
      <c r="B56" s="28" t="s">
        <v>907</v>
      </c>
      <c r="C56" s="46">
        <v>35000</v>
      </c>
      <c r="D56" s="35">
        <v>50000</v>
      </c>
      <c r="E56" s="35">
        <v>70000</v>
      </c>
      <c r="F56" s="35" t="s">
        <v>498</v>
      </c>
      <c r="G56" s="31" t="s">
        <v>811</v>
      </c>
      <c r="H56" s="36" t="s">
        <v>913</v>
      </c>
      <c r="I56" s="33"/>
      <c r="J56" s="34" t="s">
        <v>796</v>
      </c>
      <c r="K56" s="20"/>
    </row>
    <row r="57" spans="1:11" ht="15" customHeight="1">
      <c r="A57" t="s">
        <v>680</v>
      </c>
      <c r="B57" s="28" t="s">
        <v>907</v>
      </c>
      <c r="C57" s="46">
        <v>0.15</v>
      </c>
      <c r="D57" s="30">
        <v>0.15</v>
      </c>
      <c r="E57" s="30">
        <v>0.15</v>
      </c>
      <c r="F57" s="30" t="s">
        <v>87</v>
      </c>
      <c r="G57" s="31" t="s">
        <v>817</v>
      </c>
      <c r="H57" s="37" t="s">
        <v>914</v>
      </c>
      <c r="I57" s="33" t="s">
        <v>915</v>
      </c>
      <c r="J57" s="34" t="s">
        <v>796</v>
      </c>
      <c r="K57" s="20"/>
    </row>
    <row r="58" spans="1:11" ht="15" customHeight="1">
      <c r="A58" t="s">
        <v>682</v>
      </c>
      <c r="B58" s="28" t="s">
        <v>907</v>
      </c>
      <c r="C58" s="46">
        <v>0.03</v>
      </c>
      <c r="D58" s="30">
        <v>0.04</v>
      </c>
      <c r="E58" s="30">
        <v>0.05</v>
      </c>
      <c r="F58" s="30" t="s">
        <v>87</v>
      </c>
      <c r="G58" s="31" t="s">
        <v>817</v>
      </c>
      <c r="H58" s="37" t="s">
        <v>916</v>
      </c>
      <c r="I58" s="33" t="s">
        <v>917</v>
      </c>
      <c r="J58" s="34" t="s">
        <v>796</v>
      </c>
      <c r="K58" s="20"/>
    </row>
    <row r="59" spans="1:11" ht="15" customHeight="1">
      <c r="A59" t="s">
        <v>252</v>
      </c>
      <c r="B59" s="28" t="s">
        <v>907</v>
      </c>
      <c r="C59" s="46">
        <v>600</v>
      </c>
      <c r="D59" s="35">
        <v>900</v>
      </c>
      <c r="E59" s="35">
        <v>1400</v>
      </c>
      <c r="F59" s="35" t="s">
        <v>498</v>
      </c>
      <c r="G59" s="31" t="s">
        <v>901</v>
      </c>
      <c r="H59" s="36" t="s">
        <v>918</v>
      </c>
      <c r="I59" s="33"/>
      <c r="J59" s="34" t="s">
        <v>796</v>
      </c>
      <c r="K59" s="20"/>
    </row>
    <row r="60" spans="1:11" ht="15" customHeight="1">
      <c r="A60" t="s">
        <v>255</v>
      </c>
      <c r="B60" s="28" t="s">
        <v>907</v>
      </c>
      <c r="C60" s="46">
        <v>400</v>
      </c>
      <c r="D60" s="35">
        <v>600</v>
      </c>
      <c r="E60" s="35">
        <v>850</v>
      </c>
      <c r="F60" s="35" t="s">
        <v>498</v>
      </c>
      <c r="G60" s="31" t="s">
        <v>811</v>
      </c>
      <c r="H60" s="36" t="s">
        <v>919</v>
      </c>
      <c r="I60" s="33"/>
      <c r="J60" s="34" t="s">
        <v>796</v>
      </c>
      <c r="K60" s="20"/>
    </row>
    <row r="61" spans="1:11" ht="15" customHeight="1">
      <c r="A61" t="s">
        <v>256</v>
      </c>
      <c r="B61" s="28" t="s">
        <v>907</v>
      </c>
      <c r="C61" s="46">
        <v>600</v>
      </c>
      <c r="D61" s="35">
        <v>900</v>
      </c>
      <c r="E61" s="35">
        <v>1500</v>
      </c>
      <c r="F61" s="35" t="s">
        <v>498</v>
      </c>
      <c r="G61" s="31" t="s">
        <v>901</v>
      </c>
      <c r="H61" s="36" t="s">
        <v>920</v>
      </c>
      <c r="I61" s="33"/>
      <c r="J61" s="34" t="s">
        <v>796</v>
      </c>
      <c r="K61" s="20"/>
    </row>
    <row r="62" spans="1:11" ht="15" customHeight="1">
      <c r="A62" t="s">
        <v>258</v>
      </c>
      <c r="B62" s="28" t="s">
        <v>907</v>
      </c>
      <c r="C62" s="46">
        <v>350</v>
      </c>
      <c r="D62" s="35">
        <v>500</v>
      </c>
      <c r="E62" s="35">
        <v>750</v>
      </c>
      <c r="F62" s="35" t="s">
        <v>498</v>
      </c>
      <c r="G62" s="31" t="s">
        <v>811</v>
      </c>
      <c r="H62" s="36"/>
      <c r="I62" s="33"/>
      <c r="J62" s="34" t="s">
        <v>796</v>
      </c>
      <c r="K62" s="20"/>
    </row>
    <row r="63" spans="1:11" ht="15" customHeight="1">
      <c r="A63" t="s">
        <v>921</v>
      </c>
      <c r="B63" s="28" t="s">
        <v>922</v>
      </c>
      <c r="C63" s="47">
        <v>400000</v>
      </c>
      <c r="D63" s="35">
        <v>1000000</v>
      </c>
      <c r="E63" s="35">
        <v>2000000</v>
      </c>
      <c r="F63" s="35" t="s">
        <v>498</v>
      </c>
      <c r="G63" s="31" t="s">
        <v>811</v>
      </c>
      <c r="H63" s="36" t="s">
        <v>923</v>
      </c>
      <c r="I63" s="33" t="s">
        <v>924</v>
      </c>
      <c r="J63" s="34" t="s">
        <v>796</v>
      </c>
      <c r="K63" s="20"/>
    </row>
    <row r="64" spans="1:11" ht="15" customHeight="1">
      <c r="A64" t="s">
        <v>925</v>
      </c>
      <c r="B64" s="28" t="s">
        <v>922</v>
      </c>
      <c r="C64" s="47">
        <v>2000000</v>
      </c>
      <c r="D64" s="35">
        <v>2800000</v>
      </c>
      <c r="E64" s="35">
        <v>4000000</v>
      </c>
      <c r="F64" s="35" t="s">
        <v>498</v>
      </c>
      <c r="G64" s="31" t="s">
        <v>811</v>
      </c>
      <c r="H64" s="36" t="s">
        <v>926</v>
      </c>
      <c r="I64" s="33" t="s">
        <v>927</v>
      </c>
      <c r="J64" s="34" t="s">
        <v>796</v>
      </c>
      <c r="K64" s="20"/>
    </row>
    <row r="65" spans="1:11" ht="15" customHeight="1">
      <c r="A65" t="s">
        <v>928</v>
      </c>
      <c r="B65" s="28" t="s">
        <v>922</v>
      </c>
      <c r="C65" s="47">
        <v>2000000</v>
      </c>
      <c r="D65" s="35">
        <v>3700000</v>
      </c>
      <c r="E65" s="35">
        <v>6000000</v>
      </c>
      <c r="F65" s="35" t="s">
        <v>861</v>
      </c>
      <c r="G65" s="31" t="s">
        <v>811</v>
      </c>
      <c r="H65" s="36" t="s">
        <v>929</v>
      </c>
      <c r="I65" s="33" t="s">
        <v>930</v>
      </c>
      <c r="J65" s="34" t="s">
        <v>796</v>
      </c>
      <c r="K65" s="20"/>
    </row>
    <row r="66" spans="1:11" ht="15" customHeight="1">
      <c r="A66" t="s">
        <v>931</v>
      </c>
      <c r="B66" s="28" t="s">
        <v>922</v>
      </c>
      <c r="C66" s="47">
        <v>0.1</v>
      </c>
      <c r="D66" s="30">
        <v>0.15</v>
      </c>
      <c r="E66" s="30">
        <v>0.2</v>
      </c>
      <c r="F66" s="30" t="s">
        <v>87</v>
      </c>
      <c r="G66" s="31" t="s">
        <v>811</v>
      </c>
      <c r="H66" s="36" t="s">
        <v>932</v>
      </c>
      <c r="I66" s="33"/>
      <c r="J66" s="34" t="s">
        <v>796</v>
      </c>
      <c r="K66" s="20"/>
    </row>
    <row r="67" spans="1:11" ht="15" customHeight="1">
      <c r="A67" t="s">
        <v>933</v>
      </c>
      <c r="B67" s="28" t="s">
        <v>922</v>
      </c>
      <c r="C67" s="47">
        <v>12</v>
      </c>
      <c r="D67" s="35">
        <v>18</v>
      </c>
      <c r="E67" s="35">
        <v>24</v>
      </c>
      <c r="F67" s="35" t="s">
        <v>159</v>
      </c>
      <c r="G67" s="31" t="s">
        <v>901</v>
      </c>
      <c r="H67" s="36" t="s">
        <v>934</v>
      </c>
      <c r="I67" s="33" t="s">
        <v>935</v>
      </c>
      <c r="J67" s="34" t="s">
        <v>796</v>
      </c>
      <c r="K67" s="20"/>
    </row>
    <row r="69" spans="1:11" ht="261" customHeight="1">
      <c r="A69" s="65" t="s">
        <v>936</v>
      </c>
      <c r="B69" s="65" t="s">
        <v>937</v>
      </c>
      <c r="C69" s="65" t="s">
        <v>938</v>
      </c>
      <c r="D69" s="65" t="s">
        <v>939</v>
      </c>
      <c r="E69" s="65" t="s">
        <v>940</v>
      </c>
      <c r="F69" s="65" t="s">
        <v>941</v>
      </c>
      <c r="G69" s="65" t="s">
        <v>166</v>
      </c>
      <c r="H69" s="65" t="s">
        <v>942</v>
      </c>
      <c r="I69" s="65" t="s">
        <v>943</v>
      </c>
      <c r="J69" s="65" t="s">
        <v>814</v>
      </c>
    </row>
    <row r="70" spans="1:11" ht="333.5" customHeight="1">
      <c r="A70" s="58" t="s">
        <v>944</v>
      </c>
      <c r="B70" s="58" t="s">
        <v>83</v>
      </c>
      <c r="C70" s="58" t="s">
        <v>945</v>
      </c>
      <c r="D70" s="58" t="s">
        <v>945</v>
      </c>
      <c r="E70" s="58" t="s">
        <v>945</v>
      </c>
      <c r="F70" s="58" t="s">
        <v>946</v>
      </c>
      <c r="G70" s="58" t="s">
        <v>166</v>
      </c>
      <c r="H70" s="58" t="s">
        <v>947</v>
      </c>
      <c r="I70" s="58" t="s">
        <v>795</v>
      </c>
      <c r="J70" s="58" t="s">
        <v>796</v>
      </c>
    </row>
    <row r="71" spans="1:11" ht="409.5" customHeight="1">
      <c r="A71" s="58" t="s">
        <v>948</v>
      </c>
      <c r="B71" s="58" t="s">
        <v>83</v>
      </c>
      <c r="C71" s="58" t="s">
        <v>949</v>
      </c>
      <c r="D71" s="58" t="s">
        <v>949</v>
      </c>
      <c r="E71" s="58" t="s">
        <v>949</v>
      </c>
      <c r="F71" s="58" t="s">
        <v>946</v>
      </c>
      <c r="G71" s="58" t="s">
        <v>166</v>
      </c>
      <c r="H71" s="58" t="s">
        <v>950</v>
      </c>
      <c r="I71" s="58" t="s">
        <v>795</v>
      </c>
      <c r="J71" s="58" t="s">
        <v>796</v>
      </c>
    </row>
    <row r="72" spans="1:11" ht="362.5" customHeight="1">
      <c r="A72" s="58" t="s">
        <v>951</v>
      </c>
      <c r="B72" s="58" t="s">
        <v>83</v>
      </c>
      <c r="C72" s="58" t="s">
        <v>952</v>
      </c>
      <c r="D72" s="58" t="s">
        <v>952</v>
      </c>
      <c r="E72" s="58" t="s">
        <v>952</v>
      </c>
      <c r="F72" s="58" t="s">
        <v>946</v>
      </c>
      <c r="G72" s="58" t="s">
        <v>166</v>
      </c>
      <c r="H72" s="58" t="s">
        <v>953</v>
      </c>
      <c r="I72" s="58" t="s">
        <v>795</v>
      </c>
      <c r="J72" s="58" t="s">
        <v>796</v>
      </c>
    </row>
    <row r="73" spans="1:11" ht="333.5" customHeight="1">
      <c r="A73" s="58" t="s">
        <v>318</v>
      </c>
      <c r="B73" s="58" t="s">
        <v>860</v>
      </c>
      <c r="C73" s="58">
        <v>1</v>
      </c>
      <c r="D73" s="58">
        <v>3</v>
      </c>
      <c r="E73" s="58">
        <v>8</v>
      </c>
      <c r="F73" s="58" t="s">
        <v>302</v>
      </c>
      <c r="G73" s="58" t="s">
        <v>954</v>
      </c>
      <c r="H73" s="58" t="s">
        <v>955</v>
      </c>
      <c r="I73" s="58" t="s">
        <v>956</v>
      </c>
      <c r="J73" s="58" t="s">
        <v>796</v>
      </c>
    </row>
    <row r="74" spans="1:11" ht="377" customHeight="1">
      <c r="A74" s="58" t="s">
        <v>320</v>
      </c>
      <c r="B74" s="58" t="s">
        <v>860</v>
      </c>
      <c r="C74" s="58">
        <v>3</v>
      </c>
      <c r="D74" s="58">
        <v>10</v>
      </c>
      <c r="E74" s="58">
        <v>25</v>
      </c>
      <c r="F74" s="58" t="s">
        <v>302</v>
      </c>
      <c r="G74" s="58" t="s">
        <v>954</v>
      </c>
      <c r="H74" s="58" t="s">
        <v>957</v>
      </c>
      <c r="I74" s="58" t="s">
        <v>956</v>
      </c>
      <c r="J74" s="58" t="s">
        <v>796</v>
      </c>
    </row>
    <row r="75" spans="1:11" ht="409.5" customHeight="1">
      <c r="A75" s="58" t="s">
        <v>322</v>
      </c>
      <c r="B75" s="58" t="s">
        <v>860</v>
      </c>
      <c r="C75" s="58">
        <v>50</v>
      </c>
      <c r="D75" s="58">
        <v>150</v>
      </c>
      <c r="E75" s="58">
        <v>400</v>
      </c>
      <c r="F75" s="58" t="s">
        <v>302</v>
      </c>
      <c r="G75" s="58" t="s">
        <v>954</v>
      </c>
      <c r="H75" s="58" t="s">
        <v>958</v>
      </c>
      <c r="I75" s="58" t="s">
        <v>956</v>
      </c>
      <c r="J75" s="58" t="s">
        <v>796</v>
      </c>
    </row>
    <row r="76" spans="1:11" ht="290" customHeight="1">
      <c r="A76" s="58" t="s">
        <v>324</v>
      </c>
      <c r="B76" s="58" t="s">
        <v>860</v>
      </c>
      <c r="C76" s="58">
        <v>1</v>
      </c>
      <c r="D76" s="58">
        <v>3</v>
      </c>
      <c r="E76" s="58">
        <v>8</v>
      </c>
      <c r="F76" s="58" t="s">
        <v>302</v>
      </c>
      <c r="G76" s="58" t="s">
        <v>166</v>
      </c>
      <c r="H76" s="58" t="s">
        <v>959</v>
      </c>
      <c r="I76" s="58" t="s">
        <v>956</v>
      </c>
      <c r="J76" s="58" t="s">
        <v>796</v>
      </c>
    </row>
    <row r="77" spans="1:11" ht="290" customHeight="1">
      <c r="A77" s="58" t="s">
        <v>326</v>
      </c>
      <c r="B77" s="58" t="s">
        <v>860</v>
      </c>
      <c r="C77" s="58">
        <v>8</v>
      </c>
      <c r="D77" s="58">
        <v>20</v>
      </c>
      <c r="E77" s="58">
        <v>50</v>
      </c>
      <c r="F77" s="58" t="s">
        <v>302</v>
      </c>
      <c r="G77" s="58" t="s">
        <v>166</v>
      </c>
      <c r="H77" s="58" t="s">
        <v>960</v>
      </c>
      <c r="I77" s="58" t="s">
        <v>956</v>
      </c>
      <c r="J77" s="58" t="s">
        <v>796</v>
      </c>
    </row>
    <row r="78" spans="1:11" ht="290" customHeight="1">
      <c r="A78" s="58" t="s">
        <v>328</v>
      </c>
      <c r="B78" s="58" t="s">
        <v>860</v>
      </c>
      <c r="C78" s="58">
        <v>40</v>
      </c>
      <c r="D78" s="58">
        <v>120</v>
      </c>
      <c r="E78" s="58">
        <v>250</v>
      </c>
      <c r="F78" s="58" t="s">
        <v>302</v>
      </c>
      <c r="G78" s="58" t="s">
        <v>166</v>
      </c>
      <c r="H78" s="58" t="s">
        <v>961</v>
      </c>
      <c r="I78" s="58" t="s">
        <v>956</v>
      </c>
      <c r="J78" s="58" t="s">
        <v>796</v>
      </c>
    </row>
    <row r="79" spans="1:11" ht="232" customHeight="1">
      <c r="A79" s="58" t="s">
        <v>336</v>
      </c>
      <c r="B79" s="58" t="s">
        <v>962</v>
      </c>
      <c r="C79" s="58" t="s">
        <v>963</v>
      </c>
      <c r="D79" s="58" t="s">
        <v>964</v>
      </c>
      <c r="E79" s="58" t="s">
        <v>965</v>
      </c>
      <c r="F79" s="58" t="s">
        <v>276</v>
      </c>
      <c r="G79" s="58" t="s">
        <v>166</v>
      </c>
      <c r="H79" s="58" t="s">
        <v>966</v>
      </c>
      <c r="I79" s="58" t="s">
        <v>956</v>
      </c>
      <c r="J79" s="58" t="s">
        <v>796</v>
      </c>
    </row>
    <row r="80" spans="1:11" ht="232" customHeight="1">
      <c r="A80" s="58" t="s">
        <v>338</v>
      </c>
      <c r="B80" s="58" t="s">
        <v>962</v>
      </c>
      <c r="C80" s="58" t="s">
        <v>967</v>
      </c>
      <c r="D80" s="58" t="s">
        <v>968</v>
      </c>
      <c r="E80" s="58" t="s">
        <v>969</v>
      </c>
      <c r="F80" s="58" t="s">
        <v>276</v>
      </c>
      <c r="G80" s="58" t="s">
        <v>166</v>
      </c>
      <c r="H80" s="58" t="s">
        <v>970</v>
      </c>
      <c r="I80" s="58" t="s">
        <v>956</v>
      </c>
      <c r="J80" s="58" t="s">
        <v>796</v>
      </c>
    </row>
    <row r="81" spans="1:10" ht="232" customHeight="1">
      <c r="A81" s="58" t="s">
        <v>340</v>
      </c>
      <c r="B81" s="58" t="s">
        <v>962</v>
      </c>
      <c r="C81" s="58" t="s">
        <v>971</v>
      </c>
      <c r="D81" s="58" t="s">
        <v>972</v>
      </c>
      <c r="E81" s="58" t="s">
        <v>973</v>
      </c>
      <c r="F81" s="58" t="s">
        <v>276</v>
      </c>
      <c r="G81" s="58" t="s">
        <v>166</v>
      </c>
      <c r="H81" s="58" t="s">
        <v>974</v>
      </c>
      <c r="I81" s="58" t="s">
        <v>956</v>
      </c>
      <c r="J81" s="58" t="s">
        <v>796</v>
      </c>
    </row>
    <row r="82" spans="1:10" ht="116" customHeight="1">
      <c r="A82" s="58" t="s">
        <v>975</v>
      </c>
      <c r="B82" s="58" t="s">
        <v>976</v>
      </c>
      <c r="C82" s="58" t="s">
        <v>977</v>
      </c>
      <c r="D82" s="58" t="s">
        <v>978</v>
      </c>
      <c r="E82" s="58" t="s">
        <v>979</v>
      </c>
      <c r="F82" s="58" t="s">
        <v>352</v>
      </c>
      <c r="G82" s="58" t="s">
        <v>166</v>
      </c>
      <c r="H82" s="58" t="s">
        <v>980</v>
      </c>
      <c r="I82" s="58" t="s">
        <v>956</v>
      </c>
      <c r="J82" s="58" t="s">
        <v>796</v>
      </c>
    </row>
    <row r="83" spans="1:10" ht="116" customHeight="1">
      <c r="A83" s="58" t="s">
        <v>981</v>
      </c>
      <c r="B83" s="58" t="s">
        <v>976</v>
      </c>
      <c r="C83" s="58" t="s">
        <v>982</v>
      </c>
      <c r="D83" s="58" t="s">
        <v>983</v>
      </c>
      <c r="E83" s="58" t="s">
        <v>984</v>
      </c>
      <c r="F83" s="58" t="s">
        <v>352</v>
      </c>
      <c r="G83" s="58" t="s">
        <v>166</v>
      </c>
      <c r="H83" s="58" t="s">
        <v>985</v>
      </c>
      <c r="I83" s="58" t="s">
        <v>956</v>
      </c>
      <c r="J83" s="58" t="s">
        <v>796</v>
      </c>
    </row>
    <row r="84" spans="1:10" ht="116" customHeight="1">
      <c r="A84" s="58" t="s">
        <v>986</v>
      </c>
      <c r="B84" s="58" t="s">
        <v>976</v>
      </c>
      <c r="C84" s="58" t="s">
        <v>987</v>
      </c>
      <c r="D84" s="58" t="s">
        <v>988</v>
      </c>
      <c r="E84" s="58" t="s">
        <v>989</v>
      </c>
      <c r="F84" s="58" t="s">
        <v>352</v>
      </c>
      <c r="G84" s="58" t="s">
        <v>166</v>
      </c>
      <c r="H84" s="58" t="s">
        <v>990</v>
      </c>
      <c r="I84" s="58" t="s">
        <v>956</v>
      </c>
      <c r="J84" s="58" t="s">
        <v>796</v>
      </c>
    </row>
    <row r="85" spans="1:10" ht="290" customHeight="1">
      <c r="A85" s="58" t="s">
        <v>991</v>
      </c>
      <c r="B85" s="58" t="s">
        <v>860</v>
      </c>
      <c r="C85" s="58" t="s">
        <v>992</v>
      </c>
      <c r="D85" s="58" t="s">
        <v>993</v>
      </c>
      <c r="E85" s="58" t="s">
        <v>994</v>
      </c>
      <c r="F85" s="58" t="s">
        <v>359</v>
      </c>
      <c r="G85" s="58" t="s">
        <v>166</v>
      </c>
      <c r="H85" s="58" t="s">
        <v>995</v>
      </c>
      <c r="I85" s="58" t="s">
        <v>956</v>
      </c>
      <c r="J85" s="58" t="s">
        <v>796</v>
      </c>
    </row>
    <row r="86" spans="1:10" ht="174" customHeight="1">
      <c r="A86" s="58" t="s">
        <v>996</v>
      </c>
      <c r="B86" s="58" t="s">
        <v>962</v>
      </c>
      <c r="C86" s="58" t="s">
        <v>997</v>
      </c>
      <c r="D86" s="58" t="s">
        <v>998</v>
      </c>
      <c r="E86" s="58" t="s">
        <v>999</v>
      </c>
      <c r="F86" s="58" t="s">
        <v>347</v>
      </c>
      <c r="G86" s="58" t="s">
        <v>166</v>
      </c>
      <c r="H86" s="58" t="s">
        <v>1000</v>
      </c>
      <c r="I86" s="58" t="s">
        <v>956</v>
      </c>
      <c r="J86" s="58" t="s">
        <v>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0"/>
  <sheetViews>
    <sheetView showGridLines="0" workbookViewId="0">
      <selection activeCell="G8" sqref="G8"/>
    </sheetView>
  </sheetViews>
  <sheetFormatPr defaultColWidth="8.6328125" defaultRowHeight="14.5"/>
  <cols>
    <col min="1" max="1" width="2" customWidth="1"/>
    <col min="2" max="2" width="7" customWidth="1"/>
    <col min="3" max="3" width="28" bestFit="1" customWidth="1"/>
    <col min="4" max="4" width="39" customWidth="1"/>
    <col min="5" max="5" width="18" customWidth="1"/>
    <col min="6" max="6" width="28" customWidth="1"/>
    <col min="7" max="7" width="36" customWidth="1"/>
    <col min="8" max="8" width="26" customWidth="1"/>
    <col min="9" max="9" width="34" customWidth="1"/>
    <col min="10" max="12" width="13" customWidth="1"/>
  </cols>
  <sheetData>
    <row r="1" spans="1:12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23.5" customHeight="1">
      <c r="A2" s="185"/>
      <c r="B2" s="186" t="s">
        <v>1001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>
      <c r="A3" s="185"/>
      <c r="B3" s="187" t="s">
        <v>1002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12">
      <c r="A4" s="185"/>
      <c r="B4" s="188" t="s">
        <v>1003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2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2" ht="34" customHeight="1">
      <c r="A6" s="185"/>
      <c r="B6" s="189" t="s">
        <v>1004</v>
      </c>
      <c r="C6" s="189" t="s">
        <v>1005</v>
      </c>
      <c r="D6" s="189" t="s">
        <v>1006</v>
      </c>
      <c r="E6" s="189" t="s">
        <v>1007</v>
      </c>
      <c r="F6" s="189" t="s">
        <v>1008</v>
      </c>
      <c r="G6" s="189" t="s">
        <v>1009</v>
      </c>
      <c r="H6" s="189" t="s">
        <v>1010</v>
      </c>
      <c r="I6" s="189" t="s">
        <v>1011</v>
      </c>
      <c r="J6" s="185"/>
      <c r="K6" s="185"/>
      <c r="L6" s="185"/>
    </row>
    <row r="7" spans="1:12" ht="56" customHeight="1">
      <c r="A7" s="185"/>
      <c r="B7" s="190">
        <v>1</v>
      </c>
      <c r="C7" s="191" t="s">
        <v>1012</v>
      </c>
      <c r="D7" s="191" t="s">
        <v>1013</v>
      </c>
      <c r="E7" s="204" t="s">
        <v>1014</v>
      </c>
      <c r="F7" s="191" t="s">
        <v>1015</v>
      </c>
      <c r="G7" s="192" t="str">
        <f>"Y1-Y5 base deals: "&amp;Assumptions!D11&amp;" / "&amp;Assumptions!D12&amp;" / "&amp;Assumptions!D13&amp;" / "&amp;Assumptions!D155&amp;" / "&amp;Assumptions!D156</f>
        <v>Y1-Y5 base deals: 180 / 900 / 3000 / 7500 / 18000</v>
      </c>
      <c r="H7" s="191" t="s">
        <v>1016</v>
      </c>
      <c r="I7" s="191" t="s">
        <v>1017</v>
      </c>
      <c r="J7" s="185"/>
      <c r="K7" s="185"/>
      <c r="L7" s="185"/>
    </row>
    <row r="8" spans="1:12" ht="56" customHeight="1">
      <c r="A8" s="185"/>
      <c r="B8" s="190">
        <v>2</v>
      </c>
      <c r="C8" s="191" t="s">
        <v>1018</v>
      </c>
      <c r="D8" s="191" t="s">
        <v>1019</v>
      </c>
      <c r="E8" s="204" t="s">
        <v>1020</v>
      </c>
      <c r="F8" s="191" t="s">
        <v>1021</v>
      </c>
      <c r="G8" s="192" t="str">
        <f>"Y1 base A/B/C: "&amp;ROUND(Assumptions!D64*100,0)&amp;"%/"&amp;ROUND(Assumptions!D65*100,0)&amp;"%/"&amp;ROUND(Assumptions!D66*100,0)&amp;"%; Y5: "&amp;ROUND(Assumptions!D160*100,0)&amp;"%/"&amp;ROUND(Assumptions!D161*100,0)&amp;"%/"&amp;ROUND(Assumptions!D162*100,0)&amp;"%"</f>
        <v>Y1 base A/B/C: 15%/45%/40%; Y5: 70%/25%/5%</v>
      </c>
      <c r="H8" s="191" t="s">
        <v>1022</v>
      </c>
      <c r="I8" s="191" t="s">
        <v>1023</v>
      </c>
      <c r="J8" s="185"/>
      <c r="K8" s="185"/>
      <c r="L8" s="185"/>
    </row>
    <row r="9" spans="1:12" ht="56" customHeight="1">
      <c r="A9" s="185"/>
      <c r="B9" s="190">
        <v>3</v>
      </c>
      <c r="C9" s="191" t="s">
        <v>1024</v>
      </c>
      <c r="D9" s="191" t="s">
        <v>1025</v>
      </c>
      <c r="E9" s="204" t="s">
        <v>1026</v>
      </c>
      <c r="F9" s="191" t="s">
        <v>1027</v>
      </c>
      <c r="G9" s="192" t="str">
        <f>"Take rates A/B/C: "&amp;ROUND(Assumptions!F73*100,2)&amp;"%/"&amp;ROUND(Assumptions!F74*100,2)&amp;"%/"&amp;ROUND(Assumptions!F75*100,2)&amp;"%; min fee A: GBP "&amp;ROUND(Assumptions!F76,0)</f>
        <v>Take rates A/B/C: 0.6%/0.85%/1.5%; min fee A: GBP 150</v>
      </c>
      <c r="H9" s="191" t="s">
        <v>1028</v>
      </c>
      <c r="I9" s="191" t="s">
        <v>1029</v>
      </c>
      <c r="J9" s="185"/>
      <c r="K9" s="185"/>
      <c r="L9" s="185"/>
    </row>
    <row r="10" spans="1:12" ht="56" customHeight="1">
      <c r="A10" s="185"/>
      <c r="B10" s="190">
        <v>4</v>
      </c>
      <c r="C10" s="191" t="s">
        <v>1030</v>
      </c>
      <c r="D10" s="191" t="s">
        <v>1031</v>
      </c>
      <c r="E10" s="204" t="s">
        <v>1032</v>
      </c>
      <c r="F10" s="191" t="s">
        <v>1033</v>
      </c>
      <c r="G10" s="192" t="str">
        <f>"Y1-Y5 avg deal: GBP "&amp;ROUND('P&amp;L_5yr'!C8,0)&amp;" / "&amp;ROUND('P&amp;L_5yr'!D8,0)&amp;" / "&amp;ROUND('P&amp;L_5yr'!E8,0)&amp;" / "&amp;ROUND('P&amp;L_5yr'!F8,0)&amp;" / "&amp;ROUND('P&amp;L_5yr'!G8,0)&amp;"; growth "&amp;ROUND(Assumptions!F15*100,0)&amp;"%"</f>
        <v>Y1-Y5 avg deal: GBP 30000 / 40500 / 54675 / 73811 / 99645; growth 35%</v>
      </c>
      <c r="H10" s="191" t="s">
        <v>1034</v>
      </c>
      <c r="I10" s="191" t="s">
        <v>1035</v>
      </c>
      <c r="J10" s="185"/>
      <c r="K10" s="185"/>
      <c r="L10" s="185"/>
    </row>
    <row r="11" spans="1:12" ht="56" customHeight="1">
      <c r="A11" s="185"/>
      <c r="B11" s="190">
        <v>5</v>
      </c>
      <c r="C11" s="191" t="s">
        <v>1036</v>
      </c>
      <c r="D11" s="191" t="s">
        <v>1037</v>
      </c>
      <c r="E11" s="204" t="s">
        <v>1038</v>
      </c>
      <c r="F11" s="191" t="s">
        <v>1039</v>
      </c>
      <c r="G11" s="192" t="str">
        <f>"Base partners Y2-Y5: "&amp;Assumptions!D17&amp;" / "&amp;Assumptions!D113&amp;" / "&amp;Assumptions!D163&amp;" / "&amp;Assumptions!D164&amp;"; setup GBP "&amp;ROUND(Assumptions!F125,0)</f>
        <v>Base partners Y2-Y5: 3 / 6 / 10 / 18; setup GBP 7500</v>
      </c>
      <c r="H11" s="191" t="s">
        <v>1040</v>
      </c>
      <c r="I11" s="191" t="s">
        <v>1041</v>
      </c>
      <c r="J11" s="185"/>
      <c r="K11" s="185"/>
      <c r="L11" s="185"/>
    </row>
    <row r="12" spans="1:12" ht="56" customHeight="1">
      <c r="A12" s="185"/>
      <c r="B12" s="190">
        <v>6</v>
      </c>
      <c r="C12" s="191" t="s">
        <v>1042</v>
      </c>
      <c r="D12" s="191" t="s">
        <v>1043</v>
      </c>
      <c r="E12" s="204" t="s">
        <v>1044</v>
      </c>
      <c r="F12" s="191" t="s">
        <v>1045</v>
      </c>
      <c r="G12" s="192" t="str">
        <f>"Deals/customer base Y1-Y5: "&amp;Assumptions!D110&amp;" / "&amp;Assumptions!D111&amp;" / "&amp;Assumptions!D112&amp;" / "&amp;Assumptions!D165&amp;" / "&amp;Assumptions!D166</f>
        <v>Deals/customer base Y1-Y5: 3 / 4 / 6 / 8 / 10</v>
      </c>
      <c r="H12" s="191" t="s">
        <v>1046</v>
      </c>
      <c r="I12" s="191" t="s">
        <v>1047</v>
      </c>
      <c r="J12" s="185"/>
      <c r="K12" s="185"/>
      <c r="L12" s="185"/>
    </row>
    <row r="13" spans="1:12" ht="56" customHeight="1">
      <c r="A13" s="185"/>
      <c r="B13" s="190">
        <v>7</v>
      </c>
      <c r="C13" s="191" t="s">
        <v>1048</v>
      </c>
      <c r="D13" s="191" t="s">
        <v>1049</v>
      </c>
      <c r="E13" s="204" t="s">
        <v>1050</v>
      </c>
      <c r="F13" s="191" t="s">
        <v>1051</v>
      </c>
      <c r="G13" s="192" t="str">
        <f>"New party share "&amp;ROUND(Assumptions!F62*100,0)&amp;"%; onboarding fee GBP "&amp;ROUND(Assumptions!F120,0)</f>
        <v>New party share 50%; onboarding fee GBP 15</v>
      </c>
      <c r="H13" s="191" t="s">
        <v>1052</v>
      </c>
      <c r="I13" s="191" t="s">
        <v>1053</v>
      </c>
      <c r="J13" s="185"/>
      <c r="K13" s="185"/>
      <c r="L13" s="185"/>
    </row>
    <row r="14" spans="1:12" ht="56" customHeight="1">
      <c r="A14" s="185"/>
      <c r="B14" s="190">
        <v>8</v>
      </c>
      <c r="C14" s="191" t="s">
        <v>1054</v>
      </c>
      <c r="D14" s="191" t="s">
        <v>1055</v>
      </c>
      <c r="E14" s="204" t="s">
        <v>1056</v>
      </c>
      <c r="F14" s="191" t="s">
        <v>1057</v>
      </c>
      <c r="G14" s="192" t="str">
        <f>"Handling cost GBP "&amp;ROUND(Assumptions!F87,0)&amp;"; markup "&amp;ROUND(Assumptions!F121*100,0)&amp;"%; courier fee GBP "&amp;ROUND(Assumptions!F122,0)</f>
        <v>Handling cost GBP 150; markup 20%; courier fee GBP 75</v>
      </c>
      <c r="H14" s="191" t="s">
        <v>1058</v>
      </c>
      <c r="I14" s="191" t="s">
        <v>1059</v>
      </c>
      <c r="J14" s="185"/>
      <c r="K14" s="185"/>
      <c r="L14" s="185"/>
    </row>
    <row r="15" spans="1:12" ht="56" customHeight="1">
      <c r="A15" s="185"/>
      <c r="B15" s="190">
        <v>9</v>
      </c>
      <c r="C15" s="191" t="s">
        <v>1060</v>
      </c>
      <c r="D15" s="191" t="s">
        <v>1061</v>
      </c>
      <c r="E15" s="204" t="s">
        <v>1062</v>
      </c>
      <c r="F15" s="191" t="s">
        <v>1063</v>
      </c>
      <c r="G15" s="192" t="str">
        <f>"Dispute rates A/B/C: "&amp;ROUND(Assumptions!F94*100,0)&amp;"%/"&amp;ROUND(Assumptions!F95*100,0)&amp;"%/"&amp;ROUND(Assumptions!F96*100,0)&amp;"%"</f>
        <v>Dispute rates A/B/C: 4%/10%/20%</v>
      </c>
      <c r="H15" s="191" t="s">
        <v>1064</v>
      </c>
      <c r="I15" s="191" t="s">
        <v>1065</v>
      </c>
      <c r="J15" s="185"/>
      <c r="K15" s="185"/>
      <c r="L15" s="185"/>
    </row>
    <row r="16" spans="1:12" ht="56" customHeight="1">
      <c r="A16" s="185"/>
      <c r="B16" s="190">
        <v>10</v>
      </c>
      <c r="C16" s="191" t="s">
        <v>1066</v>
      </c>
      <c r="D16" s="191" t="s">
        <v>1067</v>
      </c>
      <c r="E16" s="204" t="s">
        <v>1068</v>
      </c>
      <c r="F16" s="191" t="s">
        <v>1069</v>
      </c>
      <c r="G16" s="192" t="str">
        <f>"Yr1 FTE founders/eng/ops/BD: "&amp;Assumptions!F39&amp;" / "&amp;Assumptions!F40&amp;" / "&amp;Assumptions!F41&amp;" / "&amp;Assumptions!F42&amp;"; engineer salary GBP "&amp;ROUND(Assumptions!F45,0)</f>
        <v>Yr1 FTE founders/eng/ops/BD: 2 / 2 / 1 / 1; engineer salary GBP 70000</v>
      </c>
      <c r="H16" s="191" t="s">
        <v>1070</v>
      </c>
      <c r="I16" s="191" t="s">
        <v>1071</v>
      </c>
      <c r="J16" s="185"/>
      <c r="K16" s="185"/>
      <c r="L16" s="185"/>
    </row>
    <row r="17" spans="1:12" ht="56" customHeight="1">
      <c r="A17" s="185"/>
      <c r="B17" s="190">
        <v>11</v>
      </c>
      <c r="C17" s="191" t="s">
        <v>1072</v>
      </c>
      <c r="D17" s="191" t="s">
        <v>1073</v>
      </c>
      <c r="E17" s="204" t="s">
        <v>1074</v>
      </c>
      <c r="F17" s="191" t="s">
        <v>1075</v>
      </c>
      <c r="G17" s="192" t="str">
        <f>"Compliance retainer/mo GBP "&amp;ROUND(Assumptions!F34,0)&amp;"; legal retainer/mo GBP "&amp;ROUND(Assumptions!F33,0)</f>
        <v>Compliance retainer/mo GBP 1200; legal retainer/mo GBP 600</v>
      </c>
      <c r="H17" s="191" t="s">
        <v>1076</v>
      </c>
      <c r="I17" s="191" t="s">
        <v>1077</v>
      </c>
      <c r="J17" s="185"/>
      <c r="K17" s="185"/>
      <c r="L17" s="185"/>
    </row>
    <row r="18" spans="1:12" ht="56" customHeight="1">
      <c r="A18" s="185"/>
      <c r="B18" s="190">
        <v>12</v>
      </c>
      <c r="C18" s="191" t="s">
        <v>1078</v>
      </c>
      <c r="D18" s="191" t="s">
        <v>1079</v>
      </c>
      <c r="E18" s="204" t="s">
        <v>1080</v>
      </c>
      <c r="F18" s="191" t="s">
        <v>1081</v>
      </c>
      <c r="G18" s="192" t="str">
        <f>"Buffer "&amp;ROUND(Assumptions!F58*100,0)&amp;"%; delay reserve "&amp;Assumptions!F149&amp;" mo x GBP "&amp;ROUND(Assumptions!F150,0)</f>
        <v>Buffer 30%; delay reserve 3 mo x GBP 80000</v>
      </c>
      <c r="H18" s="191" t="s">
        <v>1082</v>
      </c>
      <c r="I18" s="191" t="s">
        <v>1083</v>
      </c>
      <c r="J18" s="185"/>
      <c r="K18" s="185"/>
      <c r="L18" s="185"/>
    </row>
    <row r="19" spans="1:12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</row>
    <row r="20" spans="1:12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12">
      <c r="A21" s="185"/>
      <c r="B21" s="193" t="s">
        <v>1084</v>
      </c>
      <c r="C21" s="194"/>
      <c r="D21" s="194"/>
      <c r="E21" s="194"/>
      <c r="F21" s="194"/>
      <c r="G21" s="194"/>
      <c r="H21" s="194"/>
      <c r="I21" s="194"/>
      <c r="J21" s="185"/>
      <c r="K21" s="185"/>
      <c r="L21" s="185"/>
    </row>
    <row r="22" spans="1:12" ht="32" customHeight="1">
      <c r="A22" s="185"/>
      <c r="B22" s="249" t="s">
        <v>1085</v>
      </c>
      <c r="C22" s="250"/>
      <c r="D22" s="250"/>
      <c r="E22" s="250"/>
      <c r="F22" s="250"/>
      <c r="G22" s="250"/>
      <c r="H22" s="250"/>
      <c r="I22" s="251"/>
      <c r="J22" s="185"/>
      <c r="K22" s="185"/>
      <c r="L22" s="185"/>
    </row>
    <row r="23" spans="1:12" ht="32" customHeight="1">
      <c r="A23" s="185"/>
      <c r="B23" s="249" t="s">
        <v>1086</v>
      </c>
      <c r="C23" s="250"/>
      <c r="D23" s="250"/>
      <c r="E23" s="250"/>
      <c r="F23" s="250"/>
      <c r="G23" s="250"/>
      <c r="H23" s="250"/>
      <c r="I23" s="251"/>
      <c r="J23" s="185"/>
      <c r="K23" s="185"/>
      <c r="L23" s="185"/>
    </row>
    <row r="24" spans="1:12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</row>
    <row r="25" spans="1:12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</row>
    <row r="26" spans="1:12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</row>
    <row r="27" spans="1:12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</row>
    <row r="28" spans="1:12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</row>
    <row r="29" spans="1:12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</row>
    <row r="30" spans="1:12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</row>
    <row r="31" spans="1:12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</row>
    <row r="32" spans="1:1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</row>
    <row r="33" spans="1:12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</row>
    <row r="34" spans="1:12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</row>
    <row r="35" spans="1:12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</row>
    <row r="36" spans="1:12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</row>
    <row r="37" spans="1:12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</row>
    <row r="38" spans="1:12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</row>
    <row r="39" spans="1:12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</row>
    <row r="40" spans="1:12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</row>
    <row r="41" spans="1:12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</row>
    <row r="42" spans="1:1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</row>
    <row r="43" spans="1:12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</row>
    <row r="44" spans="1:12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</row>
    <row r="45" spans="1:12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</row>
    <row r="46" spans="1:12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</row>
    <row r="47" spans="1:12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</row>
    <row r="48" spans="1:12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</row>
    <row r="49" spans="1:12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</row>
    <row r="50" spans="1:12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</row>
    <row r="51" spans="1:12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</row>
    <row r="52" spans="1:1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</row>
    <row r="53" spans="1:12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</row>
    <row r="54" spans="1:12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</row>
    <row r="55" spans="1:12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</row>
    <row r="56" spans="1:12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</row>
    <row r="57" spans="1:12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</row>
    <row r="58" spans="1:12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</row>
    <row r="59" spans="1:12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1:12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</row>
    <row r="61" spans="1:12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</row>
    <row r="62" spans="1:1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</row>
    <row r="63" spans="1:12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</row>
    <row r="64" spans="1:12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</row>
    <row r="65" spans="1:12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</row>
    <row r="66" spans="1:12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</row>
    <row r="67" spans="1:12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</row>
    <row r="68" spans="1:12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</row>
    <row r="69" spans="1:12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</row>
    <row r="70" spans="1:12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1:12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</row>
    <row r="72" spans="1:1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</row>
    <row r="73" spans="1:12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</row>
    <row r="74" spans="1:12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</row>
    <row r="75" spans="1:12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</row>
    <row r="76" spans="1:12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</row>
    <row r="77" spans="1:12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</row>
    <row r="78" spans="1:12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</row>
    <row r="79" spans="1:12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</row>
    <row r="80" spans="1:12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</row>
  </sheetData>
  <mergeCells count="2">
    <mergeCell ref="B23:I23"/>
    <mergeCell ref="B22:I22"/>
  </mergeCells>
  <hyperlinks>
    <hyperlink ref="E7" location="'Assumptions'!B11" display="Assumptions!B11" xr:uid="{00000000-0004-0000-0800-000000000000}"/>
    <hyperlink ref="E8" location="'Assumptions'!B64" display="Assumptions!B64" xr:uid="{00000000-0004-0000-0800-000001000000}"/>
    <hyperlink ref="E9" location="'Assumptions'!B73" display="Assumptions!B73" xr:uid="{00000000-0004-0000-0800-000002000000}"/>
    <hyperlink ref="E10" location="'Assumptions'!B15" display="Assumptions!B15" xr:uid="{00000000-0004-0000-0800-000003000000}"/>
    <hyperlink ref="E11" location="'Assumptions'!B17" display="Assumptions!B17" xr:uid="{00000000-0004-0000-0800-000004000000}"/>
    <hyperlink ref="E12" location="'Assumptions'!B110" display="Assumptions!B110" xr:uid="{00000000-0004-0000-0800-000005000000}"/>
    <hyperlink ref="E13" location="'Assumptions'!B62" display="Assumptions!B62" xr:uid="{00000000-0004-0000-0800-000006000000}"/>
    <hyperlink ref="E14" location="'Assumptions'!B87" display="Assumptions!B87" xr:uid="{00000000-0004-0000-0800-000007000000}"/>
    <hyperlink ref="E15" location="'Assumptions'!B94" display="Assumptions!B94" xr:uid="{00000000-0004-0000-0800-000008000000}"/>
    <hyperlink ref="E16" location="'Assumptions'!B39" display="Assumptions!B39" xr:uid="{00000000-0004-0000-0800-000009000000}"/>
    <hyperlink ref="E17" location="'Assumptions'!B26" display="Assumptions!B26" xr:uid="{00000000-0004-0000-0800-00000A000000}"/>
    <hyperlink ref="E18" location="'Assumptions'!B58" display="Assumptions!B58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24"/>
  <sheetViews>
    <sheetView showGridLines="0" workbookViewId="0"/>
  </sheetViews>
  <sheetFormatPr defaultColWidth="8.6328125" defaultRowHeight="14.5"/>
  <cols>
    <col min="1" max="1" width="2" customWidth="1"/>
    <col min="2" max="2" width="38" customWidth="1"/>
    <col min="3" max="3" width="14" customWidth="1"/>
    <col min="4" max="4" width="62" customWidth="1"/>
    <col min="5" max="5" width="16" customWidth="1"/>
  </cols>
  <sheetData>
    <row r="2" spans="2:5" ht="17.25" customHeight="1">
      <c r="B2" s="2" t="s">
        <v>1087</v>
      </c>
    </row>
    <row r="3" spans="2:5" ht="15" customHeight="1">
      <c r="B3" s="3" t="s">
        <v>1088</v>
      </c>
    </row>
    <row r="5" spans="2:5" ht="15" customHeight="1">
      <c r="B5" s="5" t="s">
        <v>1089</v>
      </c>
      <c r="C5" s="5" t="s">
        <v>1090</v>
      </c>
      <c r="D5" s="5" t="s">
        <v>1091</v>
      </c>
      <c r="E5" s="5" t="s">
        <v>1092</v>
      </c>
    </row>
    <row r="6" spans="2:5" ht="63.75" customHeight="1">
      <c r="B6" s="49" t="s">
        <v>1093</v>
      </c>
      <c r="C6" s="50" t="s">
        <v>1094</v>
      </c>
      <c r="D6" s="48" t="s">
        <v>1095</v>
      </c>
      <c r="E6" s="51" t="s">
        <v>1096</v>
      </c>
    </row>
    <row r="7" spans="2:5" ht="63.75" customHeight="1">
      <c r="B7" s="49" t="s">
        <v>1097</v>
      </c>
      <c r="C7" s="50" t="s">
        <v>1094</v>
      </c>
      <c r="D7" s="48" t="s">
        <v>1098</v>
      </c>
      <c r="E7" s="51" t="s">
        <v>1099</v>
      </c>
    </row>
    <row r="8" spans="2:5" ht="63.75" customHeight="1">
      <c r="B8" s="49" t="s">
        <v>1100</v>
      </c>
      <c r="C8" s="52" t="s">
        <v>1101</v>
      </c>
      <c r="D8" s="48" t="s">
        <v>1102</v>
      </c>
      <c r="E8" s="51" t="s">
        <v>1103</v>
      </c>
    </row>
    <row r="9" spans="2:5" ht="63.75" customHeight="1">
      <c r="B9" s="49" t="s">
        <v>1104</v>
      </c>
      <c r="C9" s="52" t="s">
        <v>1101</v>
      </c>
      <c r="D9" s="48" t="s">
        <v>1105</v>
      </c>
      <c r="E9" s="51" t="s">
        <v>1106</v>
      </c>
    </row>
    <row r="10" spans="2:5" ht="63.75" customHeight="1">
      <c r="B10" s="49" t="s">
        <v>1107</v>
      </c>
      <c r="C10" s="53" t="s">
        <v>1108</v>
      </c>
      <c r="D10" s="48" t="s">
        <v>1109</v>
      </c>
      <c r="E10" s="51" t="s">
        <v>1110</v>
      </c>
    </row>
    <row r="11" spans="2:5" ht="63.75" customHeight="1">
      <c r="B11" s="49" t="s">
        <v>1111</v>
      </c>
      <c r="C11" s="52" t="s">
        <v>1101</v>
      </c>
      <c r="D11" s="48" t="s">
        <v>1112</v>
      </c>
      <c r="E11" s="51" t="s">
        <v>1113</v>
      </c>
    </row>
    <row r="12" spans="2:5" ht="63.75" customHeight="1">
      <c r="B12" s="49" t="s">
        <v>1114</v>
      </c>
      <c r="C12" s="53" t="s">
        <v>1108</v>
      </c>
      <c r="D12" s="48" t="s">
        <v>1115</v>
      </c>
      <c r="E12" s="51" t="s">
        <v>1116</v>
      </c>
    </row>
    <row r="13" spans="2:5" ht="63.75" customHeight="1">
      <c r="B13" s="49" t="s">
        <v>1117</v>
      </c>
      <c r="C13" s="53" t="s">
        <v>1108</v>
      </c>
      <c r="D13" s="48" t="s">
        <v>1118</v>
      </c>
      <c r="E13" s="51" t="s">
        <v>1119</v>
      </c>
    </row>
    <row r="14" spans="2:5" ht="63.75" customHeight="1">
      <c r="B14" s="49" t="s">
        <v>1120</v>
      </c>
      <c r="C14" s="54" t="s">
        <v>1121</v>
      </c>
      <c r="D14" s="48" t="s">
        <v>1122</v>
      </c>
      <c r="E14" s="51" t="s">
        <v>1123</v>
      </c>
    </row>
    <row r="15" spans="2:5" ht="63.75" customHeight="1">
      <c r="B15" s="49" t="s">
        <v>1124</v>
      </c>
      <c r="C15" s="53" t="s">
        <v>1108</v>
      </c>
      <c r="D15" s="48" t="s">
        <v>1125</v>
      </c>
      <c r="E15" s="51" t="s">
        <v>1126</v>
      </c>
    </row>
    <row r="17" spans="2:5" ht="34.5" customHeight="1">
      <c r="B17" s="78" t="s">
        <v>1127</v>
      </c>
      <c r="C17" s="79" t="s">
        <v>1128</v>
      </c>
      <c r="D17" s="68" t="s">
        <v>1129</v>
      </c>
      <c r="E17" s="68" t="s">
        <v>1130</v>
      </c>
    </row>
    <row r="18" spans="2:5" ht="34.5" customHeight="1">
      <c r="B18" s="78" t="s">
        <v>1131</v>
      </c>
      <c r="C18" s="80" t="s">
        <v>1101</v>
      </c>
      <c r="D18" s="68" t="s">
        <v>1132</v>
      </c>
      <c r="E18" s="68" t="s">
        <v>1133</v>
      </c>
    </row>
    <row r="19" spans="2:5" ht="34.5" customHeight="1">
      <c r="B19" s="78" t="s">
        <v>1134</v>
      </c>
      <c r="C19" s="81" t="s">
        <v>1108</v>
      </c>
      <c r="D19" s="68" t="s">
        <v>1135</v>
      </c>
      <c r="E19" s="68" t="s">
        <v>1136</v>
      </c>
    </row>
    <row r="20" spans="2:5" ht="34.5" customHeight="1">
      <c r="B20" s="78" t="s">
        <v>1137</v>
      </c>
      <c r="C20" s="82" t="s">
        <v>1101</v>
      </c>
      <c r="D20" s="68" t="s">
        <v>1138</v>
      </c>
      <c r="E20" s="68" t="s">
        <v>1139</v>
      </c>
    </row>
    <row r="21" spans="2:5" ht="34.5" customHeight="1">
      <c r="B21" s="78" t="s">
        <v>1140</v>
      </c>
      <c r="C21" s="82" t="s">
        <v>1101</v>
      </c>
      <c r="D21" s="68" t="s">
        <v>1141</v>
      </c>
      <c r="E21" s="68" t="s">
        <v>1142</v>
      </c>
    </row>
    <row r="22" spans="2:5" ht="34.5" customHeight="1">
      <c r="B22" s="78" t="s">
        <v>1143</v>
      </c>
      <c r="C22" s="81" t="s">
        <v>1108</v>
      </c>
      <c r="D22" s="68" t="s">
        <v>1144</v>
      </c>
      <c r="E22" s="68" t="s">
        <v>1145</v>
      </c>
    </row>
    <row r="23" spans="2:5" ht="34.5" customHeight="1">
      <c r="B23" s="78" t="s">
        <v>1146</v>
      </c>
      <c r="C23" s="82" t="s">
        <v>1101</v>
      </c>
      <c r="D23" s="68" t="s">
        <v>1147</v>
      </c>
      <c r="E23" s="68" t="s">
        <v>1148</v>
      </c>
    </row>
    <row r="24" spans="2:5" ht="34.5" customHeight="1">
      <c r="B24" s="78" t="s">
        <v>1149</v>
      </c>
      <c r="C24" s="82" t="s">
        <v>1101</v>
      </c>
      <c r="D24" s="68" t="s">
        <v>1150</v>
      </c>
      <c r="E24" s="68" t="s">
        <v>1151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E1"/>
    </sheetView>
  </sheetViews>
  <sheetFormatPr defaultRowHeight="14.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IF(1=1,IFERROR(ROUND(-MIN('P&amp;L_5yr'!C7,'P&amp;L_5yr'!C70)*('P&amp;L_5yr'!C14/'P&amp;L_5yr'!C7)*Assumptions!$F$115,0),0),0)</f>
        <v>-10253</v>
      </c>
      <c r="C5" s="71">
        <f>IF(2=1,IFERROR(ROUND(-MIN('P&amp;L_5yr'!D7,'P&amp;L_5yr'!D70)*('P&amp;L_5yr'!D14/'P&amp;L_5yr'!D7)*Assumptions!$F$115,0),0),0)</f>
        <v>0</v>
      </c>
      <c r="D5" s="71">
        <f>IF(3=1,IFERROR(ROUND(-MIN('P&amp;L_5yr'!E7,'P&amp;L_5yr'!E70)*('P&amp;L_5yr'!E14/'P&amp;L_5yr'!E7)*Assumptions!$F$115,0),0),0)</f>
        <v>0</v>
      </c>
      <c r="E5" s="89">
        <f>IF(4=1,IFERROR(ROUND(-MIN('P&amp;L_5yr'!F7,'P&amp;L_5yr'!F70)*('P&amp;L_5yr'!F14/'P&amp;L_5yr'!F7)*Assumptions!$F$115,0),0),0)</f>
        <v>0</v>
      </c>
      <c r="F5" s="89">
        <f>IF(5=1,IFERROR(ROUND(-MIN('P&amp;L_5yr'!G7,'P&amp;L_5yr'!G70)*('P&amp;L_5yr'!G14/'P&amp;L_5yr'!G7)*Assumptions!$F$115,0),0),0)</f>
        <v>0</v>
      </c>
      <c r="G5" s="89">
        <f>IF(4=1,IFERROR(ROUND(-MIN('P&amp;L_5yr'!F7,'P&amp;L_5yr'!F70)*('P&amp;L_5yr'!F14/'P&amp;L_5yr'!F7)*Assumptions!$F$115,0),0),0)</f>
        <v>0</v>
      </c>
    </row>
    <row r="6" spans="1:7" ht="18" customHeight="1">
      <c r="A6" s="69" t="s">
        <v>1155</v>
      </c>
      <c r="B6" s="71">
        <f>ROUND(Tier_Economics!C5*Assumptions!$F$116*Assumptions!$F$118+Tier_Economics!D5*Assumptions!$F$117*Assumptions!$F$119,0)</f>
        <v>5535</v>
      </c>
      <c r="C6" s="71">
        <f>ROUND(Tier_Economics!G5*Assumptions!$F$116*Assumptions!$F$118+Tier_Economics!H5*Assumptions!$F$117*Assumptions!$F$119,0)</f>
        <v>19575</v>
      </c>
      <c r="D6" s="71">
        <f>ROUND(Tier_Economics!K5*Assumptions!$F$116*Assumptions!$F$118+Tier_Economics!L5*Assumptions!$F$117*Assumptions!$F$119,0)</f>
        <v>45000</v>
      </c>
      <c r="E6" s="89">
        <f>ROUND(Tier_Economics!O5*Assumptions!$F$116*Assumptions!$F$118+Tier_Economics!P5*Assumptions!$F$117*Assumptions!$F$119,0)</f>
        <v>72000</v>
      </c>
      <c r="F6" s="89">
        <f>ROUND(Tier_Economics!S5*Assumptions!$F$116*Assumptions!$F$118+Tier_Economics!T5*Assumptions!$F$117*Assumptions!$F$119,0)</f>
        <v>121500</v>
      </c>
      <c r="G6" s="89">
        <f>ROUND(Tier_Economics!O5*Assumptions!$F$116*Assumptions!$F$118+Tier_Economics!P5*Assumptions!$F$117*Assumptions!$F$119,0)</f>
        <v>72000</v>
      </c>
    </row>
    <row r="7" spans="1:7" ht="18" customHeight="1">
      <c r="A7" s="68" t="s">
        <v>1156</v>
      </c>
      <c r="B7" s="92">
        <f>ROUND('P&amp;L_5yr'!C11*Assumptions!$F$120,0)</f>
        <v>2700</v>
      </c>
      <c r="C7" s="92">
        <f>ROUND('P&amp;L_5yr'!D11*Assumptions!$F$120,0)</f>
        <v>13500</v>
      </c>
      <c r="D7" s="92">
        <f>ROUND('P&amp;L_5yr'!E11*Assumptions!$F$120,0)</f>
        <v>45000</v>
      </c>
      <c r="E7" s="93">
        <f>ROUND('P&amp;L_5yr'!F11*Assumptions!$F$120,0)</f>
        <v>112500</v>
      </c>
      <c r="F7" s="93">
        <f>ROUND('P&amp;L_5yr'!G11*Assumptions!$F$120,0)</f>
        <v>270000</v>
      </c>
      <c r="G7" s="93" t="s">
        <v>1157</v>
      </c>
    </row>
    <row r="8" spans="1:7" ht="18" customHeight="1">
      <c r="A8" s="68" t="s">
        <v>1158</v>
      </c>
      <c r="B8" s="92">
        <f>ROUND(Tier_Economics!D19*Assumptions!$F$121,0)</f>
        <v>2160</v>
      </c>
      <c r="C8" s="92">
        <f>ROUND(Tier_Economics!H19*Assumptions!$F$121,0)</f>
        <v>6750</v>
      </c>
      <c r="D8" s="92">
        <f>ROUND(Tier_Economics!L19*Assumptions!$F$121,0)</f>
        <v>13500</v>
      </c>
      <c r="E8" s="93">
        <f>ROUND(Tier_Economics!P19*Assumptions!$F$121,0)</f>
        <v>18000</v>
      </c>
      <c r="F8" s="93">
        <f>ROUND(Tier_Economics!T19*Assumptions!$F$121,0)</f>
        <v>27000</v>
      </c>
      <c r="G8" s="93">
        <f>ROUND(Tier_Economics!P19*Assumptions!$F$121,0)</f>
        <v>18000</v>
      </c>
    </row>
    <row r="9" spans="1:7" ht="18" customHeight="1">
      <c r="A9" s="68" t="s">
        <v>1159</v>
      </c>
      <c r="B9" s="92">
        <f>ROUND(Tier_Economics!D5*Assumptions!$F$122,0)</f>
        <v>5400</v>
      </c>
      <c r="C9" s="92">
        <f>ROUND(Tier_Economics!H5*Assumptions!$F$122,0)</f>
        <v>16875</v>
      </c>
      <c r="D9" s="92">
        <f>ROUND(Tier_Economics!L5*Assumptions!$F$122,0)</f>
        <v>33750</v>
      </c>
      <c r="E9" s="93">
        <f>ROUND(Tier_Economics!P5*Assumptions!$F$122,0)</f>
        <v>45000</v>
      </c>
      <c r="F9" s="93">
        <f>ROUND(Tier_Economics!T5*Assumptions!$F$122,0)</f>
        <v>67500</v>
      </c>
      <c r="G9" s="93">
        <f>ROUND(Tier_Economics!P5*Assumptions!$F$122,0)</f>
        <v>45000</v>
      </c>
    </row>
    <row r="10" spans="1:7" ht="18" customHeight="1">
      <c r="A10" s="68" t="s">
        <v>1160</v>
      </c>
      <c r="B10" s="92">
        <f>ROUND('P&amp;L_5yr'!C12*Assumptions!$F$124*Assumptions!$F$123,0)</f>
        <v>1415</v>
      </c>
      <c r="C10" s="92">
        <f>ROUND('P&amp;L_5yr'!D12*Assumptions!$F$124*Assumptions!$F$123,0)</f>
        <v>5778</v>
      </c>
      <c r="D10" s="92">
        <f>ROUND('P&amp;L_5yr'!E12*Assumptions!$F$124*Assumptions!$F$123,0)</f>
        <v>15840</v>
      </c>
      <c r="E10" s="93">
        <f>ROUND('P&amp;L_5yr'!F12*Assumptions!$F$124*Assumptions!$F$123,0)</f>
        <v>32400</v>
      </c>
      <c r="F10" s="93">
        <f>ROUND('P&amp;L_5yr'!G12*Assumptions!$F$124*Assumptions!$F$123,0)</f>
        <v>68040</v>
      </c>
      <c r="G10" s="93">
        <f>ROUND('P&amp;L_5yr'!F12*Assumptions!$F$124*Assumptions!$F$123,0)</f>
        <v>32400</v>
      </c>
    </row>
    <row r="11" spans="1:7" ht="18" customHeight="1">
      <c r="A11" s="68" t="s">
        <v>1161</v>
      </c>
      <c r="B11" s="92">
        <f>ROUND(0,0)</f>
        <v>0</v>
      </c>
      <c r="C11" s="92">
        <f>ROUND(Assumptions!$F$17*Assumptions!$F$125,0)</f>
        <v>22500</v>
      </c>
      <c r="D11" s="92">
        <f>ROUND(MAX(0,Assumptions!$F$113-Assumptions!$F$17)*Assumptions!$F$125,0)</f>
        <v>22500</v>
      </c>
      <c r="E11" s="93">
        <f>ROUND(MAX(0,Assumptions!$F$163-Assumptions!$F$113)*Assumptions!$F$125,0)</f>
        <v>30000</v>
      </c>
      <c r="F11" s="93">
        <f>ROUND(MAX(0,Assumptions!$F$164-Assumptions!$F$163)*Assumptions!$F$125,0)</f>
        <v>60000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ROUND(Assumptions!$F$17*Assumptions!$F$126*12,0)</f>
        <v>27000</v>
      </c>
      <c r="D12" s="92">
        <f>ROUND(Assumptions!$F$113*Assumptions!$F$126*12,0)</f>
        <v>54000</v>
      </c>
      <c r="E12" s="93">
        <f>ROUND(Assumptions!$F$163*Assumptions!$F$126*12,0)</f>
        <v>90000</v>
      </c>
      <c r="F12" s="93">
        <f>ROUND(Assumptions!$F$164*Assumptions!$F$126*12,0)</f>
        <v>162000</v>
      </c>
      <c r="G12" s="93" t="s">
        <v>1164</v>
      </c>
    </row>
    <row r="13" spans="1:7" ht="18" customHeight="1">
      <c r="A13" s="69" t="s">
        <v>1165</v>
      </c>
      <c r="B13" s="71">
        <f>ROUND('P&amp;L_5yr'!C7*Assumptions!$F$127,0)</f>
        <v>540</v>
      </c>
      <c r="C13" s="71">
        <f>ROUND('P&amp;L_5yr'!D7*Assumptions!$F$127,0)</f>
        <v>2700</v>
      </c>
      <c r="D13" s="71">
        <f>ROUND('P&amp;L_5yr'!E7*Assumptions!$F$127,0)</f>
        <v>9000</v>
      </c>
      <c r="E13" s="89">
        <f>ROUND('P&amp;L_5yr'!F7*Assumptions!$F$127,0)</f>
        <v>22500</v>
      </c>
      <c r="F13" s="89">
        <f>ROUND('P&amp;L_5yr'!G7*Assumptions!$F$127,0)</f>
        <v>54000</v>
      </c>
      <c r="G13" s="89">
        <f>ROUND('P&amp;L_5yr'!F7*Assumptions!$F$127,0)</f>
        <v>22500</v>
      </c>
    </row>
    <row r="14" spans="1:7" ht="18" customHeight="1">
      <c r="A14" s="69" t="s">
        <v>1149</v>
      </c>
      <c r="B14" s="71">
        <f>ROUND(Assumptions!$F$128*Assumptions!$F$129*Assumptions!$F$130*'P&amp;L_5yr'!C9,0)</f>
        <v>0</v>
      </c>
      <c r="C14" s="71">
        <f>ROUND(Assumptions!$F$128*Assumptions!$F$129*Assumptions!$F$130*'P&amp;L_5yr'!D9,0)</f>
        <v>0</v>
      </c>
      <c r="D14" s="71">
        <f>ROUND(Assumptions!$F$128*Assumptions!$F$129*Assumptions!$F$130*'P&amp;L_5yr'!E9,0)</f>
        <v>0</v>
      </c>
      <c r="E14" s="89">
        <f>ROUND(Assumptions!$F$128*Assumptions!$F$129*Assumptions!$F$130*'P&amp;L_5yr'!F9,0)</f>
        <v>0</v>
      </c>
      <c r="F14" s="89">
        <f>ROUND(Assumptions!$F$128*Assumptions!$F$129*Assumptions!$F$130*'P&amp;L_5yr'!G9,0)</f>
        <v>0</v>
      </c>
      <c r="G14" s="89">
        <f>ROUND(Assumptions!$F$128*Assumptions!$F$129*Assumptions!$F$130*'P&amp;L_5yr'!F9,0)</f>
        <v>0</v>
      </c>
    </row>
    <row r="15" spans="1:7" ht="18" customHeight="1">
      <c r="A15" s="72" t="s">
        <v>1166</v>
      </c>
      <c r="B15" s="73">
        <f>ROUND(SUM(B5:B14),0)</f>
        <v>7497</v>
      </c>
      <c r="C15" s="73">
        <f>ROUND(SUM(C5:C14),0)</f>
        <v>114678</v>
      </c>
      <c r="D15" s="73">
        <f>ROUND(SUM(D5:D14),0)</f>
        <v>238590</v>
      </c>
      <c r="E15" s="90">
        <f>ROUND(SUM(E5:E14),0)</f>
        <v>422400</v>
      </c>
      <c r="F15" s="90">
        <f>ROUND(SUM(F5:F14),0)</f>
        <v>830040</v>
      </c>
      <c r="G15" s="90">
        <f>ROUND(SUM(E5:E14),0)</f>
        <v>422400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ROUND('P&amp;L_5yr'!C7*Assumptions!$F$136*Assumptions!$F$137,0)</f>
        <v>864</v>
      </c>
      <c r="C18" s="71">
        <f>ROUND('P&amp;L_5yr'!D7*Assumptions!$F$136*Assumptions!$F$137,0)</f>
        <v>4320</v>
      </c>
      <c r="D18" s="71">
        <f>ROUND('P&amp;L_5yr'!E7*Assumptions!$F$136*Assumptions!$F$137,0)</f>
        <v>14400</v>
      </c>
      <c r="E18" s="89">
        <f>ROUND('P&amp;L_5yr'!F7*Assumptions!$F$136*Assumptions!$F$137,0)</f>
        <v>36000</v>
      </c>
      <c r="F18" s="89">
        <f>ROUND('P&amp;L_5yr'!G7*Assumptions!$F$136*Assumptions!$F$137,0)</f>
        <v>86400</v>
      </c>
      <c r="G18" s="89">
        <f>ROUND('P&amp;L_5yr'!F7*Assumptions!$F$136*Assumptions!$F$137,0)</f>
        <v>36000</v>
      </c>
    </row>
    <row r="19" spans="1:7" ht="18" customHeight="1">
      <c r="A19" s="69" t="s">
        <v>435</v>
      </c>
      <c r="B19" s="71">
        <f>ROUND('P&amp;L_5yr'!C7*Assumptions!$F$138*Assumptions!$F$139,0)</f>
        <v>8100</v>
      </c>
      <c r="C19" s="71">
        <f>ROUND('P&amp;L_5yr'!D7*Assumptions!$F$138*Assumptions!$F$139,0)</f>
        <v>40500</v>
      </c>
      <c r="D19" s="71">
        <f>ROUND('P&amp;L_5yr'!E7*Assumptions!$F$138*Assumptions!$F$139,0)</f>
        <v>135000</v>
      </c>
      <c r="E19" s="89">
        <f>ROUND('P&amp;L_5yr'!F7*Assumptions!$F$138*Assumptions!$F$139,0)</f>
        <v>337500</v>
      </c>
      <c r="F19" s="89">
        <f>ROUND('P&amp;L_5yr'!G7*Assumptions!$F$138*Assumptions!$F$139,0)</f>
        <v>810000</v>
      </c>
      <c r="G19" s="89">
        <f>ROUND('P&amp;L_5yr'!F7*Assumptions!$F$138*Assumptions!$F$139,0)</f>
        <v>337500</v>
      </c>
    </row>
    <row r="20" spans="1:7" ht="18" customHeight="1">
      <c r="A20" s="69" t="s">
        <v>1168</v>
      </c>
      <c r="B20" s="71">
        <f>ROUND('P&amp;L_5yr'!C18*Assumptions!$F$140,0)</f>
        <v>1075</v>
      </c>
      <c r="C20" s="71">
        <f>ROUND('P&amp;L_5yr'!D18*Assumptions!$F$140,0)</f>
        <v>5988</v>
      </c>
      <c r="D20" s="71">
        <f>ROUND('P&amp;L_5yr'!E18*Assumptions!$F$140,0)</f>
        <v>19593</v>
      </c>
      <c r="E20" s="89">
        <f>ROUND('P&amp;L_5yr'!F18*Assumptions!$F$140,0)</f>
        <v>52199</v>
      </c>
      <c r="F20" s="89">
        <f>ROUND('P&amp;L_5yr'!G18*Assumptions!$F$140,0)</f>
        <v>147403</v>
      </c>
      <c r="G20" s="89">
        <f>ROUND('P&amp;L_5yr'!F18*Assumptions!$F$140,0)</f>
        <v>52199</v>
      </c>
    </row>
    <row r="21" spans="1:7" ht="18" customHeight="1">
      <c r="A21" s="69" t="s">
        <v>446</v>
      </c>
      <c r="B21" s="71">
        <f>ROUND('P&amp;L_5yr'!C18*Assumptions!$F$144,0)</f>
        <v>5375</v>
      </c>
      <c r="C21" s="71">
        <f>ROUND('P&amp;L_5yr'!D18*Assumptions!$F$144,0)</f>
        <v>29939</v>
      </c>
      <c r="D21" s="71">
        <f>ROUND('P&amp;L_5yr'!E18*Assumptions!$F$144,0)</f>
        <v>97967</v>
      </c>
      <c r="E21" s="89">
        <f>ROUND('P&amp;L_5yr'!F18*Assumptions!$F$144,0)</f>
        <v>260993</v>
      </c>
      <c r="F21" s="89">
        <f>ROUND('P&amp;L_5yr'!G18*Assumptions!$F$144,0)</f>
        <v>737013</v>
      </c>
      <c r="G21" s="89">
        <f>ROUND('P&amp;L_5yr'!F18*Assumptions!$F$144,0)</f>
        <v>260993</v>
      </c>
    </row>
    <row r="22" spans="1:7" ht="18" customHeight="1">
      <c r="A22" s="69" t="s">
        <v>448</v>
      </c>
      <c r="B22" s="71">
        <f>ROUND((B7+B10+B12)*Assumptions!$F$145,0)</f>
        <v>41</v>
      </c>
      <c r="C22" s="71">
        <f>ROUND((C7+C10+C12)*Assumptions!$F$145,0)</f>
        <v>463</v>
      </c>
      <c r="D22" s="71">
        <f>ROUND((D7+D10+D12)*Assumptions!$F$145,0)</f>
        <v>1148</v>
      </c>
      <c r="E22" s="89">
        <f>ROUND((E7+E10+E12)*Assumptions!$F$145,0)</f>
        <v>2349</v>
      </c>
      <c r="F22" s="89">
        <f>ROUND((F7+F10+F12)*Assumptions!$F$145,0)</f>
        <v>5000</v>
      </c>
      <c r="G22" s="89">
        <f>ROUND((E7+E10+E12)*Assumptions!$F$145,0)</f>
        <v>2349</v>
      </c>
    </row>
    <row r="23" spans="1:7" ht="18" customHeight="1">
      <c r="A23" s="69" t="s">
        <v>1169</v>
      </c>
      <c r="B23" s="71">
        <f>ROUND(Tier_Economics!C5*Assumptions!$F$146*Assumptions!$F$147,0)</f>
        <v>182</v>
      </c>
      <c r="C23" s="71">
        <f>ROUND(Tier_Economics!G5*Assumptions!$F$146*Assumptions!$F$147,0)</f>
        <v>911</v>
      </c>
      <c r="D23" s="71">
        <f>ROUND(Tier_Economics!K5*Assumptions!$F$146*Assumptions!$F$147,0)</f>
        <v>2700</v>
      </c>
      <c r="E23" s="89">
        <f>ROUND(Tier_Economics!O5*Assumptions!$F$146*Assumptions!$F$147,0)</f>
        <v>5400</v>
      </c>
      <c r="F23" s="89">
        <f>ROUND(Tier_Economics!S5*Assumptions!$F$146*Assumptions!$F$147,0)</f>
        <v>10125</v>
      </c>
      <c r="G23" s="89">
        <f>ROUND(Tier_Economics!O5*Assumptions!$F$146*Assumptions!$F$147,0)</f>
        <v>5400</v>
      </c>
    </row>
    <row r="24" spans="1:7" ht="18" customHeight="1">
      <c r="A24" s="74" t="s">
        <v>1170</v>
      </c>
      <c r="B24" s="75">
        <f>ROUND(SUM(B18:B23),0)</f>
        <v>15637</v>
      </c>
      <c r="C24" s="75">
        <f>ROUND(SUM(C18:C23),0)</f>
        <v>82121</v>
      </c>
      <c r="D24" s="75">
        <f>ROUND(SUM(D18:D23),0)</f>
        <v>270808</v>
      </c>
      <c r="E24" s="115">
        <f>ROUND(SUM(E18:E23),0)</f>
        <v>694441</v>
      </c>
      <c r="F24" s="115">
        <f>ROUND(SUM(F18:F23),0)</f>
        <v>1795941</v>
      </c>
      <c r="G24" s="115">
        <f>ROUND(SUM(E18:E23),0)</f>
        <v>694441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workbookViewId="0"/>
  </sheetViews>
  <sheetFormatPr defaultRowHeight="14.5"/>
  <cols>
    <col min="1" max="1" width="34" customWidth="1"/>
    <col min="2" max="21" width="15" customWidth="1"/>
  </cols>
  <sheetData>
    <row r="1" spans="1:21" ht="18.5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Assumptions!$C$64</f>
        <v>0.05</v>
      </c>
      <c r="C4" s="62">
        <f>Assumptions!$C$65</f>
        <v>0.25</v>
      </c>
      <c r="D4" s="62">
        <f>Assumptions!$C$66</f>
        <v>0.7</v>
      </c>
      <c r="E4" s="62">
        <f>SUM(B4:D4)</f>
        <v>1</v>
      </c>
      <c r="F4" s="62">
        <f>Assumptions!$C$67</f>
        <v>0.1</v>
      </c>
      <c r="G4" s="62">
        <f>Assumptions!$C$68</f>
        <v>0.35</v>
      </c>
      <c r="H4" s="62">
        <f>Assumptions!$C$69</f>
        <v>0.55000000000000004</v>
      </c>
      <c r="I4" s="62">
        <f>SUM(F4:H4)</f>
        <v>1</v>
      </c>
      <c r="J4" s="62">
        <f>Assumptions!$C$70</f>
        <v>0.2</v>
      </c>
      <c r="K4" s="62">
        <f>Assumptions!$C$71</f>
        <v>0.4</v>
      </c>
      <c r="L4" s="62">
        <f>Assumptions!$C$72</f>
        <v>0.4</v>
      </c>
      <c r="M4" s="62">
        <f>SUM(J4:L4)</f>
        <v>1</v>
      </c>
      <c r="N4" s="85">
        <f>Assumptions!$C$157</f>
        <v>0.3</v>
      </c>
      <c r="O4" s="85">
        <f>Assumptions!$C$158</f>
        <v>0.45</v>
      </c>
      <c r="P4" s="85">
        <f>Assumptions!$C$159</f>
        <v>0.25</v>
      </c>
      <c r="Q4" s="85">
        <f>SUM(N4:P4)</f>
        <v>1</v>
      </c>
      <c r="R4" s="85">
        <f>Assumptions!$C$160</f>
        <v>0.4</v>
      </c>
      <c r="S4" s="85">
        <f>Assumptions!$C$161</f>
        <v>0.45</v>
      </c>
      <c r="T4" s="85">
        <f>Assumptions!$C$162</f>
        <v>0.15</v>
      </c>
      <c r="U4" s="85">
        <f>SUM(R4:T4)</f>
        <v>1</v>
      </c>
    </row>
    <row r="5" spans="1:21">
      <c r="A5" s="57" t="s">
        <v>750</v>
      </c>
      <c r="B5" s="64">
        <f>Scenario_Low_PL!$C$7*B4</f>
        <v>3</v>
      </c>
      <c r="C5" s="64">
        <f>Scenario_Low_PL!$C$7*C4</f>
        <v>15</v>
      </c>
      <c r="D5" s="64">
        <f>Scenario_Low_PL!$C$7*D4</f>
        <v>42</v>
      </c>
      <c r="E5" s="64">
        <f>SUM(B5:D5)</f>
        <v>60</v>
      </c>
      <c r="F5" s="64">
        <f>Scenario_Low_PL!$D$7*F4</f>
        <v>30</v>
      </c>
      <c r="G5" s="64">
        <f>Scenario_Low_PL!$D$7*G4</f>
        <v>105</v>
      </c>
      <c r="H5" s="64">
        <f>Scenario_Low_PL!$D$7*H4</f>
        <v>165</v>
      </c>
      <c r="I5" s="64">
        <f>SUM(F5:H5)</f>
        <v>300</v>
      </c>
      <c r="J5" s="64">
        <f>Scenario_Low_PL!$E$7*J4</f>
        <v>180</v>
      </c>
      <c r="K5" s="64">
        <f>Scenario_Low_PL!$E$7*K4</f>
        <v>360</v>
      </c>
      <c r="L5" s="64">
        <f>Scenario_Low_PL!$E$7*L4</f>
        <v>360</v>
      </c>
      <c r="M5" s="64">
        <f>SUM(J5:L5)</f>
        <v>900</v>
      </c>
      <c r="N5" s="87">
        <f>Scenario_Low_PL!$F$7*N4</f>
        <v>540</v>
      </c>
      <c r="O5" s="87">
        <f>Scenario_Low_PL!$F$7*O4</f>
        <v>810</v>
      </c>
      <c r="P5" s="87">
        <f>Scenario_Low_PL!$F$7*P4</f>
        <v>450</v>
      </c>
      <c r="Q5" s="87">
        <f>SUM(N5:P5)</f>
        <v>1800</v>
      </c>
      <c r="R5" s="87">
        <f>Scenario_Low_PL!$G$7*R4</f>
        <v>2400</v>
      </c>
      <c r="S5" s="87">
        <f>Scenario_Low_PL!$G$7*S4</f>
        <v>2700</v>
      </c>
      <c r="T5" s="87">
        <f>Scenario_Low_PL!$G$7*T4</f>
        <v>900</v>
      </c>
      <c r="U5" s="87">
        <f>SUM(R5:T5)</f>
        <v>6000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7.95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7.35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6.6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5.85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5.25</v>
      </c>
    </row>
    <row r="7" spans="1:21">
      <c r="A7" s="57" t="s">
        <v>627</v>
      </c>
      <c r="B7" s="64">
        <f>B5*B6</f>
        <v>9</v>
      </c>
      <c r="C7" s="64">
        <f>C5*C6</f>
        <v>90</v>
      </c>
      <c r="D7" s="64">
        <f>D5*D6</f>
        <v>378</v>
      </c>
      <c r="E7" s="64">
        <f>SUM(B7:D7)</f>
        <v>477</v>
      </c>
      <c r="F7" s="64">
        <f>F5*F6</f>
        <v>90</v>
      </c>
      <c r="G7" s="64">
        <f>G5*G6</f>
        <v>630</v>
      </c>
      <c r="H7" s="64">
        <f>H5*H6</f>
        <v>1485</v>
      </c>
      <c r="I7" s="64">
        <f>SUM(F7:H7)</f>
        <v>2205</v>
      </c>
      <c r="J7" s="64">
        <f>J5*J6</f>
        <v>540</v>
      </c>
      <c r="K7" s="64">
        <f>K5*K6</f>
        <v>2160</v>
      </c>
      <c r="L7" s="64">
        <f>L5*L6</f>
        <v>3240</v>
      </c>
      <c r="M7" s="64">
        <f>SUM(J7:L7)</f>
        <v>5940</v>
      </c>
      <c r="N7" s="87">
        <f>N5*N6</f>
        <v>1620</v>
      </c>
      <c r="O7" s="87">
        <f>O5*O6</f>
        <v>4860</v>
      </c>
      <c r="P7" s="87">
        <f>P5*P6</f>
        <v>4050</v>
      </c>
      <c r="Q7" s="87">
        <f>SUM(N7:P7)</f>
        <v>10530</v>
      </c>
      <c r="R7" s="87">
        <f>R5*R6</f>
        <v>7200</v>
      </c>
      <c r="S7" s="87">
        <f>S5*S6</f>
        <v>16200</v>
      </c>
      <c r="T7" s="87">
        <f>T5*T6</f>
        <v>8100</v>
      </c>
      <c r="U7" s="87">
        <f>SUM(R7:T7)</f>
        <v>31500</v>
      </c>
    </row>
    <row r="8" spans="1:21">
      <c r="A8" s="57" t="s">
        <v>752</v>
      </c>
      <c r="B8" s="111">
        <f>Scenario_Low_PL!$C$8</f>
        <v>30000</v>
      </c>
      <c r="C8" s="111">
        <f>Scenario_Low_PL!$C$8</f>
        <v>30000</v>
      </c>
      <c r="D8" s="111">
        <f>Scenario_Low_PL!$C$8</f>
        <v>30000</v>
      </c>
      <c r="E8" s="111">
        <f>Scenario_Low_PL!$C$8</f>
        <v>30000</v>
      </c>
      <c r="F8" s="111">
        <f>Scenario_Low_PL!$D$8</f>
        <v>40500</v>
      </c>
      <c r="G8" s="111">
        <f>Scenario_Low_PL!$D$8</f>
        <v>40500</v>
      </c>
      <c r="H8" s="111">
        <f>Scenario_Low_PL!$D$8</f>
        <v>40500</v>
      </c>
      <c r="I8" s="111">
        <f>Scenario_Low_PL!$D$8</f>
        <v>40500</v>
      </c>
      <c r="J8" s="111">
        <f>Scenario_Low_PL!$E$8</f>
        <v>54675</v>
      </c>
      <c r="K8" s="111">
        <f>Scenario_Low_PL!$E$8</f>
        <v>54675</v>
      </c>
      <c r="L8" s="111">
        <f>Scenario_Low_PL!$E$8</f>
        <v>54675</v>
      </c>
      <c r="M8" s="111">
        <f>Scenario_Low_PL!$E$8</f>
        <v>54675</v>
      </c>
      <c r="N8" s="112">
        <f>Scenario_Low_PL!$F$8</f>
        <v>73811.25</v>
      </c>
      <c r="O8" s="112">
        <f>Scenario_Low_PL!$F$8</f>
        <v>73811.25</v>
      </c>
      <c r="P8" s="112">
        <f>Scenario_Low_PL!$F$8</f>
        <v>73811.25</v>
      </c>
      <c r="Q8" s="112">
        <f>Scenario_Low_PL!$F$8</f>
        <v>73811.25</v>
      </c>
      <c r="R8" s="112">
        <f>Scenario_Low_PL!$G$8</f>
        <v>99645.1875</v>
      </c>
      <c r="S8" s="112">
        <f>Scenario_Low_PL!$G$8</f>
        <v>99645.1875</v>
      </c>
      <c r="T8" s="112">
        <f>Scenario_Low_PL!$G$8</f>
        <v>99645.1875</v>
      </c>
      <c r="U8" s="112">
        <f>Scenario_Low_PL!$G$8</f>
        <v>99645.1875</v>
      </c>
    </row>
    <row r="9" spans="1:21">
      <c r="A9" s="57" t="s">
        <v>753</v>
      </c>
      <c r="B9" s="111">
        <f>B5*B8</f>
        <v>90000</v>
      </c>
      <c r="C9" s="111">
        <f>C5*C8</f>
        <v>450000</v>
      </c>
      <c r="D9" s="111">
        <f>D5*D8</f>
        <v>1260000</v>
      </c>
      <c r="E9" s="111">
        <f>SUM(B9:D9)</f>
        <v>1800000</v>
      </c>
      <c r="F9" s="111">
        <f>F5*F8</f>
        <v>1215000</v>
      </c>
      <c r="G9" s="111">
        <f>G5*G8</f>
        <v>4252500</v>
      </c>
      <c r="H9" s="111">
        <f>H5*H8</f>
        <v>6682500</v>
      </c>
      <c r="I9" s="111">
        <f>SUM(F9:H9)</f>
        <v>12150000</v>
      </c>
      <c r="J9" s="111">
        <f>J5*J8</f>
        <v>9841500</v>
      </c>
      <c r="K9" s="111">
        <f>K5*K8</f>
        <v>19683000</v>
      </c>
      <c r="L9" s="111">
        <f>L5*L8</f>
        <v>19683000</v>
      </c>
      <c r="M9" s="111">
        <f>SUM(J9:L9)</f>
        <v>49207500</v>
      </c>
      <c r="N9" s="112">
        <f>N5*N8</f>
        <v>39858075</v>
      </c>
      <c r="O9" s="112">
        <f>O5*O8</f>
        <v>59787112.5</v>
      </c>
      <c r="P9" s="112">
        <f>P5*P8</f>
        <v>33215062.5</v>
      </c>
      <c r="Q9" s="112">
        <f>SUM(N9:P9)</f>
        <v>132860250</v>
      </c>
      <c r="R9" s="112">
        <f>R5*R8</f>
        <v>239148450</v>
      </c>
      <c r="S9" s="112">
        <f>S5*S8</f>
        <v>269042006.25</v>
      </c>
      <c r="T9" s="112">
        <f>T5*T8</f>
        <v>89680668.75</v>
      </c>
      <c r="U9" s="112">
        <f>SUM(R9:T9)</f>
        <v>597871125</v>
      </c>
    </row>
    <row r="10" spans="1:21">
      <c r="A10" s="57" t="s">
        <v>754</v>
      </c>
      <c r="B10" s="62">
        <f>Assumptions!$F$73</f>
        <v>6.0000000000000001E-3</v>
      </c>
      <c r="C10" s="62">
        <f>Assumptions!$F$74</f>
        <v>8.5000000000000006E-3</v>
      </c>
      <c r="D10" s="62">
        <f>Assumptions!$F$75</f>
        <v>1.4999999999999999E-2</v>
      </c>
      <c r="E10" s="62">
        <f>IF(E9=0,0,SUM(B9*B10,C9*C10,D9*D10)/E9)</f>
        <v>1.2925000000000001E-2</v>
      </c>
      <c r="F10" s="62">
        <f>Assumptions!$F$73</f>
        <v>6.0000000000000001E-3</v>
      </c>
      <c r="G10" s="62">
        <f>Assumptions!$F$74</f>
        <v>8.5000000000000006E-3</v>
      </c>
      <c r="H10" s="62">
        <f>Assumptions!$F$75</f>
        <v>1.4999999999999999E-2</v>
      </c>
      <c r="I10" s="62">
        <f>IF(I9=0,0,SUM(F9*F10,G9*G10,H9*H10)/I9)</f>
        <v>1.1825E-2</v>
      </c>
      <c r="J10" s="62">
        <f>Assumptions!$F$73</f>
        <v>6.0000000000000001E-3</v>
      </c>
      <c r="K10" s="62">
        <f>Assumptions!$F$74</f>
        <v>8.5000000000000006E-3</v>
      </c>
      <c r="L10" s="62">
        <f>Assumptions!$F$75</f>
        <v>1.4999999999999999E-2</v>
      </c>
      <c r="M10" s="62">
        <f>IF(M9=0,0,SUM(J9*J10,K9*K10,L9*L10)/M9)</f>
        <v>1.06E-2</v>
      </c>
      <c r="N10" s="85">
        <f>Assumptions!$F$73</f>
        <v>6.0000000000000001E-3</v>
      </c>
      <c r="O10" s="85">
        <f>Assumptions!$F$74</f>
        <v>8.5000000000000006E-3</v>
      </c>
      <c r="P10" s="85">
        <f>Assumptions!$F$75</f>
        <v>1.4999999999999999E-2</v>
      </c>
      <c r="Q10" s="85">
        <f>IF(Q9=0,0,SUM(N9*N10,O9*O10,P9*P10)/Q9)</f>
        <v>9.3749999999999997E-3</v>
      </c>
      <c r="R10" s="85">
        <f>Assumptions!$F$73</f>
        <v>6.0000000000000001E-3</v>
      </c>
      <c r="S10" s="85">
        <f>Assumptions!$F$74</f>
        <v>8.5000000000000006E-3</v>
      </c>
      <c r="T10" s="85">
        <f>Assumptions!$F$75</f>
        <v>1.4999999999999999E-2</v>
      </c>
      <c r="U10" s="85">
        <f>IF(U9=0,0,SUM(R9*R10,S9*S10,T9*T10)/U9)</f>
        <v>8.4749999999999999E-3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420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377.5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330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282.5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247.5</v>
      </c>
    </row>
    <row r="12" spans="1:21">
      <c r="A12" s="57" t="s">
        <v>756</v>
      </c>
      <c r="B12" s="111">
        <f>B5*MAX(B8*B10,B11)</f>
        <v>540</v>
      </c>
      <c r="C12" s="111">
        <f>C5*MAX(C8*C10,C11)</f>
        <v>3825.0000000000005</v>
      </c>
      <c r="D12" s="111">
        <f>D5*MAX(D8*D10,D11)</f>
        <v>21000</v>
      </c>
      <c r="E12" s="111">
        <f>SUM(B12:D12)</f>
        <v>25365</v>
      </c>
      <c r="F12" s="111">
        <f>F5*MAX(F8*F10,F11)</f>
        <v>7290</v>
      </c>
      <c r="G12" s="111">
        <f>G5*MAX(G8*G10,G11)</f>
        <v>36146.25</v>
      </c>
      <c r="H12" s="111">
        <f>H5*MAX(H8*H10,H11)</f>
        <v>100237.5</v>
      </c>
      <c r="I12" s="111">
        <f>SUM(F12:H12)</f>
        <v>143673.75</v>
      </c>
      <c r="J12" s="111">
        <f>J5*MAX(J8*J10,J11)</f>
        <v>59049</v>
      </c>
      <c r="K12" s="111">
        <f>K5*MAX(K8*K10,K11)</f>
        <v>167305.5</v>
      </c>
      <c r="L12" s="111">
        <f>L5*MAX(L8*L10,L11)</f>
        <v>295245</v>
      </c>
      <c r="M12" s="111">
        <f>SUM(J12:L12)</f>
        <v>521599.5</v>
      </c>
      <c r="N12" s="112">
        <f>N5*MAX(N8*N10,N11)</f>
        <v>239148.45</v>
      </c>
      <c r="O12" s="112">
        <f>O5*MAX(O8*O10,O11)</f>
        <v>508190.45624999999</v>
      </c>
      <c r="P12" s="112">
        <f>P5*MAX(P8*P10,P11)</f>
        <v>498225.9375</v>
      </c>
      <c r="Q12" s="112">
        <f>SUM(N12:P12)</f>
        <v>1245564.84375</v>
      </c>
      <c r="R12" s="112">
        <f>R5*MAX(R8*R10,R11)</f>
        <v>1434890.7</v>
      </c>
      <c r="S12" s="112">
        <f>S5*MAX(S8*S10,S11)</f>
        <v>2286857.0531250001</v>
      </c>
      <c r="T12" s="112">
        <f>T5*MAX(T8*T10,T11)</f>
        <v>1345210.0312499998</v>
      </c>
      <c r="U12" s="112">
        <f>SUM(R12:T12)</f>
        <v>5066957.7843749998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233.75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199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161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123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95.5</v>
      </c>
    </row>
    <row r="14" spans="1:21">
      <c r="A14" s="57" t="s">
        <v>758</v>
      </c>
      <c r="B14" s="111">
        <f>B5*B13</f>
        <v>75</v>
      </c>
      <c r="C14" s="111">
        <f>C5*C13</f>
        <v>1350</v>
      </c>
      <c r="D14" s="111">
        <f>D5*D13</f>
        <v>12600</v>
      </c>
      <c r="E14" s="111">
        <f>SUM(B14:D14)</f>
        <v>14025</v>
      </c>
      <c r="F14" s="111">
        <f>F5*F13</f>
        <v>750</v>
      </c>
      <c r="G14" s="111">
        <f>G5*G13</f>
        <v>9450</v>
      </c>
      <c r="H14" s="111">
        <f>H5*H13</f>
        <v>49500</v>
      </c>
      <c r="I14" s="111">
        <f>SUM(F14:H14)</f>
        <v>59700</v>
      </c>
      <c r="J14" s="111">
        <f>J5*J13</f>
        <v>4500</v>
      </c>
      <c r="K14" s="111">
        <f>K5*K13</f>
        <v>32400</v>
      </c>
      <c r="L14" s="111">
        <f>L5*L13</f>
        <v>108000</v>
      </c>
      <c r="M14" s="111">
        <f>SUM(J14:L14)</f>
        <v>144900</v>
      </c>
      <c r="N14" s="112">
        <f>N5*N13</f>
        <v>13500</v>
      </c>
      <c r="O14" s="112">
        <f>O5*O13</f>
        <v>72900</v>
      </c>
      <c r="P14" s="112">
        <f>P5*P13</f>
        <v>135000</v>
      </c>
      <c r="Q14" s="112">
        <f>SUM(N14:P14)</f>
        <v>221400</v>
      </c>
      <c r="R14" s="112">
        <f>R5*R13</f>
        <v>60000</v>
      </c>
      <c r="S14" s="112">
        <f>S5*S13</f>
        <v>243000</v>
      </c>
      <c r="T14" s="112">
        <f>T5*T13</f>
        <v>270000</v>
      </c>
      <c r="U14" s="112">
        <f>SUM(R14:T14)</f>
        <v>573000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0.16699999999999998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0.14900000000000002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0.128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0.107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9.0999999999999998E-2</v>
      </c>
    </row>
    <row r="16" spans="1:21">
      <c r="A16" s="57" t="s">
        <v>760</v>
      </c>
      <c r="B16" s="64">
        <f>B5*B15</f>
        <v>0.12</v>
      </c>
      <c r="C16" s="64">
        <f>C5*C15</f>
        <v>1.5</v>
      </c>
      <c r="D16" s="64">
        <f>D5*D15</f>
        <v>8.4</v>
      </c>
      <c r="E16" s="64">
        <f>SUM(B16:D16)</f>
        <v>10.02</v>
      </c>
      <c r="F16" s="64">
        <f>F5*F15</f>
        <v>1.2</v>
      </c>
      <c r="G16" s="64">
        <f>G5*G15</f>
        <v>10.5</v>
      </c>
      <c r="H16" s="64">
        <f>H5*H15</f>
        <v>33</v>
      </c>
      <c r="I16" s="64">
        <f>SUM(F16:H16)</f>
        <v>44.7</v>
      </c>
      <c r="J16" s="64">
        <f>J5*J15</f>
        <v>7.2</v>
      </c>
      <c r="K16" s="64">
        <f>K5*K15</f>
        <v>36</v>
      </c>
      <c r="L16" s="64">
        <f>L5*L15</f>
        <v>72</v>
      </c>
      <c r="M16" s="64">
        <f>SUM(J16:L16)</f>
        <v>115.2</v>
      </c>
      <c r="N16" s="87">
        <f>N5*N15</f>
        <v>21.6</v>
      </c>
      <c r="O16" s="87">
        <f>O5*O15</f>
        <v>81</v>
      </c>
      <c r="P16" s="87">
        <f>P5*P15</f>
        <v>90</v>
      </c>
      <c r="Q16" s="87">
        <f>SUM(N16:P16)</f>
        <v>192.6</v>
      </c>
      <c r="R16" s="87">
        <f>R5*R15</f>
        <v>96</v>
      </c>
      <c r="S16" s="87">
        <f>S5*S15</f>
        <v>270</v>
      </c>
      <c r="T16" s="87">
        <f>T5*T15</f>
        <v>180</v>
      </c>
      <c r="U16" s="87">
        <f>SUM(R16:T16)</f>
        <v>546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450.29940119760482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418.79194630872479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381.25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328.97196261682245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281.31868131868134</v>
      </c>
    </row>
    <row r="18" spans="1:21">
      <c r="A18" s="57" t="s">
        <v>762</v>
      </c>
      <c r="B18" s="111">
        <f>B16*B17</f>
        <v>12</v>
      </c>
      <c r="C18" s="111">
        <f>C16*C17</f>
        <v>300</v>
      </c>
      <c r="D18" s="111">
        <f>D16*D17</f>
        <v>4200</v>
      </c>
      <c r="E18" s="111">
        <f t="shared" ref="E18:E24" si="0">SUM(B18:D18)</f>
        <v>4512</v>
      </c>
      <c r="F18" s="111">
        <f>F16*F17</f>
        <v>120</v>
      </c>
      <c r="G18" s="111">
        <f>G16*G17</f>
        <v>2100</v>
      </c>
      <c r="H18" s="111">
        <f>H16*H17</f>
        <v>16500</v>
      </c>
      <c r="I18" s="111">
        <f t="shared" ref="I18:I24" si="1">SUM(F18:H18)</f>
        <v>18720</v>
      </c>
      <c r="J18" s="111">
        <f>J16*J17</f>
        <v>720</v>
      </c>
      <c r="K18" s="111">
        <f>K16*K17</f>
        <v>7200</v>
      </c>
      <c r="L18" s="111">
        <f>L16*L17</f>
        <v>36000</v>
      </c>
      <c r="M18" s="111">
        <f t="shared" ref="M18:M24" si="2">SUM(J18:L18)</f>
        <v>43920</v>
      </c>
      <c r="N18" s="112">
        <f>N16*N17</f>
        <v>2160</v>
      </c>
      <c r="O18" s="112">
        <f>O16*O17</f>
        <v>16200</v>
      </c>
      <c r="P18" s="112">
        <f>P16*P17</f>
        <v>45000</v>
      </c>
      <c r="Q18" s="112">
        <f t="shared" ref="Q18:Q24" si="3">SUM(N18:P18)</f>
        <v>63360</v>
      </c>
      <c r="R18" s="112">
        <f>R16*R17</f>
        <v>9600</v>
      </c>
      <c r="S18" s="112">
        <f>S16*S17</f>
        <v>54000</v>
      </c>
      <c r="T18" s="112">
        <f>T16*T17</f>
        <v>90000</v>
      </c>
      <c r="U18" s="112">
        <f t="shared" ref="U18:U24" si="4">SUM(R18:T18)</f>
        <v>153600</v>
      </c>
    </row>
    <row r="19" spans="1:21">
      <c r="A19" s="57" t="s">
        <v>763</v>
      </c>
      <c r="B19" s="111">
        <f>B5*Assumptions!$F$85</f>
        <v>9</v>
      </c>
      <c r="C19" s="111">
        <f>C5*Assumptions!$F$86</f>
        <v>150</v>
      </c>
      <c r="D19" s="111">
        <f>D5*Assumptions!$F$87</f>
        <v>6300</v>
      </c>
      <c r="E19" s="111">
        <f t="shared" si="0"/>
        <v>6459</v>
      </c>
      <c r="F19" s="111">
        <f>F5*Assumptions!$F$85</f>
        <v>90</v>
      </c>
      <c r="G19" s="111">
        <f>G5*Assumptions!$F$86</f>
        <v>1050</v>
      </c>
      <c r="H19" s="111">
        <f>H5*Assumptions!$F$87</f>
        <v>24750</v>
      </c>
      <c r="I19" s="111">
        <f t="shared" si="1"/>
        <v>25890</v>
      </c>
      <c r="J19" s="111">
        <f>J5*Assumptions!$F$85</f>
        <v>540</v>
      </c>
      <c r="K19" s="111">
        <f>K5*Assumptions!$F$86</f>
        <v>3600</v>
      </c>
      <c r="L19" s="111">
        <f>L5*Assumptions!$F$87</f>
        <v>54000</v>
      </c>
      <c r="M19" s="111">
        <f t="shared" si="2"/>
        <v>58140</v>
      </c>
      <c r="N19" s="112">
        <f>N5*Assumptions!$F$85</f>
        <v>1620</v>
      </c>
      <c r="O19" s="112">
        <f>O5*Assumptions!$F$86</f>
        <v>8100</v>
      </c>
      <c r="P19" s="112">
        <f>P5*Assumptions!$F$87</f>
        <v>67500</v>
      </c>
      <c r="Q19" s="112">
        <f t="shared" si="3"/>
        <v>77220</v>
      </c>
      <c r="R19" s="112">
        <f>R5*Assumptions!$F$85</f>
        <v>7200</v>
      </c>
      <c r="S19" s="112">
        <f>S5*Assumptions!$F$86</f>
        <v>27000</v>
      </c>
      <c r="T19" s="112">
        <f>T5*Assumptions!$F$87</f>
        <v>135000</v>
      </c>
      <c r="U19" s="112">
        <f t="shared" si="4"/>
        <v>169200</v>
      </c>
    </row>
    <row r="20" spans="1:21">
      <c r="A20" s="57" t="s">
        <v>764</v>
      </c>
      <c r="B20" s="111">
        <f>B5*Assumptions!$F$88</f>
        <v>9</v>
      </c>
      <c r="C20" s="111">
        <f>C5*Assumptions!$F$89</f>
        <v>300</v>
      </c>
      <c r="D20" s="111">
        <f>D5*Assumptions!$F$90</f>
        <v>5040</v>
      </c>
      <c r="E20" s="111">
        <f t="shared" si="0"/>
        <v>5349</v>
      </c>
      <c r="F20" s="111">
        <f>F5*Assumptions!$F$88</f>
        <v>90</v>
      </c>
      <c r="G20" s="111">
        <f>G5*Assumptions!$F$89</f>
        <v>2100</v>
      </c>
      <c r="H20" s="111">
        <f>H5*Assumptions!$F$90</f>
        <v>19800</v>
      </c>
      <c r="I20" s="111">
        <f t="shared" si="1"/>
        <v>21990</v>
      </c>
      <c r="J20" s="111">
        <f>J5*Assumptions!$F$88</f>
        <v>540</v>
      </c>
      <c r="K20" s="111">
        <f>K5*Assumptions!$F$89</f>
        <v>7200</v>
      </c>
      <c r="L20" s="111">
        <f>L5*Assumptions!$F$90</f>
        <v>43200</v>
      </c>
      <c r="M20" s="111">
        <f t="shared" si="2"/>
        <v>50940</v>
      </c>
      <c r="N20" s="112">
        <f>N5*Assumptions!$F$88</f>
        <v>1620</v>
      </c>
      <c r="O20" s="112">
        <f>O5*Assumptions!$F$89</f>
        <v>16200</v>
      </c>
      <c r="P20" s="112">
        <f>P5*Assumptions!$F$90</f>
        <v>54000</v>
      </c>
      <c r="Q20" s="112">
        <f t="shared" si="3"/>
        <v>71820</v>
      </c>
      <c r="R20" s="112">
        <f>R5*Assumptions!$F$88</f>
        <v>7200</v>
      </c>
      <c r="S20" s="112">
        <f>S5*Assumptions!$F$89</f>
        <v>54000</v>
      </c>
      <c r="T20" s="112">
        <f>T5*Assumptions!$F$90</f>
        <v>108000</v>
      </c>
      <c r="U20" s="112">
        <f t="shared" si="4"/>
        <v>169200</v>
      </c>
    </row>
    <row r="21" spans="1:21">
      <c r="A21" s="57" t="s">
        <v>765</v>
      </c>
      <c r="B21" s="111">
        <f>B5*Assumptions!$F$91</f>
        <v>6</v>
      </c>
      <c r="C21" s="111">
        <f>C5*Assumptions!$F$92</f>
        <v>90</v>
      </c>
      <c r="D21" s="111">
        <f>D5*Assumptions!$F$93</f>
        <v>840</v>
      </c>
      <c r="E21" s="111">
        <f t="shared" si="0"/>
        <v>936</v>
      </c>
      <c r="F21" s="111">
        <f>F5*Assumptions!$F$91</f>
        <v>60</v>
      </c>
      <c r="G21" s="111">
        <f>G5*Assumptions!$F$92</f>
        <v>630</v>
      </c>
      <c r="H21" s="111">
        <f>H5*Assumptions!$F$93</f>
        <v>3300</v>
      </c>
      <c r="I21" s="111">
        <f t="shared" si="1"/>
        <v>3990</v>
      </c>
      <c r="J21" s="111">
        <f>J5*Assumptions!$F$91</f>
        <v>360</v>
      </c>
      <c r="K21" s="111">
        <f>K5*Assumptions!$F$92</f>
        <v>2160</v>
      </c>
      <c r="L21" s="111">
        <f>L5*Assumptions!$F$93</f>
        <v>7200</v>
      </c>
      <c r="M21" s="111">
        <f t="shared" si="2"/>
        <v>9720</v>
      </c>
      <c r="N21" s="112">
        <f>N5*Assumptions!$F$91</f>
        <v>1080</v>
      </c>
      <c r="O21" s="112">
        <f>O5*Assumptions!$F$92</f>
        <v>4860</v>
      </c>
      <c r="P21" s="112">
        <f>P5*Assumptions!$F$93</f>
        <v>9000</v>
      </c>
      <c r="Q21" s="112">
        <f t="shared" si="3"/>
        <v>14940</v>
      </c>
      <c r="R21" s="112">
        <f>R5*Assumptions!$F$91</f>
        <v>4800</v>
      </c>
      <c r="S21" s="112">
        <f>S5*Assumptions!$F$92</f>
        <v>16200</v>
      </c>
      <c r="T21" s="112">
        <f>T5*Assumptions!$F$93</f>
        <v>18000</v>
      </c>
      <c r="U21" s="112">
        <f t="shared" si="4"/>
        <v>39000</v>
      </c>
    </row>
    <row r="22" spans="1:21">
      <c r="A22" s="57" t="s">
        <v>766</v>
      </c>
      <c r="B22" s="111">
        <f>B16*Assumptions!$F$97</f>
        <v>7.1999999999999993</v>
      </c>
      <c r="C22" s="111">
        <f>C16*Assumptions!$F$98</f>
        <v>180</v>
      </c>
      <c r="D22" s="111">
        <f>D16*Assumptions!$F$99</f>
        <v>2940</v>
      </c>
      <c r="E22" s="111">
        <f t="shared" si="0"/>
        <v>3127.2</v>
      </c>
      <c r="F22" s="111">
        <f>F16*Assumptions!$F$97</f>
        <v>72</v>
      </c>
      <c r="G22" s="111">
        <f>G16*Assumptions!$F$98</f>
        <v>1260</v>
      </c>
      <c r="H22" s="111">
        <f>H16*Assumptions!$F$99</f>
        <v>11550</v>
      </c>
      <c r="I22" s="111">
        <f t="shared" si="1"/>
        <v>12882</v>
      </c>
      <c r="J22" s="111">
        <f>J16*Assumptions!$F$97</f>
        <v>432</v>
      </c>
      <c r="K22" s="111">
        <f>K16*Assumptions!$F$98</f>
        <v>4320</v>
      </c>
      <c r="L22" s="111">
        <f>L16*Assumptions!$F$99</f>
        <v>25200</v>
      </c>
      <c r="M22" s="111">
        <f t="shared" si="2"/>
        <v>29952</v>
      </c>
      <c r="N22" s="112">
        <f>N16*Assumptions!$F$97</f>
        <v>1296</v>
      </c>
      <c r="O22" s="112">
        <f>O16*Assumptions!$F$98</f>
        <v>9720</v>
      </c>
      <c r="P22" s="112">
        <f>P16*Assumptions!$F$99</f>
        <v>31500</v>
      </c>
      <c r="Q22" s="112">
        <f t="shared" si="3"/>
        <v>42516</v>
      </c>
      <c r="R22" s="112">
        <f>R16*Assumptions!$F$97</f>
        <v>5760</v>
      </c>
      <c r="S22" s="112">
        <f>S16*Assumptions!$F$98</f>
        <v>32400</v>
      </c>
      <c r="T22" s="112">
        <f>T16*Assumptions!$F$99</f>
        <v>63000</v>
      </c>
      <c r="U22" s="112">
        <f t="shared" si="4"/>
        <v>101160</v>
      </c>
    </row>
    <row r="23" spans="1:21">
      <c r="A23" s="57" t="s">
        <v>767</v>
      </c>
      <c r="B23" s="111">
        <f>SUM(B19:B22)</f>
        <v>31.2</v>
      </c>
      <c r="C23" s="111">
        <f>SUM(C19:C22)</f>
        <v>720</v>
      </c>
      <c r="D23" s="111">
        <f>SUM(D19:D22)</f>
        <v>15120</v>
      </c>
      <c r="E23" s="111">
        <f t="shared" si="0"/>
        <v>15871.2</v>
      </c>
      <c r="F23" s="111">
        <f>SUM(F19:F22)</f>
        <v>312</v>
      </c>
      <c r="G23" s="111">
        <f>SUM(G19:G22)</f>
        <v>5040</v>
      </c>
      <c r="H23" s="111">
        <f>SUM(H19:H22)</f>
        <v>59400</v>
      </c>
      <c r="I23" s="111">
        <f t="shared" si="1"/>
        <v>64752</v>
      </c>
      <c r="J23" s="111">
        <f>SUM(J19:J22)</f>
        <v>1872</v>
      </c>
      <c r="K23" s="111">
        <f>SUM(K19:K22)</f>
        <v>17280</v>
      </c>
      <c r="L23" s="111">
        <f>SUM(L19:L22)</f>
        <v>129600</v>
      </c>
      <c r="M23" s="111">
        <f t="shared" si="2"/>
        <v>148752</v>
      </c>
      <c r="N23" s="112">
        <f>SUM(N19:N22)</f>
        <v>5616</v>
      </c>
      <c r="O23" s="112">
        <f>SUM(O19:O22)</f>
        <v>38880</v>
      </c>
      <c r="P23" s="112">
        <f>SUM(P19:P22)</f>
        <v>162000</v>
      </c>
      <c r="Q23" s="112">
        <f t="shared" si="3"/>
        <v>206496</v>
      </c>
      <c r="R23" s="112">
        <f>SUM(R19:R22)</f>
        <v>24960</v>
      </c>
      <c r="S23" s="112">
        <f>SUM(S19:S22)</f>
        <v>129600</v>
      </c>
      <c r="T23" s="112">
        <f>SUM(T19:T22)</f>
        <v>324000</v>
      </c>
      <c r="U23" s="112">
        <f t="shared" si="4"/>
        <v>478560</v>
      </c>
    </row>
    <row r="24" spans="1:21">
      <c r="A24" s="57" t="s">
        <v>768</v>
      </c>
      <c r="B24" s="111">
        <f>SUM(B12,B14,B18)</f>
        <v>627</v>
      </c>
      <c r="C24" s="111">
        <f>SUM(C12,C14,C18)</f>
        <v>5475</v>
      </c>
      <c r="D24" s="111">
        <f>SUM(D12,D14,D18)</f>
        <v>37800</v>
      </c>
      <c r="E24" s="111">
        <f t="shared" si="0"/>
        <v>43902</v>
      </c>
      <c r="F24" s="111">
        <f>SUM(F12,F14,F18)</f>
        <v>8160</v>
      </c>
      <c r="G24" s="111">
        <f>SUM(G12,G14,G18)</f>
        <v>47696.25</v>
      </c>
      <c r="H24" s="111">
        <f>SUM(H12,H14,H18)</f>
        <v>166237.5</v>
      </c>
      <c r="I24" s="111">
        <f t="shared" si="1"/>
        <v>222093.75</v>
      </c>
      <c r="J24" s="111">
        <f>SUM(J12,J14,J18)</f>
        <v>64269</v>
      </c>
      <c r="K24" s="111">
        <f>SUM(K12,K14,K18)</f>
        <v>206905.5</v>
      </c>
      <c r="L24" s="111">
        <f>SUM(L12,L14,L18)</f>
        <v>439245</v>
      </c>
      <c r="M24" s="111">
        <f t="shared" si="2"/>
        <v>710419.5</v>
      </c>
      <c r="N24" s="112">
        <f>SUM(N12,N14,N18)</f>
        <v>254808.45</v>
      </c>
      <c r="O24" s="112">
        <f>SUM(O12,O14,O18)</f>
        <v>597290.45625000005</v>
      </c>
      <c r="P24" s="112">
        <f>SUM(P12,P14,P18)</f>
        <v>678225.9375</v>
      </c>
      <c r="Q24" s="112">
        <f t="shared" si="3"/>
        <v>1530324.84375</v>
      </c>
      <c r="R24" s="112">
        <f>SUM(R12,R14,R18)</f>
        <v>1504490.7</v>
      </c>
      <c r="S24" s="112">
        <f>SUM(S12,S14,S18)</f>
        <v>2583857.0531250001</v>
      </c>
      <c r="T24" s="112">
        <f>SUM(T12,T14,T18)</f>
        <v>1705210.0312499998</v>
      </c>
      <c r="U24" s="112">
        <f t="shared" si="4"/>
        <v>5793557.7843749998</v>
      </c>
    </row>
    <row r="25" spans="1:21">
      <c r="A25" s="57" t="s">
        <v>769</v>
      </c>
      <c r="B25" s="111">
        <f t="shared" ref="B25:U25" si="5">B24-B23</f>
        <v>595.79999999999995</v>
      </c>
      <c r="C25" s="111">
        <f t="shared" si="5"/>
        <v>4755</v>
      </c>
      <c r="D25" s="111">
        <f t="shared" si="5"/>
        <v>22680</v>
      </c>
      <c r="E25" s="111">
        <f t="shared" si="5"/>
        <v>28030.799999999999</v>
      </c>
      <c r="F25" s="111">
        <f t="shared" si="5"/>
        <v>7848</v>
      </c>
      <c r="G25" s="111">
        <f t="shared" si="5"/>
        <v>42656.25</v>
      </c>
      <c r="H25" s="111">
        <f t="shared" si="5"/>
        <v>106837.5</v>
      </c>
      <c r="I25" s="111">
        <f t="shared" si="5"/>
        <v>157341.75</v>
      </c>
      <c r="J25" s="111">
        <f t="shared" si="5"/>
        <v>62397</v>
      </c>
      <c r="K25" s="111">
        <f t="shared" si="5"/>
        <v>189625.5</v>
      </c>
      <c r="L25" s="111">
        <f t="shared" si="5"/>
        <v>309645</v>
      </c>
      <c r="M25" s="111">
        <f t="shared" si="5"/>
        <v>561667.5</v>
      </c>
      <c r="N25" s="112">
        <f t="shared" si="5"/>
        <v>249192.45</v>
      </c>
      <c r="O25" s="112">
        <f t="shared" si="5"/>
        <v>558410.45625000005</v>
      </c>
      <c r="P25" s="112">
        <f t="shared" si="5"/>
        <v>516225.9375</v>
      </c>
      <c r="Q25" s="112">
        <f t="shared" si="5"/>
        <v>1323828.84375</v>
      </c>
      <c r="R25" s="112">
        <f t="shared" si="5"/>
        <v>1479530.7</v>
      </c>
      <c r="S25" s="112">
        <f t="shared" si="5"/>
        <v>2454257.0531250001</v>
      </c>
      <c r="T25" s="112">
        <f t="shared" si="5"/>
        <v>1381210.0312499998</v>
      </c>
      <c r="U25" s="112">
        <f t="shared" si="5"/>
        <v>5314997.7843749998</v>
      </c>
    </row>
    <row r="26" spans="1:21">
      <c r="A26" s="57" t="s">
        <v>770</v>
      </c>
      <c r="B26" s="62">
        <f t="shared" ref="B26:U26" si="6">IF(B24=0,0,B25/B24)</f>
        <v>0.95023923444976066</v>
      </c>
      <c r="C26" s="62">
        <f t="shared" si="6"/>
        <v>0.86849315068493149</v>
      </c>
      <c r="D26" s="62">
        <f t="shared" si="6"/>
        <v>0.6</v>
      </c>
      <c r="E26" s="62">
        <f t="shared" si="6"/>
        <v>0.63848571819051525</v>
      </c>
      <c r="F26" s="62">
        <f t="shared" si="6"/>
        <v>0.96176470588235297</v>
      </c>
      <c r="G26" s="62">
        <f t="shared" si="6"/>
        <v>0.89433131535498078</v>
      </c>
      <c r="H26" s="62">
        <f t="shared" si="6"/>
        <v>0.64267990074441683</v>
      </c>
      <c r="I26" s="62">
        <f t="shared" si="6"/>
        <v>0.70844744617982269</v>
      </c>
      <c r="J26" s="62">
        <f t="shared" si="6"/>
        <v>0.97087242683097608</v>
      </c>
      <c r="K26" s="62">
        <f t="shared" si="6"/>
        <v>0.91648361208377738</v>
      </c>
      <c r="L26" s="62">
        <f t="shared" si="6"/>
        <v>0.70494826349759243</v>
      </c>
      <c r="M26" s="62">
        <f t="shared" si="6"/>
        <v>0.79061385561629427</v>
      </c>
      <c r="N26" s="85">
        <f t="shared" si="6"/>
        <v>0.97795991459466902</v>
      </c>
      <c r="O26" s="85">
        <f t="shared" si="6"/>
        <v>0.93490604178726988</v>
      </c>
      <c r="P26" s="85">
        <f t="shared" si="6"/>
        <v>0.76114154436920223</v>
      </c>
      <c r="Q26" s="85">
        <f t="shared" si="6"/>
        <v>0.86506394322528946</v>
      </c>
      <c r="R26" s="85">
        <f t="shared" si="6"/>
        <v>0.98340966813553587</v>
      </c>
      <c r="S26" s="85">
        <f t="shared" si="6"/>
        <v>0.94984242652152229</v>
      </c>
      <c r="T26" s="85">
        <f t="shared" si="6"/>
        <v>0.80999408045794064</v>
      </c>
      <c r="U26" s="85">
        <f t="shared" si="6"/>
        <v>0.91739790681113809</v>
      </c>
    </row>
    <row r="27" spans="1:21">
      <c r="A27" s="57" t="s">
        <v>771</v>
      </c>
      <c r="B27" s="113">
        <f>B4*Assumptions!$F$100</f>
        <v>0.05</v>
      </c>
      <c r="C27" s="113">
        <f>C4*Assumptions!$F$101</f>
        <v>0.75</v>
      </c>
      <c r="D27" s="113">
        <f>D4*Assumptions!$F$102</f>
        <v>3.5</v>
      </c>
      <c r="E27" s="113">
        <f>SUM(B27:D27)</f>
        <v>4.3</v>
      </c>
      <c r="F27" s="113">
        <f>F4*Assumptions!$F$100</f>
        <v>0.1</v>
      </c>
      <c r="G27" s="113">
        <f>G4*Assumptions!$F$101</f>
        <v>1.0499999999999998</v>
      </c>
      <c r="H27" s="113">
        <f>H4*Assumptions!$F$102</f>
        <v>2.75</v>
      </c>
      <c r="I27" s="113">
        <f>SUM(F27:H27)</f>
        <v>3.9</v>
      </c>
      <c r="J27" s="113">
        <f>J4*Assumptions!$F$100</f>
        <v>0.2</v>
      </c>
      <c r="K27" s="113">
        <f>K4*Assumptions!$F$101</f>
        <v>1.2000000000000002</v>
      </c>
      <c r="L27" s="113">
        <f>L4*Assumptions!$F$102</f>
        <v>2</v>
      </c>
      <c r="M27" s="113">
        <f>SUM(J27:L27)</f>
        <v>3.4000000000000004</v>
      </c>
      <c r="N27" s="114">
        <f>N4*Assumptions!$F$100</f>
        <v>0.3</v>
      </c>
      <c r="O27" s="114">
        <f>O4*Assumptions!$F$101</f>
        <v>1.35</v>
      </c>
      <c r="P27" s="114">
        <f>P4*Assumptions!$F$102</f>
        <v>1.25</v>
      </c>
      <c r="Q27" s="114">
        <f>SUM(N27:P27)</f>
        <v>2.9000000000000004</v>
      </c>
      <c r="R27" s="114">
        <f>R4*Assumptions!$F$100</f>
        <v>0.4</v>
      </c>
      <c r="S27" s="114">
        <f>S4*Assumptions!$F$101</f>
        <v>1.35</v>
      </c>
      <c r="T27" s="114">
        <f>T4*Assumptions!$F$102</f>
        <v>0.75</v>
      </c>
      <c r="U27" s="114">
        <f>SUM(R27:T27)</f>
        <v>2.5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5.0274999999999999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4.03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3.01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1.99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1.2949999999999999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8"/>
  <sheetViews>
    <sheetView workbookViewId="0"/>
  </sheetViews>
  <sheetFormatPr defaultRowHeight="14.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IF(1=1,IFERROR(ROUND(-MIN(Scenario_Low_PL!C7,Scenario_Low_PL!C70)*(Scenario_Low_PL!C14/Scenario_Low_PL!C7)*Assumptions!$F$115,0),0),0)</f>
        <v>-8455</v>
      </c>
      <c r="C5" s="71">
        <f>IF(2=1,IFERROR(ROUND(-MIN(Scenario_Low_PL!D7,Scenario_Low_PL!D70)*(Scenario_Low_PL!D14/Scenario_Low_PL!D7)*Assumptions!$F$115,0),0),0)</f>
        <v>0</v>
      </c>
      <c r="D5" s="71">
        <f>IF(3=1,IFERROR(ROUND(-MIN(Scenario_Low_PL!E7,Scenario_Low_PL!E70)*(Scenario_Low_PL!E14/Scenario_Low_PL!E7)*Assumptions!$F$115,0),0),0)</f>
        <v>0</v>
      </c>
      <c r="E5" s="89">
        <f>IF(4=1,IFERROR(ROUND(-MIN(Scenario_Low_PL!F7,Scenario_Low_PL!F70)*(Scenario_Low_PL!F14/Scenario_Low_PL!F7)*Assumptions!$F$115,0),0),0)</f>
        <v>0</v>
      </c>
      <c r="F5" s="89">
        <f>IF(5=1,IFERROR(ROUND(-MIN(Scenario_Low_PL!G7,Scenario_Low_PL!G70)*(Scenario_Low_PL!G14/Scenario_Low_PL!G7)*Assumptions!$F$115,0),0),0)</f>
        <v>0</v>
      </c>
      <c r="G5" s="89">
        <f>IF(4=1,IFERROR(ROUND(-MIN(Scenario_Low_PL!F7,Scenario_Low_PL!F70)*(Scenario_Low_PL!F14/Scenario_Low_PL!F7)*Assumptions!$F$115,0),0),0)</f>
        <v>0</v>
      </c>
    </row>
    <row r="6" spans="1:7" ht="18" customHeight="1">
      <c r="A6" s="69" t="s">
        <v>1155</v>
      </c>
      <c r="B6" s="71">
        <f>ROUND(Scenario_Low_Tiers!C5*Assumptions!$F$116*Assumptions!$F$118+Scenario_Low_Tiers!D5*Assumptions!$F$117*Assumptions!$F$119,0)</f>
        <v>2745</v>
      </c>
      <c r="C6" s="71">
        <f>ROUND(Scenario_Low_Tiers!G5*Assumptions!$F$116*Assumptions!$F$118+Scenario_Low_Tiers!H5*Assumptions!$F$117*Assumptions!$F$119,0)</f>
        <v>11475</v>
      </c>
      <c r="D6" s="71">
        <f>ROUND(Scenario_Low_Tiers!K5*Assumptions!$F$116*Assumptions!$F$118+Scenario_Low_Tiers!L5*Assumptions!$F$117*Assumptions!$F$119,0)</f>
        <v>27000</v>
      </c>
      <c r="E6" s="89">
        <f>ROUND(Scenario_Low_Tiers!O5*Assumptions!$F$116*Assumptions!$F$118+Scenario_Low_Tiers!P5*Assumptions!$F$117*Assumptions!$F$119,0)</f>
        <v>39150</v>
      </c>
      <c r="F6" s="89">
        <f>ROUND(Scenario_Low_Tiers!S5*Assumptions!$F$116*Assumptions!$F$118+Scenario_Low_Tiers!T5*Assumptions!$F$117*Assumptions!$F$119,0)</f>
        <v>94500</v>
      </c>
      <c r="G6" s="89">
        <f>ROUND(Scenario_Low_Tiers!O5*Assumptions!$F$116*Assumptions!$F$118+Scenario_Low_Tiers!P5*Assumptions!$F$117*Assumptions!$F$119,0)</f>
        <v>39150</v>
      </c>
    </row>
    <row r="7" spans="1:7" ht="18" customHeight="1">
      <c r="A7" s="68" t="s">
        <v>1156</v>
      </c>
      <c r="B7" s="92">
        <f>ROUND(Scenario_Low_PL!C11*Assumptions!$F$120,0)</f>
        <v>900</v>
      </c>
      <c r="C7" s="92">
        <f>ROUND(Scenario_Low_PL!D11*Assumptions!$F$120,0)</f>
        <v>4500</v>
      </c>
      <c r="D7" s="92">
        <f>ROUND(Scenario_Low_PL!E11*Assumptions!$F$120,0)</f>
        <v>13500</v>
      </c>
      <c r="E7" s="93">
        <f>ROUND(Scenario_Low_PL!F11*Assumptions!$F$120,0)</f>
        <v>27000</v>
      </c>
      <c r="F7" s="93">
        <f>ROUND(Scenario_Low_PL!G11*Assumptions!$F$120,0)</f>
        <v>90000</v>
      </c>
      <c r="G7" s="93" t="s">
        <v>1157</v>
      </c>
    </row>
    <row r="8" spans="1:7" ht="18" customHeight="1">
      <c r="A8" s="68" t="s">
        <v>1158</v>
      </c>
      <c r="B8" s="92">
        <f>ROUND(Scenario_Low_Tiers!D19*Assumptions!$F$121,0)</f>
        <v>1260</v>
      </c>
      <c r="C8" s="92">
        <f>ROUND(Scenario_Low_Tiers!H19*Assumptions!$F$121,0)</f>
        <v>4950</v>
      </c>
      <c r="D8" s="92">
        <f>ROUND(Scenario_Low_Tiers!L19*Assumptions!$F$121,0)</f>
        <v>10800</v>
      </c>
      <c r="E8" s="93">
        <f>ROUND(Scenario_Low_Tiers!P19*Assumptions!$F$121,0)</f>
        <v>13500</v>
      </c>
      <c r="F8" s="93">
        <f>ROUND(Scenario_Low_Tiers!T19*Assumptions!$F$121,0)</f>
        <v>27000</v>
      </c>
      <c r="G8" s="93">
        <f>ROUND(Scenario_Low_Tiers!P19*Assumptions!$F$121,0)</f>
        <v>13500</v>
      </c>
    </row>
    <row r="9" spans="1:7" ht="18" customHeight="1">
      <c r="A9" s="68" t="s">
        <v>1159</v>
      </c>
      <c r="B9" s="92">
        <f>ROUND(Scenario_Low_Tiers!D5*Assumptions!$F$122,0)</f>
        <v>3150</v>
      </c>
      <c r="C9" s="92">
        <f>ROUND(Scenario_Low_Tiers!H5*Assumptions!$F$122,0)</f>
        <v>12375</v>
      </c>
      <c r="D9" s="92">
        <f>ROUND(Scenario_Low_Tiers!L5*Assumptions!$F$122,0)</f>
        <v>27000</v>
      </c>
      <c r="E9" s="93">
        <f>ROUND(Scenario_Low_Tiers!P5*Assumptions!$F$122,0)</f>
        <v>33750</v>
      </c>
      <c r="F9" s="93">
        <f>ROUND(Scenario_Low_Tiers!T5*Assumptions!$F$122,0)</f>
        <v>67500</v>
      </c>
      <c r="G9" s="93">
        <f>ROUND(Scenario_Low_Tiers!P5*Assumptions!$F$122,0)</f>
        <v>33750</v>
      </c>
    </row>
    <row r="10" spans="1:7" ht="18" customHeight="1">
      <c r="A10" s="68" t="s">
        <v>1160</v>
      </c>
      <c r="B10" s="92">
        <f>ROUND(Scenario_Low_PL!C12*Assumptions!$F$124*Assumptions!$F$123,0)</f>
        <v>601</v>
      </c>
      <c r="C10" s="92">
        <f>ROUND(Scenario_Low_PL!D12*Assumptions!$F$124*Assumptions!$F$123,0)</f>
        <v>2682</v>
      </c>
      <c r="D10" s="92">
        <f>ROUND(Scenario_Low_PL!E12*Assumptions!$F$124*Assumptions!$F$123,0)</f>
        <v>6912</v>
      </c>
      <c r="E10" s="93">
        <f>ROUND(Scenario_Low_PL!F12*Assumptions!$F$124*Assumptions!$F$123,0)</f>
        <v>11556</v>
      </c>
      <c r="F10" s="93">
        <f>ROUND(Scenario_Low_PL!G12*Assumptions!$F$124*Assumptions!$F$123,0)</f>
        <v>32760</v>
      </c>
      <c r="G10" s="93">
        <f>ROUND(Scenario_Low_PL!F12*Assumptions!$F$124*Assumptions!$F$123,0)</f>
        <v>11556</v>
      </c>
    </row>
    <row r="11" spans="1:7" ht="18" customHeight="1">
      <c r="A11" s="68" t="s">
        <v>1161</v>
      </c>
      <c r="B11" s="92">
        <f>ROUND(0,0)</f>
        <v>0</v>
      </c>
      <c r="C11" s="92">
        <f>ROUND(Assumptions!$C$17*Assumptions!$F$125,0)</f>
        <v>0</v>
      </c>
      <c r="D11" s="92">
        <f>ROUND(MAX(0,Assumptions!$C$113-Assumptions!$C$17)*Assumptions!$F$125,0)</f>
        <v>0</v>
      </c>
      <c r="E11" s="93">
        <f>ROUND(MAX(0,Assumptions!$C$163-Assumptions!$C$113)*Assumptions!$F$125,0)</f>
        <v>7500</v>
      </c>
      <c r="F11" s="93">
        <f>ROUND(MAX(0,Assumptions!$C$164-Assumptions!$C$163)*Assumptions!$F$125,0)</f>
        <v>15000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ROUND(Assumptions!$C$17*Assumptions!$F$126*12,0)</f>
        <v>0</v>
      </c>
      <c r="D12" s="92">
        <f>ROUND(Assumptions!$C$113*Assumptions!$F$126*12,0)</f>
        <v>0</v>
      </c>
      <c r="E12" s="93">
        <f>ROUND(Assumptions!$C$163*Assumptions!$F$126*12,0)</f>
        <v>9000</v>
      </c>
      <c r="F12" s="93">
        <f>ROUND(Assumptions!$C$164*Assumptions!$F$126*12,0)</f>
        <v>27000</v>
      </c>
      <c r="G12" s="93" t="s">
        <v>1164</v>
      </c>
    </row>
    <row r="13" spans="1:7" ht="18" customHeight="1">
      <c r="A13" s="69" t="s">
        <v>1165</v>
      </c>
      <c r="B13" s="71">
        <f>ROUND(Scenario_Low_PL!C7*Assumptions!$F$127,0)</f>
        <v>180</v>
      </c>
      <c r="C13" s="71">
        <f>ROUND(Scenario_Low_PL!D7*Assumptions!$F$127,0)</f>
        <v>900</v>
      </c>
      <c r="D13" s="71">
        <f>ROUND(Scenario_Low_PL!E7*Assumptions!$F$127,0)</f>
        <v>2700</v>
      </c>
      <c r="E13" s="89">
        <f>ROUND(Scenario_Low_PL!F7*Assumptions!$F$127,0)</f>
        <v>5400</v>
      </c>
      <c r="F13" s="89">
        <f>ROUND(Scenario_Low_PL!G7*Assumptions!$F$127,0)</f>
        <v>18000</v>
      </c>
      <c r="G13" s="89">
        <f>ROUND(Scenario_Low_PL!F7*Assumptions!$F$127,0)</f>
        <v>5400</v>
      </c>
    </row>
    <row r="14" spans="1:7" ht="18" customHeight="1">
      <c r="A14" s="69" t="s">
        <v>1149</v>
      </c>
      <c r="B14" s="71">
        <f>ROUND(Assumptions!$F$128*Assumptions!$F$129*Assumptions!$F$130*Scenario_Low_PL!C9,0)</f>
        <v>0</v>
      </c>
      <c r="C14" s="71">
        <f>ROUND(Assumptions!$F$128*Assumptions!$F$129*Assumptions!$F$130*Scenario_Low_PL!D9,0)</f>
        <v>0</v>
      </c>
      <c r="D14" s="71">
        <f>ROUND(Assumptions!$F$128*Assumptions!$F$129*Assumptions!$F$130*Scenario_Low_PL!E9,0)</f>
        <v>0</v>
      </c>
      <c r="E14" s="89">
        <f>ROUND(Assumptions!$F$128*Assumptions!$F$129*Assumptions!$F$130*Scenario_Low_PL!F9,0)</f>
        <v>0</v>
      </c>
      <c r="F14" s="89">
        <f>ROUND(Assumptions!$F$128*Assumptions!$F$129*Assumptions!$F$130*Scenario_Low_PL!G9,0)</f>
        <v>0</v>
      </c>
      <c r="G14" s="89">
        <f>ROUND(Assumptions!$F$128*Assumptions!$F$129*Assumptions!$F$130*Scenario_Low_PL!F9,0)</f>
        <v>0</v>
      </c>
    </row>
    <row r="15" spans="1:7" ht="18" customHeight="1">
      <c r="A15" s="72" t="s">
        <v>1166</v>
      </c>
      <c r="B15" s="73">
        <f>ROUND(SUM(B5:B14),0)</f>
        <v>381</v>
      </c>
      <c r="C15" s="73">
        <f>ROUND(SUM(C5:C14),0)</f>
        <v>36882</v>
      </c>
      <c r="D15" s="73">
        <f>ROUND(SUM(D5:D14),0)</f>
        <v>87912</v>
      </c>
      <c r="E15" s="90">
        <f>ROUND(SUM(E5:E14),0)</f>
        <v>146856</v>
      </c>
      <c r="F15" s="90">
        <f>ROUND(SUM(F5:F14),0)</f>
        <v>371760</v>
      </c>
      <c r="G15" s="90">
        <f>ROUND(SUM(E5:E14),0)</f>
        <v>146856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ROUND(Scenario_Low_PL!C7*Assumptions!$F$136*Assumptions!$F$137,0)</f>
        <v>288</v>
      </c>
      <c r="C18" s="71">
        <f>ROUND(Scenario_Low_PL!D7*Assumptions!$F$136*Assumptions!$F$137,0)</f>
        <v>1440</v>
      </c>
      <c r="D18" s="71">
        <f>ROUND(Scenario_Low_PL!E7*Assumptions!$F$136*Assumptions!$F$137,0)</f>
        <v>4320</v>
      </c>
      <c r="E18" s="89">
        <f>ROUND(Scenario_Low_PL!F7*Assumptions!$F$136*Assumptions!$F$137,0)</f>
        <v>8640</v>
      </c>
      <c r="F18" s="89">
        <f>ROUND(Scenario_Low_PL!G7*Assumptions!$F$136*Assumptions!$F$137,0)</f>
        <v>28800</v>
      </c>
      <c r="G18" s="89">
        <f>ROUND(Scenario_Low_PL!F7*Assumptions!$F$136*Assumptions!$F$137,0)</f>
        <v>8640</v>
      </c>
    </row>
    <row r="19" spans="1:7" ht="18" customHeight="1">
      <c r="A19" s="69" t="s">
        <v>435</v>
      </c>
      <c r="B19" s="71">
        <f>ROUND(Scenario_Low_PL!C7*Assumptions!$F$138*Assumptions!$F$139,0)</f>
        <v>2700</v>
      </c>
      <c r="C19" s="71">
        <f>ROUND(Scenario_Low_PL!D7*Assumptions!$F$138*Assumptions!$F$139,0)</f>
        <v>13500</v>
      </c>
      <c r="D19" s="71">
        <f>ROUND(Scenario_Low_PL!E7*Assumptions!$F$138*Assumptions!$F$139,0)</f>
        <v>40500</v>
      </c>
      <c r="E19" s="89">
        <f>ROUND(Scenario_Low_PL!F7*Assumptions!$F$138*Assumptions!$F$139,0)</f>
        <v>81000</v>
      </c>
      <c r="F19" s="89">
        <f>ROUND(Scenario_Low_PL!G7*Assumptions!$F$138*Assumptions!$F$139,0)</f>
        <v>270000</v>
      </c>
      <c r="G19" s="89">
        <f>ROUND(Scenario_Low_PL!F7*Assumptions!$F$138*Assumptions!$F$139,0)</f>
        <v>81000</v>
      </c>
    </row>
    <row r="20" spans="1:7" ht="18" customHeight="1">
      <c r="A20" s="69" t="s">
        <v>1168</v>
      </c>
      <c r="B20" s="71">
        <f>ROUND(Scenario_Low_PL!C18*Assumptions!$F$140,0)</f>
        <v>443</v>
      </c>
      <c r="C20" s="71">
        <f>ROUND(Scenario_Low_PL!D18*Assumptions!$F$140,0)</f>
        <v>2590</v>
      </c>
      <c r="D20" s="71">
        <f>ROUND(Scenario_Low_PL!E18*Assumptions!$F$140,0)</f>
        <v>7983</v>
      </c>
      <c r="E20" s="89">
        <f>ROUND(Scenario_Low_PL!F18*Assumptions!$F$140,0)</f>
        <v>16772</v>
      </c>
      <c r="F20" s="89">
        <f>ROUND(Scenario_Low_PL!G18*Assumptions!$F$140,0)</f>
        <v>61653</v>
      </c>
      <c r="G20" s="89">
        <f>ROUND(Scenario_Low_PL!F18*Assumptions!$F$140,0)</f>
        <v>16772</v>
      </c>
    </row>
    <row r="21" spans="1:7" ht="18" customHeight="1">
      <c r="A21" s="69" t="s">
        <v>446</v>
      </c>
      <c r="B21" s="71">
        <f>ROUND(Scenario_Low_PL!C18*Assumptions!$F$144,0)</f>
        <v>2214</v>
      </c>
      <c r="C21" s="71">
        <f>ROUND(Scenario_Low_PL!D18*Assumptions!$F$144,0)</f>
        <v>12949</v>
      </c>
      <c r="D21" s="71">
        <f>ROUND(Scenario_Low_PL!E18*Assumptions!$F$144,0)</f>
        <v>39917</v>
      </c>
      <c r="E21" s="89">
        <f>ROUND(Scenario_Low_PL!F18*Assumptions!$F$144,0)</f>
        <v>83859</v>
      </c>
      <c r="F21" s="89">
        <f>ROUND(Scenario_Low_PL!G18*Assumptions!$F$144,0)</f>
        <v>308266</v>
      </c>
      <c r="G21" s="89">
        <f>ROUND(Scenario_Low_PL!F18*Assumptions!$F$144,0)</f>
        <v>83859</v>
      </c>
    </row>
    <row r="22" spans="1:7" ht="18" customHeight="1">
      <c r="A22" s="69" t="s">
        <v>448</v>
      </c>
      <c r="B22" s="71">
        <f>ROUND((B7+B10+B12)*Assumptions!$F$145,0)</f>
        <v>15</v>
      </c>
      <c r="C22" s="71">
        <f>ROUND((C7+C10+C12)*Assumptions!$F$145,0)</f>
        <v>72</v>
      </c>
      <c r="D22" s="71">
        <f>ROUND((D7+D10+D12)*Assumptions!$F$145,0)</f>
        <v>204</v>
      </c>
      <c r="E22" s="89">
        <f>ROUND((E7+E10+E12)*Assumptions!$F$145,0)</f>
        <v>476</v>
      </c>
      <c r="F22" s="89">
        <f>ROUND((F7+F10+F12)*Assumptions!$F$145,0)</f>
        <v>1498</v>
      </c>
      <c r="G22" s="89">
        <f>ROUND((E7+E10+E12)*Assumptions!$F$145,0)</f>
        <v>476</v>
      </c>
    </row>
    <row r="23" spans="1:7" ht="18" customHeight="1">
      <c r="A23" s="69" t="s">
        <v>1169</v>
      </c>
      <c r="B23" s="71">
        <f>ROUND(Scenario_Low_Tiers!C5*Assumptions!$F$146*Assumptions!$F$147,0)</f>
        <v>34</v>
      </c>
      <c r="C23" s="71">
        <f>ROUND(Scenario_Low_Tiers!G5*Assumptions!$F$146*Assumptions!$F$147,0)</f>
        <v>236</v>
      </c>
      <c r="D23" s="71">
        <f>ROUND(Scenario_Low_Tiers!K5*Assumptions!$F$146*Assumptions!$F$147,0)</f>
        <v>810</v>
      </c>
      <c r="E23" s="89">
        <f>ROUND(Scenario_Low_Tiers!O5*Assumptions!$F$146*Assumptions!$F$147,0)</f>
        <v>1823</v>
      </c>
      <c r="F23" s="89">
        <f>ROUND(Scenario_Low_Tiers!S5*Assumptions!$F$146*Assumptions!$F$147,0)</f>
        <v>6075</v>
      </c>
      <c r="G23" s="89">
        <f>ROUND(Scenario_Low_Tiers!O5*Assumptions!$F$146*Assumptions!$F$147,0)</f>
        <v>1823</v>
      </c>
    </row>
    <row r="24" spans="1:7" ht="18" customHeight="1">
      <c r="A24" s="74" t="s">
        <v>1170</v>
      </c>
      <c r="B24" s="75">
        <f>ROUND(SUM(B18:B23),0)</f>
        <v>5694</v>
      </c>
      <c r="C24" s="75">
        <f>ROUND(SUM(C18:C23),0)</f>
        <v>30787</v>
      </c>
      <c r="D24" s="75">
        <f>ROUND(SUM(D18:D23),0)</f>
        <v>93734</v>
      </c>
      <c r="E24" s="115">
        <f>ROUND(SUM(E18:E23),0)</f>
        <v>192570</v>
      </c>
      <c r="F24" s="115">
        <f>ROUND(SUM(F18:F23),0)</f>
        <v>676292</v>
      </c>
      <c r="G24" s="115">
        <f>ROUND(SUM(E18:E23),0)</f>
        <v>192570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74"/>
  <sheetViews>
    <sheetView workbookViewId="0"/>
  </sheetViews>
  <sheetFormatPr defaultColWidth="8.6328125" defaultRowHeight="14.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Assumptions!$C$11</f>
        <v>60</v>
      </c>
      <c r="D7" s="94">
        <f>Assumptions!$C$12</f>
        <v>300</v>
      </c>
      <c r="E7" s="94">
        <f>Assumptions!$C$13</f>
        <v>900</v>
      </c>
      <c r="F7" s="95">
        <f>Assumptions!$C$155</f>
        <v>1800</v>
      </c>
      <c r="G7" s="95">
        <f>Assumptions!$C$156</f>
        <v>6000</v>
      </c>
      <c r="H7" s="95" t="s">
        <v>622</v>
      </c>
    </row>
    <row r="8" spans="2:8" ht="15" customHeight="1">
      <c r="B8" s="7" t="s">
        <v>623</v>
      </c>
      <c r="C8" s="203">
        <f>Assumptions!$F$14</f>
        <v>30000</v>
      </c>
      <c r="D8" s="203">
        <f>C8*(1+Assumptions!$F$15)</f>
        <v>40500</v>
      </c>
      <c r="E8" s="203">
        <f>D8*(1+Assumptions!$F$15)</f>
        <v>54675</v>
      </c>
      <c r="F8" s="205">
        <f>E8*(1+Assumptions!$F$15)</f>
        <v>73811.25</v>
      </c>
      <c r="G8" s="205">
        <f>F8*(1+Assumptions!$F$15)</f>
        <v>99645.1875</v>
      </c>
      <c r="H8" s="97" t="s">
        <v>624</v>
      </c>
    </row>
    <row r="9" spans="2:8" ht="21.75" customHeight="1">
      <c r="B9" s="7" t="s">
        <v>625</v>
      </c>
      <c r="C9" s="98">
        <f>C7*C8</f>
        <v>1800000</v>
      </c>
      <c r="D9" s="98">
        <f>D7*D8</f>
        <v>12150000</v>
      </c>
      <c r="E9" s="98">
        <f>E7*E8</f>
        <v>49207500</v>
      </c>
      <c r="F9" s="99">
        <f>F7*F8</f>
        <v>132860250</v>
      </c>
      <c r="G9" s="99">
        <f>G7*G8</f>
        <v>597871125</v>
      </c>
      <c r="H9" s="99" t="s">
        <v>626</v>
      </c>
    </row>
    <row r="10" spans="2:8" ht="15" customHeight="1">
      <c r="B10" s="7" t="s">
        <v>627</v>
      </c>
      <c r="C10" s="94">
        <f>Scenario_Low_Tiers!E7</f>
        <v>477</v>
      </c>
      <c r="D10" s="94">
        <f>Scenario_Low_Tiers!I7</f>
        <v>2205</v>
      </c>
      <c r="E10" s="94">
        <f>Scenario_Low_Tiers!M7</f>
        <v>5940</v>
      </c>
      <c r="F10" s="95">
        <f>Scenario_Low_Tiers!Q7</f>
        <v>10530</v>
      </c>
      <c r="G10" s="95">
        <f>Scenario_Low_Tiers!U7</f>
        <v>31500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60</v>
      </c>
      <c r="D11" s="100">
        <f>D7*Assumptions!$F$16*Assumptions!$F$62</f>
        <v>300</v>
      </c>
      <c r="E11" s="100">
        <f>E7*Assumptions!$F$16*Assumptions!$F$62</f>
        <v>900</v>
      </c>
      <c r="F11" s="101">
        <f>F7*Assumptions!$F$16*Assumptions!$F$62</f>
        <v>1800</v>
      </c>
      <c r="G11" s="101">
        <f>G7*Assumptions!$F$16*Assumptions!$F$62</f>
        <v>6000</v>
      </c>
      <c r="H11" s="101" t="s">
        <v>630</v>
      </c>
    </row>
    <row r="12" spans="2:8" ht="15" customHeight="1">
      <c r="B12" s="7" t="s">
        <v>631</v>
      </c>
      <c r="C12" s="94">
        <f>Scenario_Low_Tiers!E16</f>
        <v>10.02</v>
      </c>
      <c r="D12" s="94">
        <f>Scenario_Low_Tiers!I16</f>
        <v>44.7</v>
      </c>
      <c r="E12" s="94">
        <f>Scenario_Low_Tiers!M16</f>
        <v>115.2</v>
      </c>
      <c r="F12" s="95">
        <f>Scenario_Low_Tiers!Q16</f>
        <v>192.6</v>
      </c>
      <c r="G12" s="95">
        <f>Scenario_Low_Tiers!U16</f>
        <v>546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Scenario_Low_Tiers!E12</f>
        <v>25365</v>
      </c>
      <c r="D14" s="96">
        <f>Scenario_Low_Tiers!I12</f>
        <v>143673.75</v>
      </c>
      <c r="E14" s="96">
        <f>Scenario_Low_Tiers!M12</f>
        <v>521599.5</v>
      </c>
      <c r="F14" s="97">
        <f>Scenario_Low_Tiers!Q12</f>
        <v>1245564.84375</v>
      </c>
      <c r="G14" s="97">
        <f>Scenario_Low_Tiers!U12</f>
        <v>5066957.7843749998</v>
      </c>
      <c r="H14" s="97" t="s">
        <v>635</v>
      </c>
    </row>
    <row r="15" spans="2:8" ht="15" customHeight="1">
      <c r="B15" s="7" t="s">
        <v>636</v>
      </c>
      <c r="C15" s="96">
        <f>Scenario_Low_Tiers!E14</f>
        <v>14025</v>
      </c>
      <c r="D15" s="96">
        <f>Scenario_Low_Tiers!I14</f>
        <v>59700</v>
      </c>
      <c r="E15" s="96">
        <f>Scenario_Low_Tiers!M14</f>
        <v>144900</v>
      </c>
      <c r="F15" s="97">
        <f>Scenario_Low_Tiers!Q14</f>
        <v>221400</v>
      </c>
      <c r="G15" s="97">
        <f>Scenario_Low_Tiers!U14</f>
        <v>573000</v>
      </c>
      <c r="H15" s="97" t="s">
        <v>637</v>
      </c>
    </row>
    <row r="16" spans="2:8" ht="15" customHeight="1">
      <c r="B16" s="7" t="s">
        <v>638</v>
      </c>
      <c r="C16" s="96">
        <f>Scenario_Low_Tiers!E18</f>
        <v>4512</v>
      </c>
      <c r="D16" s="96">
        <f>Scenario_Low_Tiers!I18</f>
        <v>18720</v>
      </c>
      <c r="E16" s="96">
        <f>Scenario_Low_Tiers!M18</f>
        <v>43920</v>
      </c>
      <c r="F16" s="97">
        <f>Scenario_Low_Tiers!Q18</f>
        <v>63360</v>
      </c>
      <c r="G16" s="97">
        <f>Scenario_Low_Tiers!U18</f>
        <v>153600</v>
      </c>
      <c r="H16" s="97" t="s">
        <v>639</v>
      </c>
    </row>
    <row r="17" spans="2:8" ht="21.75" customHeight="1">
      <c r="B17" s="7" t="s">
        <v>640</v>
      </c>
      <c r="C17" s="98">
        <f>Scenario_Low_AddOns!B15</f>
        <v>381</v>
      </c>
      <c r="D17" s="96">
        <f>Scenario_Low_AddOns!C15</f>
        <v>36882</v>
      </c>
      <c r="E17" s="96">
        <f>Scenario_Low_AddOns!D15</f>
        <v>87912</v>
      </c>
      <c r="F17" s="97">
        <f>Scenario_Low_AddOns!E15</f>
        <v>146856</v>
      </c>
      <c r="G17" s="97">
        <f>Scenario_Low_AddOns!F15</f>
        <v>371760</v>
      </c>
      <c r="H17" s="97" t="s">
        <v>641</v>
      </c>
    </row>
    <row r="18" spans="2:8" ht="15" customHeight="1">
      <c r="B18" s="17" t="s">
        <v>642</v>
      </c>
      <c r="C18" s="102">
        <f>SUM(C14:C17)</f>
        <v>44283</v>
      </c>
      <c r="D18" s="102">
        <f>SUM(D14:D17)</f>
        <v>258975.75</v>
      </c>
      <c r="E18" s="102">
        <f>SUM(E14:E17)</f>
        <v>798331.5</v>
      </c>
      <c r="F18" s="103">
        <f>SUM(F14:F17)</f>
        <v>1677180.84375</v>
      </c>
      <c r="G18" s="103">
        <f>SUM(G14:G17)</f>
        <v>6165317.7843749998</v>
      </c>
      <c r="H18" s="103">
        <f>SUM(F14:F17)</f>
        <v>1677180.84375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11.179687499999998</v>
      </c>
      <c r="D20" s="96">
        <f>D10*Assumptions!$F$19/Assumptions!$F$8</f>
        <v>51.679687499999993</v>
      </c>
      <c r="E20" s="96">
        <f>E10*Assumptions!$F$19/Assumptions!$F$8</f>
        <v>139.21875</v>
      </c>
      <c r="F20" s="97">
        <f>F10*Assumptions!$F$19/Assumptions!$F$8</f>
        <v>246.79687499999997</v>
      </c>
      <c r="G20" s="97">
        <f>G10*Assumptions!$F$19/Assumptions!$F$8</f>
        <v>738.28125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164.0625</v>
      </c>
      <c r="D21" s="96">
        <f>D11*Assumptions!$F$20/Assumptions!$F$8</f>
        <v>820.3125</v>
      </c>
      <c r="E21" s="96">
        <f>E11*Assumptions!$F$20/Assumptions!$F$8</f>
        <v>2460.9375</v>
      </c>
      <c r="F21" s="97">
        <f>F11*Assumptions!$F$20/Assumptions!$F$8</f>
        <v>4921.875</v>
      </c>
      <c r="G21" s="97">
        <f>G11*Assumptions!$F$20/Assumptions!$F$8</f>
        <v>16406.25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63.28125</v>
      </c>
      <c r="D22" s="96">
        <f>D11*Assumptions!$F$21/Assumptions!$F$8</f>
        <v>316.40625</v>
      </c>
      <c r="E22" s="96">
        <f>E11*Assumptions!$F$21/Assumptions!$F$8</f>
        <v>949.21875</v>
      </c>
      <c r="F22" s="97">
        <f>F11*Assumptions!$F$21/Assumptions!$F$8</f>
        <v>1898.4375</v>
      </c>
      <c r="G22" s="97">
        <f>G11*Assumptions!$F$21/Assumptions!$F$8</f>
        <v>6328.1250000000009</v>
      </c>
      <c r="H22" s="97" t="s">
        <v>650</v>
      </c>
    </row>
    <row r="23" spans="2:8" ht="15" customHeight="1">
      <c r="B23" s="7" t="s">
        <v>651</v>
      </c>
      <c r="C23" s="96">
        <f>Scenario_Low_Tiers!E19+Scenario_Low_Tiers!E20</f>
        <v>11808</v>
      </c>
      <c r="D23" s="96">
        <f>Scenario_Low_Tiers!I19+Scenario_Low_Tiers!I20</f>
        <v>47880</v>
      </c>
      <c r="E23" s="96">
        <f>Scenario_Low_Tiers!M19+Scenario_Low_Tiers!M20</f>
        <v>109080</v>
      </c>
      <c r="F23" s="97">
        <f>Scenario_Low_Tiers!Q19+Scenario_Low_Tiers!Q20</f>
        <v>149040</v>
      </c>
      <c r="G23" s="97">
        <f>Scenario_Low_Tiers!U19+Scenario_Low_Tiers!U20</f>
        <v>338400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9.375</v>
      </c>
      <c r="D24" s="96">
        <f>D7*Assumptions!$F$22/Assumptions!$F$8</f>
        <v>46.875</v>
      </c>
      <c r="E24" s="96">
        <f>E7*Assumptions!$F$22/Assumptions!$F$8</f>
        <v>140.625</v>
      </c>
      <c r="F24" s="97">
        <f>F7*Assumptions!$F$22/Assumptions!$F$8</f>
        <v>281.25</v>
      </c>
      <c r="G24" s="97">
        <f>G7*Assumptions!$F$22/Assumptions!$F$8</f>
        <v>937.5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0.46875</v>
      </c>
      <c r="D25" s="96">
        <f>D7*Assumptions!$F$23/Assumptions!$F$8</f>
        <v>2.34375</v>
      </c>
      <c r="E25" s="96">
        <f>E7*Assumptions!$F$23/Assumptions!$F$8</f>
        <v>7.03125</v>
      </c>
      <c r="F25" s="97">
        <f>F7*Assumptions!$F$23/Assumptions!$F$8</f>
        <v>14.0625</v>
      </c>
      <c r="G25" s="97">
        <f>G7*Assumptions!$F$23/Assumptions!$F$8</f>
        <v>46.875</v>
      </c>
      <c r="H25" s="97">
        <f>F7*Assumptions!$F$23/Assumptions!$F$8</f>
        <v>14.0625</v>
      </c>
    </row>
    <row r="26" spans="2:8" ht="15" customHeight="1">
      <c r="B26" s="7" t="s">
        <v>657</v>
      </c>
      <c r="C26" s="96">
        <f>C7*Assumptions!$F$24/Assumptions!$F$8</f>
        <v>1.4062499999999998</v>
      </c>
      <c r="D26" s="96">
        <f>D7*Assumptions!$F$24/Assumptions!$F$8</f>
        <v>7.03125</v>
      </c>
      <c r="E26" s="96">
        <f>E7*Assumptions!$F$24/Assumptions!$F$8</f>
        <v>21.09375</v>
      </c>
      <c r="F26" s="97">
        <f>F7*Assumptions!$F$24/Assumptions!$F$8</f>
        <v>42.1875</v>
      </c>
      <c r="G26" s="97">
        <f>G7*Assumptions!$F$24/Assumptions!$F$8</f>
        <v>140.625</v>
      </c>
      <c r="H26" s="97">
        <f>F7*Assumptions!$F$24/Assumptions!$F$8</f>
        <v>42.1875</v>
      </c>
    </row>
    <row r="27" spans="2:8" ht="15" customHeight="1">
      <c r="B27" s="7" t="s">
        <v>659</v>
      </c>
      <c r="C27" s="96">
        <f>Scenario_Low_Tiers!E21</f>
        <v>936</v>
      </c>
      <c r="D27" s="96">
        <f>Scenario_Low_Tiers!I21</f>
        <v>3990</v>
      </c>
      <c r="E27" s="96">
        <f>Scenario_Low_Tiers!M21</f>
        <v>9720</v>
      </c>
      <c r="F27" s="97">
        <f>Scenario_Low_Tiers!Q21</f>
        <v>14940</v>
      </c>
      <c r="G27" s="97">
        <f>Scenario_Low_Tiers!U21</f>
        <v>39000</v>
      </c>
      <c r="H27" s="97" t="s">
        <v>660</v>
      </c>
    </row>
    <row r="28" spans="2:8" ht="15" customHeight="1">
      <c r="B28" s="7" t="s">
        <v>661</v>
      </c>
      <c r="C28" s="96">
        <f>Scenario_Low_Tiers!E22+Scenario_Low_AddOns!B24</f>
        <v>8821.2000000000007</v>
      </c>
      <c r="D28" s="96">
        <f>Scenario_Low_Tiers!I22+Scenario_Low_AddOns!C24</f>
        <v>43669</v>
      </c>
      <c r="E28" s="96">
        <f>Scenario_Low_Tiers!M22+Scenario_Low_AddOns!D24</f>
        <v>123686</v>
      </c>
      <c r="F28" s="97">
        <f>Scenario_Low_Tiers!Q22+Scenario_Low_AddOns!E24</f>
        <v>235086</v>
      </c>
      <c r="G28" s="97">
        <f>Scenario_Low_Tiers!U22+Scenario_Low_AddOns!F24</f>
        <v>777452</v>
      </c>
      <c r="H28" s="97" t="s">
        <v>662</v>
      </c>
    </row>
    <row r="29" spans="2:8" ht="15" customHeight="1">
      <c r="B29" s="17" t="s">
        <v>663</v>
      </c>
      <c r="C29" s="102">
        <f>SUM(C20:C28)</f>
        <v>21814.973437500001</v>
      </c>
      <c r="D29" s="102">
        <f>SUM(D20:D28)</f>
        <v>96783.6484375</v>
      </c>
      <c r="E29" s="102">
        <f>SUM(E20:E28)</f>
        <v>246204.125</v>
      </c>
      <c r="F29" s="103">
        <f>SUM(F20:F28)</f>
        <v>406470.609375</v>
      </c>
      <c r="G29" s="103">
        <f>SUM(G20:G28)</f>
        <v>1179449.65625</v>
      </c>
      <c r="H29" s="103">
        <f>SUM(F20:F28)</f>
        <v>406470.609375</v>
      </c>
    </row>
    <row r="30" spans="2:8" ht="15" customHeight="1">
      <c r="B30" s="25" t="s">
        <v>665</v>
      </c>
      <c r="C30" s="104">
        <f>C18-C29</f>
        <v>22468.026562499999</v>
      </c>
      <c r="D30" s="104">
        <f>D18-D29</f>
        <v>162192.1015625</v>
      </c>
      <c r="E30" s="104">
        <f>E18-E29</f>
        <v>552127.375</v>
      </c>
      <c r="F30" s="105">
        <f>F18-F29</f>
        <v>1270710.234375</v>
      </c>
      <c r="G30" s="105">
        <f>G18-G29</f>
        <v>4985868.1281249998</v>
      </c>
      <c r="H30" s="105">
        <f>F18-F29</f>
        <v>1270710.234375</v>
      </c>
    </row>
    <row r="31" spans="2:8" ht="15" customHeight="1">
      <c r="B31" s="7" t="s">
        <v>667</v>
      </c>
      <c r="C31" s="26">
        <f>IF(C18=0,0,C30/C18)</f>
        <v>0.50737363237585531</v>
      </c>
      <c r="D31" s="26">
        <f>IF(D18=0,0,D30/D18)</f>
        <v>0.62628296882043977</v>
      </c>
      <c r="E31" s="26">
        <f>IF(E18=0,0,E30/E18)</f>
        <v>0.69160164042130368</v>
      </c>
      <c r="F31" s="84">
        <f>IF(F18=0,0,F30/F18)</f>
        <v>0.7576465228006215</v>
      </c>
      <c r="G31" s="84">
        <f>IF(G18=0,0,G30/G18)</f>
        <v>0.80869604820060947</v>
      </c>
      <c r="H31" s="84">
        <f>IF(F18=0,0,F30/F18)</f>
        <v>0.7576465228006215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2</v>
      </c>
      <c r="D33" s="94">
        <f>Assumptions!$F$39</f>
        <v>2</v>
      </c>
      <c r="E33" s="94">
        <f>Assumptions!$F$39</f>
        <v>2</v>
      </c>
      <c r="F33" s="95">
        <f>Assumptions!$F$39</f>
        <v>2</v>
      </c>
      <c r="G33" s="95">
        <f>Assumptions!$F$39</f>
        <v>2</v>
      </c>
      <c r="H33" s="95">
        <f>Assumptions!$F$39</f>
        <v>2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1</v>
      </c>
      <c r="D35" s="94">
        <f>Assumptions!$F$41+1</f>
        <v>2</v>
      </c>
      <c r="E35" s="94">
        <f>Assumptions!$F$41+2</f>
        <v>3</v>
      </c>
      <c r="F35" s="95">
        <f>Assumptions!$F$41+3</f>
        <v>4</v>
      </c>
      <c r="G35" s="95">
        <f>Assumptions!$F$41+4</f>
        <v>5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07">
        <f>F33+F34+F35+F36</f>
        <v>15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340000</v>
      </c>
      <c r="D38" s="96">
        <f>D33*Assumptions!$F$44+D34*Assumptions!$F$45+D35*Assumptions!$F$46+D36*Assumptions!$F$47</f>
        <v>520000</v>
      </c>
      <c r="E38" s="96">
        <f>E33*Assumptions!$F$44+E34*Assumptions!$F$45+E35*Assumptions!$F$46+E36*Assumptions!$F$47</f>
        <v>700000</v>
      </c>
      <c r="F38" s="97">
        <f>F33*Assumptions!$F$44+F34*Assumptions!$F$45+F35*Assumptions!$F$46+F36*Assumptions!$F$47</f>
        <v>880000</v>
      </c>
      <c r="G38" s="97">
        <f>G33*Assumptions!$F$44+G34*Assumptions!$F$45+G35*Assumptions!$F$46+G36*Assumptions!$F$47</f>
        <v>1060000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36000</v>
      </c>
      <c r="D39" s="96">
        <f>MAX(0,(D38-Assumptions!$F$49*D37)*Assumptions!$F$48-Assumptions!$F$60)</f>
        <v>60750</v>
      </c>
      <c r="E39" s="96">
        <f>MAX(0,(E38-Assumptions!$F$49*E37)*Assumptions!$F$48-Assumptions!$F$60)</f>
        <v>85500</v>
      </c>
      <c r="F39" s="97">
        <f>MAX(0,(F38-Assumptions!$F$49*F37)*Assumptions!$F$48-Assumptions!$F$60)</f>
        <v>110250</v>
      </c>
      <c r="G39" s="97">
        <f>MAX(0,(G38-Assumptions!$F$49*G37)*Assumptions!$F$48-Assumptions!$F$60)</f>
        <v>135000</v>
      </c>
      <c r="H39" s="97" t="s">
        <v>681</v>
      </c>
    </row>
    <row r="40" spans="2:8" ht="15" customHeight="1">
      <c r="B40" s="7" t="s">
        <v>682</v>
      </c>
      <c r="C40" s="96">
        <f>C38*Assumptions!$F$50</f>
        <v>13600</v>
      </c>
      <c r="D40" s="96">
        <f>D38*Assumptions!$F$50</f>
        <v>20800</v>
      </c>
      <c r="E40" s="96">
        <f>E38*Assumptions!$F$50</f>
        <v>28000</v>
      </c>
      <c r="F40" s="97">
        <f>F38*Assumptions!$F$50</f>
        <v>35200</v>
      </c>
      <c r="G40" s="97">
        <f>G38*Assumptions!$F$50</f>
        <v>42400</v>
      </c>
      <c r="H40" s="97">
        <f>F38*Assumptions!$F$50</f>
        <v>35200</v>
      </c>
    </row>
    <row r="41" spans="2:8" ht="15" customHeight="1">
      <c r="B41" s="7" t="s">
        <v>249</v>
      </c>
      <c r="C41" s="96">
        <f>C38*Assumptions!$F$51</f>
        <v>10200</v>
      </c>
      <c r="D41" s="96">
        <f>D38*Assumptions!$F$51</f>
        <v>15600</v>
      </c>
      <c r="E41" s="96">
        <f>E38*Assumptions!$F$51</f>
        <v>21000</v>
      </c>
      <c r="F41" s="97">
        <f>F38*Assumptions!$F$51</f>
        <v>26400</v>
      </c>
      <c r="G41" s="97">
        <f>G38*Assumptions!$F$51</f>
        <v>31800</v>
      </c>
      <c r="H41" s="97">
        <f>F38*Assumptions!$F$51</f>
        <v>26400</v>
      </c>
    </row>
    <row r="42" spans="2:8" ht="15" customHeight="1">
      <c r="B42" s="17" t="s">
        <v>685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03">
        <f>F38+F39+F40+F41</f>
        <v>1051850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3000</v>
      </c>
      <c r="D44" s="96">
        <f>Assumptions!$F$26*12*1.5</f>
        <v>4500</v>
      </c>
      <c r="E44" s="96">
        <f>Assumptions!$F$26*12*2.5</f>
        <v>7500</v>
      </c>
      <c r="F44" s="97">
        <f>Assumptions!$F$26*12*4</f>
        <v>12000</v>
      </c>
      <c r="G44" s="97">
        <f>Assumptions!$F$26*12*6</f>
        <v>18000</v>
      </c>
      <c r="H44" s="97" t="s">
        <v>688</v>
      </c>
    </row>
    <row r="45" spans="2:8" ht="15" customHeight="1">
      <c r="B45" s="7" t="s">
        <v>200</v>
      </c>
      <c r="C45" s="96">
        <f>Assumptions!$F$27*12*1</f>
        <v>1440</v>
      </c>
      <c r="D45" s="96">
        <f>Assumptions!$F$27*12*1.5</f>
        <v>2160</v>
      </c>
      <c r="E45" s="96">
        <f>Assumptions!$F$27*12*2.5</f>
        <v>3600</v>
      </c>
      <c r="F45" s="97">
        <f>Assumptions!$F$27*12*4</f>
        <v>5760</v>
      </c>
      <c r="G45" s="97">
        <f>Assumptions!$F$27*12*6</f>
        <v>8640</v>
      </c>
      <c r="H45" s="97" t="s">
        <v>688</v>
      </c>
    </row>
    <row r="46" spans="2:8" ht="15" customHeight="1">
      <c r="B46" s="7" t="s">
        <v>202</v>
      </c>
      <c r="C46" s="96">
        <f>Assumptions!$F$28*12*1</f>
        <v>1800</v>
      </c>
      <c r="D46" s="96">
        <f>Assumptions!$F$28*12*1.5</f>
        <v>2700</v>
      </c>
      <c r="E46" s="96">
        <f>Assumptions!$F$28*12*2.5</f>
        <v>4500</v>
      </c>
      <c r="F46" s="97">
        <f>Assumptions!$F$28*12*4</f>
        <v>7200</v>
      </c>
      <c r="G46" s="97">
        <f>Assumptions!$F$28*12*6</f>
        <v>10800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720</v>
      </c>
      <c r="D47" s="96">
        <f>Assumptions!$F$29*12*D37/6</f>
        <v>1080</v>
      </c>
      <c r="E47" s="96">
        <f>Assumptions!$F$29*12*E37/6</f>
        <v>1440</v>
      </c>
      <c r="F47" s="97">
        <f>Assumptions!$F$29*12*F37/6</f>
        <v>1800</v>
      </c>
      <c r="G47" s="97">
        <f>Assumptions!$F$29*12*G37/6</f>
        <v>2160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1080</v>
      </c>
      <c r="D48" s="96">
        <f>Assumptions!$F$30*12*D37/6</f>
        <v>1620</v>
      </c>
      <c r="E48" s="96">
        <f>Assumptions!$F$30*12*E37/6</f>
        <v>2160</v>
      </c>
      <c r="F48" s="97">
        <f>Assumptions!$F$30*12*F37/6</f>
        <v>2700</v>
      </c>
      <c r="G48" s="97">
        <f>Assumptions!$F$30*12*G37/6</f>
        <v>3240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Assumptions!$F$34*12*1+Scenario_Low_AddOns!B36</f>
        <v>194400</v>
      </c>
      <c r="D52" s="96">
        <f>Assumptions!$F$34*12*1.5+Scenario_Low_AddOns!C36</f>
        <v>162850</v>
      </c>
      <c r="E52" s="96">
        <f>Assumptions!$F$34*12*2+Scenario_Low_AddOns!D36</f>
        <v>186300</v>
      </c>
      <c r="F52" s="97">
        <f>Assumptions!$F$34*12*2.5+Scenario_Low_AddOns!E36</f>
        <v>217250</v>
      </c>
      <c r="G52" s="97">
        <f>Assumptions!$F$34*12*3+Scenario_Low_AddOns!F36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18000</v>
      </c>
      <c r="D53" s="96">
        <f>Assumptions!$F$35*12*2</f>
        <v>36000</v>
      </c>
      <c r="E53" s="96">
        <f>Assumptions!$F$35*12*3</f>
        <v>54000</v>
      </c>
      <c r="F53" s="97">
        <f>Assumptions!$F$35*12*4</f>
        <v>72000</v>
      </c>
      <c r="G53" s="97">
        <f>Assumptions!$F$35*12*5</f>
        <v>90000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4800</v>
      </c>
      <c r="D54" s="96">
        <f>Assumptions!$F$36*12*D37/6</f>
        <v>7200</v>
      </c>
      <c r="E54" s="96">
        <f>Assumptions!$F$36*12*E37/6</f>
        <v>9600</v>
      </c>
      <c r="F54" s="97">
        <f>Assumptions!$F$36*12*F37/6</f>
        <v>12000</v>
      </c>
      <c r="G54" s="97">
        <f>Assumptions!$F$36*12*G37/6</f>
        <v>14400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03">
        <f>SUM(F44:F55)</f>
        <v>370400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702</v>
      </c>
    </row>
    <row r="61" spans="2:8" ht="21.75" customHeight="1">
      <c r="B61" s="25" t="s">
        <v>703</v>
      </c>
      <c r="C61" s="104">
        <f>C30-C42-C56</f>
        <v>-614931.97343749995</v>
      </c>
      <c r="D61" s="104">
        <f>D30-D42-D56</f>
        <v>-699437.8984375</v>
      </c>
      <c r="E61" s="104">
        <f>E30-E42-E56</f>
        <v>-583452.625</v>
      </c>
      <c r="F61" s="105">
        <f>F30-F42-F56</f>
        <v>-151539.765625</v>
      </c>
      <c r="G61" s="105">
        <f>G30-G42-G56</f>
        <v>3273828.1281249998</v>
      </c>
      <c r="H61" s="105" t="s">
        <v>704</v>
      </c>
    </row>
    <row r="62" spans="2:8" ht="15" customHeight="1">
      <c r="B62" s="27" t="s">
        <v>705</v>
      </c>
      <c r="C62" s="108">
        <f>C30-C60</f>
        <v>-856044.42343749991</v>
      </c>
      <c r="D62" s="108">
        <f>D30-D60</f>
        <v>-699437.8984375</v>
      </c>
      <c r="E62" s="108">
        <f>E30-E60</f>
        <v>-583452.625</v>
      </c>
      <c r="F62" s="109">
        <f>F30-F60</f>
        <v>-151539.765625</v>
      </c>
      <c r="G62" s="109">
        <f>G30-G60</f>
        <v>3273828.1281249998</v>
      </c>
      <c r="H62" s="109">
        <f>F30-F60</f>
        <v>-151539.765625</v>
      </c>
    </row>
    <row r="63" spans="2:8" ht="15" customHeight="1">
      <c r="B63" s="25" t="s">
        <v>707</v>
      </c>
      <c r="C63" s="104">
        <f>C62</f>
        <v>-856044.42343749991</v>
      </c>
      <c r="D63" s="104">
        <f>C63+D62</f>
        <v>-1555482.3218749999</v>
      </c>
      <c r="E63" s="104">
        <f>D63+E62</f>
        <v>-2138934.9468749999</v>
      </c>
      <c r="F63" s="105">
        <f>E63+F62</f>
        <v>-2290474.7124999999</v>
      </c>
      <c r="G63" s="105">
        <f>F63+G62</f>
        <v>983353.41562499991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1112857.75046875</v>
      </c>
      <c r="D64" s="98">
        <f>-MIN(0,C63,D63)*(1+Assumptions!$F$58)</f>
        <v>2022127.0184374999</v>
      </c>
      <c r="E64" s="98">
        <f>-MIN(0,C63,D63,E63)*(1+Assumptions!$F$58)</f>
        <v>2780615.4309375002</v>
      </c>
      <c r="F64" s="99">
        <f>-MIN(0,C63,D63,E63,F63)*(1+Assumptions!$F$58)</f>
        <v>2977617.1262500002</v>
      </c>
      <c r="G64" s="99">
        <f>-MIN(0,C63,D63,E63,F63,G63)*(1+Assumptions!$F$58)</f>
        <v>2977617.1262500002</v>
      </c>
      <c r="H64" s="99" t="s">
        <v>710</v>
      </c>
    </row>
    <row r="65" spans="2:8">
      <c r="B65" s="66" t="s">
        <v>711</v>
      </c>
      <c r="C65" s="67">
        <f>ROUND(Scenario_Low_AddOns!B41,0)</f>
        <v>240000</v>
      </c>
      <c r="D65" s="67">
        <f>ROUND(Scenario_Low_AddOns!C41,0)</f>
        <v>0</v>
      </c>
      <c r="E65" s="67">
        <f>ROUND(Scenario_Low_AddOns!D41,0)</f>
        <v>0</v>
      </c>
      <c r="F65" s="110">
        <f>ROUND(Scenario_Low_AddOns!E41,0)</f>
        <v>0</v>
      </c>
      <c r="G65" s="110">
        <f>ROUND(Scenario_Low_AddOns!F41,0)</f>
        <v>0</v>
      </c>
      <c r="H65" s="110" t="s">
        <v>712</v>
      </c>
    </row>
    <row r="66" spans="2:8">
      <c r="B66" s="66" t="s">
        <v>713</v>
      </c>
      <c r="C66" s="67">
        <f>ROUND(C64+C65,0)</f>
        <v>1352858</v>
      </c>
      <c r="D66" s="67">
        <f>ROUND(D64+D65,0)</f>
        <v>2022127</v>
      </c>
      <c r="E66" s="67">
        <f>ROUND(E64+E65,0)</f>
        <v>2780615</v>
      </c>
      <c r="F66" s="110">
        <f>ROUND(F64+F65,0)</f>
        <v>2977617</v>
      </c>
      <c r="G66" s="110">
        <f>ROUND(G64+G65,0)</f>
        <v>2977617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Assumptions!$C$110</f>
        <v>1.5</v>
      </c>
      <c r="D69" s="63">
        <f>Assumptions!$C$111</f>
        <v>2</v>
      </c>
      <c r="E69" s="63">
        <f>Assumptions!$C$112</f>
        <v>2.5</v>
      </c>
      <c r="F69" s="86">
        <f>Assumptions!$C$165</f>
        <v>3</v>
      </c>
      <c r="G69" s="86">
        <f>Assumptions!$C$166</f>
        <v>4</v>
      </c>
      <c r="H69" s="86" t="s">
        <v>717</v>
      </c>
    </row>
    <row r="70" spans="2:8">
      <c r="B70" t="s">
        <v>718</v>
      </c>
      <c r="C70" s="63">
        <f>IF(C69=0,0,C7/C69)</f>
        <v>40</v>
      </c>
      <c r="D70" s="63">
        <f>IF(D69=0,0,D7/D69)</f>
        <v>150</v>
      </c>
      <c r="E70" s="63">
        <f>IF(E69=0,0,E7/E69)</f>
        <v>360</v>
      </c>
      <c r="F70" s="86">
        <f>IF(F69=0,0,F7/F69)</f>
        <v>600</v>
      </c>
      <c r="G70" s="86">
        <f>IF(G69=0,0,G7/G69)</f>
        <v>1500</v>
      </c>
      <c r="H70" s="86" t="s">
        <v>719</v>
      </c>
    </row>
    <row r="71" spans="2:8">
      <c r="B71" t="s">
        <v>720</v>
      </c>
      <c r="C71" s="111">
        <f>IF(C7=0,0,C18/C7)</f>
        <v>738.05</v>
      </c>
      <c r="D71" s="111">
        <f>IF(D7=0,0,D18/D7)</f>
        <v>863.25250000000005</v>
      </c>
      <c r="E71" s="111">
        <f>IF(E7=0,0,E18/E7)</f>
        <v>887.03499999999997</v>
      </c>
      <c r="F71" s="112">
        <f>IF(F7=0,0,F18/F7)</f>
        <v>931.76713541666663</v>
      </c>
      <c r="G71" s="112">
        <f>IF(G7=0,0,G18/G7)</f>
        <v>1027.5529640625</v>
      </c>
      <c r="H71" s="112" t="s">
        <v>721</v>
      </c>
    </row>
    <row r="72" spans="2:8">
      <c r="B72" t="s">
        <v>722</v>
      </c>
      <c r="C72" s="111">
        <f>IF(C70=0,0,C18/C70)</f>
        <v>1107.075</v>
      </c>
      <c r="D72" s="111">
        <f>IF(D70=0,0,D18/D70)</f>
        <v>1726.5050000000001</v>
      </c>
      <c r="E72" s="111">
        <f>IF(E70=0,0,E18/E70)</f>
        <v>2217.5875000000001</v>
      </c>
      <c r="F72" s="112">
        <f>IF(F70=0,0,F18/F70)</f>
        <v>2795.3014062500001</v>
      </c>
      <c r="G72" s="112">
        <f>IF(G70=0,0,G18/G70)</f>
        <v>4110.21185625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Below threshold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0"/>
  <sheetViews>
    <sheetView workbookViewId="0"/>
  </sheetViews>
  <sheetFormatPr defaultRowHeight="14.5"/>
  <cols>
    <col min="1" max="1" width="34" customWidth="1"/>
    <col min="2" max="21" width="15" customWidth="1"/>
  </cols>
  <sheetData>
    <row r="1" spans="1:21" ht="18.5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Assumptions!$D$64</f>
        <v>0.15</v>
      </c>
      <c r="C4" s="62">
        <f>Assumptions!$D$65</f>
        <v>0.45</v>
      </c>
      <c r="D4" s="62">
        <f>Assumptions!$D$66</f>
        <v>0.4</v>
      </c>
      <c r="E4" s="62">
        <f>SUM(B4:D4)</f>
        <v>1</v>
      </c>
      <c r="F4" s="62">
        <f>Assumptions!$D$67</f>
        <v>0.3</v>
      </c>
      <c r="G4" s="62">
        <f>Assumptions!$D$68</f>
        <v>0.45</v>
      </c>
      <c r="H4" s="62">
        <f>Assumptions!$D$69</f>
        <v>0.25</v>
      </c>
      <c r="I4" s="62">
        <f>SUM(F4:H4)</f>
        <v>1</v>
      </c>
      <c r="J4" s="62">
        <f>Assumptions!$D$70</f>
        <v>0.45</v>
      </c>
      <c r="K4" s="62">
        <f>Assumptions!$D$71</f>
        <v>0.4</v>
      </c>
      <c r="L4" s="62">
        <f>Assumptions!$D$72</f>
        <v>0.15</v>
      </c>
      <c r="M4" s="62">
        <f>SUM(J4:L4)</f>
        <v>1</v>
      </c>
      <c r="N4" s="85">
        <f>Assumptions!$D$157</f>
        <v>0.6</v>
      </c>
      <c r="O4" s="85">
        <f>Assumptions!$D$158</f>
        <v>0.32</v>
      </c>
      <c r="P4" s="85">
        <f>Assumptions!$D$159</f>
        <v>0.08</v>
      </c>
      <c r="Q4" s="85">
        <f>SUM(N4:P4)</f>
        <v>0.99999999999999989</v>
      </c>
      <c r="R4" s="85">
        <f>Assumptions!$D$160</f>
        <v>0.7</v>
      </c>
      <c r="S4" s="85">
        <f>Assumptions!$D$161</f>
        <v>0.25</v>
      </c>
      <c r="T4" s="85">
        <f>Assumptions!$D$162</f>
        <v>0.05</v>
      </c>
      <c r="U4" s="85">
        <f>SUM(R4:T4)</f>
        <v>1</v>
      </c>
    </row>
    <row r="5" spans="1:21">
      <c r="A5" s="57" t="s">
        <v>750</v>
      </c>
      <c r="B5" s="64">
        <f>Scenario_Base_PL!$C$7*B4</f>
        <v>27</v>
      </c>
      <c r="C5" s="64">
        <f>Scenario_Base_PL!$C$7*C4</f>
        <v>81</v>
      </c>
      <c r="D5" s="64">
        <f>Scenario_Base_PL!$C$7*D4</f>
        <v>72</v>
      </c>
      <c r="E5" s="64">
        <f>SUM(B5:D5)</f>
        <v>180</v>
      </c>
      <c r="F5" s="64">
        <f>Scenario_Base_PL!$D$7*F4</f>
        <v>270</v>
      </c>
      <c r="G5" s="64">
        <f>Scenario_Base_PL!$D$7*G4</f>
        <v>405</v>
      </c>
      <c r="H5" s="64">
        <f>Scenario_Base_PL!$D$7*H4</f>
        <v>225</v>
      </c>
      <c r="I5" s="64">
        <f>SUM(F5:H5)</f>
        <v>900</v>
      </c>
      <c r="J5" s="64">
        <f>Scenario_Base_PL!$E$7*J4</f>
        <v>1350</v>
      </c>
      <c r="K5" s="64">
        <f>Scenario_Base_PL!$E$7*K4</f>
        <v>1200</v>
      </c>
      <c r="L5" s="64">
        <f>Scenario_Base_PL!$E$7*L4</f>
        <v>450</v>
      </c>
      <c r="M5" s="64">
        <f>SUM(J5:L5)</f>
        <v>3000</v>
      </c>
      <c r="N5" s="87">
        <f>Scenario_Base_PL!$F$7*N4</f>
        <v>4500</v>
      </c>
      <c r="O5" s="87">
        <f>Scenario_Base_PL!$F$7*O4</f>
        <v>2400</v>
      </c>
      <c r="P5" s="87">
        <f>Scenario_Base_PL!$F$7*P4</f>
        <v>600</v>
      </c>
      <c r="Q5" s="87">
        <f>SUM(N5:P5)</f>
        <v>7500</v>
      </c>
      <c r="R5" s="87">
        <f>Scenario_Base_PL!$G$7*R4</f>
        <v>12600</v>
      </c>
      <c r="S5" s="87">
        <f>Scenario_Base_PL!$G$7*S4</f>
        <v>4500</v>
      </c>
      <c r="T5" s="87">
        <f>Scenario_Base_PL!$G$7*T4</f>
        <v>900</v>
      </c>
      <c r="U5" s="87">
        <f>SUM(R5:T5)</f>
        <v>18000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6.75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5.85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5.0999999999999996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4.4400000000000004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4.05</v>
      </c>
    </row>
    <row r="7" spans="1:21">
      <c r="A7" s="57" t="s">
        <v>627</v>
      </c>
      <c r="B7" s="64">
        <f>B5*B6</f>
        <v>81</v>
      </c>
      <c r="C7" s="64">
        <f>C5*C6</f>
        <v>486</v>
      </c>
      <c r="D7" s="64">
        <f>D5*D6</f>
        <v>648</v>
      </c>
      <c r="E7" s="64">
        <f>SUM(B7:D7)</f>
        <v>1215</v>
      </c>
      <c r="F7" s="64">
        <f>F5*F6</f>
        <v>810</v>
      </c>
      <c r="G7" s="64">
        <f>G5*G6</f>
        <v>2430</v>
      </c>
      <c r="H7" s="64">
        <f>H5*H6</f>
        <v>2025</v>
      </c>
      <c r="I7" s="64">
        <f>SUM(F7:H7)</f>
        <v>5265</v>
      </c>
      <c r="J7" s="64">
        <f>J5*J6</f>
        <v>4050</v>
      </c>
      <c r="K7" s="64">
        <f>K5*K6</f>
        <v>7200</v>
      </c>
      <c r="L7" s="64">
        <f>L5*L6</f>
        <v>4050</v>
      </c>
      <c r="M7" s="64">
        <f>SUM(J7:L7)</f>
        <v>15300</v>
      </c>
      <c r="N7" s="87">
        <f>N5*N6</f>
        <v>13500</v>
      </c>
      <c r="O7" s="87">
        <f>O5*O6</f>
        <v>14400</v>
      </c>
      <c r="P7" s="87">
        <f>P5*P6</f>
        <v>5400</v>
      </c>
      <c r="Q7" s="87">
        <f>SUM(N7:P7)</f>
        <v>33300</v>
      </c>
      <c r="R7" s="87">
        <f>R5*R6</f>
        <v>37800</v>
      </c>
      <c r="S7" s="87">
        <f>S5*S6</f>
        <v>27000</v>
      </c>
      <c r="T7" s="87">
        <f>T5*T6</f>
        <v>8100</v>
      </c>
      <c r="U7" s="87">
        <f>SUM(R7:T7)</f>
        <v>72900</v>
      </c>
    </row>
    <row r="8" spans="1:21">
      <c r="A8" s="57" t="s">
        <v>752</v>
      </c>
      <c r="B8" s="111">
        <f>Scenario_Base_PL!$C$8</f>
        <v>30000</v>
      </c>
      <c r="C8" s="111">
        <f>Scenario_Base_PL!$C$8</f>
        <v>30000</v>
      </c>
      <c r="D8" s="111">
        <f>Scenario_Base_PL!$C$8</f>
        <v>30000</v>
      </c>
      <c r="E8" s="111">
        <f>Scenario_Base_PL!$C$8</f>
        <v>30000</v>
      </c>
      <c r="F8" s="111">
        <f>Scenario_Base_PL!$D$8</f>
        <v>40500</v>
      </c>
      <c r="G8" s="111">
        <f>Scenario_Base_PL!$D$8</f>
        <v>40500</v>
      </c>
      <c r="H8" s="111">
        <f>Scenario_Base_PL!$D$8</f>
        <v>40500</v>
      </c>
      <c r="I8" s="111">
        <f>Scenario_Base_PL!$D$8</f>
        <v>40500</v>
      </c>
      <c r="J8" s="111">
        <f>Scenario_Base_PL!$E$8</f>
        <v>54675</v>
      </c>
      <c r="K8" s="111">
        <f>Scenario_Base_PL!$E$8</f>
        <v>54675</v>
      </c>
      <c r="L8" s="111">
        <f>Scenario_Base_PL!$E$8</f>
        <v>54675</v>
      </c>
      <c r="M8" s="111">
        <f>Scenario_Base_PL!$E$8</f>
        <v>54675</v>
      </c>
      <c r="N8" s="112">
        <f>Scenario_Base_PL!$F$8</f>
        <v>73811.25</v>
      </c>
      <c r="O8" s="112">
        <f>Scenario_Base_PL!$F$8</f>
        <v>73811.25</v>
      </c>
      <c r="P8" s="112">
        <f>Scenario_Base_PL!$F$8</f>
        <v>73811.25</v>
      </c>
      <c r="Q8" s="112">
        <f>Scenario_Base_PL!$F$8</f>
        <v>73811.25</v>
      </c>
      <c r="R8" s="112">
        <f>Scenario_Base_PL!$G$8</f>
        <v>99645.1875</v>
      </c>
      <c r="S8" s="112">
        <f>Scenario_Base_PL!$G$8</f>
        <v>99645.1875</v>
      </c>
      <c r="T8" s="112">
        <f>Scenario_Base_PL!$G$8</f>
        <v>99645.1875</v>
      </c>
      <c r="U8" s="112">
        <f>Scenario_Base_PL!$G$8</f>
        <v>99645.1875</v>
      </c>
    </row>
    <row r="9" spans="1:21">
      <c r="A9" s="57" t="s">
        <v>753</v>
      </c>
      <c r="B9" s="111">
        <f>B5*B8</f>
        <v>810000</v>
      </c>
      <c r="C9" s="111">
        <f>C5*C8</f>
        <v>2430000</v>
      </c>
      <c r="D9" s="111">
        <f>D5*D8</f>
        <v>2160000</v>
      </c>
      <c r="E9" s="111">
        <f>SUM(B9:D9)</f>
        <v>5400000</v>
      </c>
      <c r="F9" s="111">
        <f>F5*F8</f>
        <v>10935000</v>
      </c>
      <c r="G9" s="111">
        <f>G5*G8</f>
        <v>16402500</v>
      </c>
      <c r="H9" s="111">
        <f>H5*H8</f>
        <v>9112500</v>
      </c>
      <c r="I9" s="111">
        <f>SUM(F9:H9)</f>
        <v>36450000</v>
      </c>
      <c r="J9" s="111">
        <f>J5*J8</f>
        <v>73811250</v>
      </c>
      <c r="K9" s="111">
        <f>K5*K8</f>
        <v>65610000</v>
      </c>
      <c r="L9" s="111">
        <f>L5*L8</f>
        <v>24603750</v>
      </c>
      <c r="M9" s="111">
        <f>SUM(J9:L9)</f>
        <v>164025000</v>
      </c>
      <c r="N9" s="112">
        <f>N5*N8</f>
        <v>332150625</v>
      </c>
      <c r="O9" s="112">
        <f>O5*O8</f>
        <v>177147000</v>
      </c>
      <c r="P9" s="112">
        <f>P5*P8</f>
        <v>44286750</v>
      </c>
      <c r="Q9" s="112">
        <f>SUM(N9:P9)</f>
        <v>553584375</v>
      </c>
      <c r="R9" s="112">
        <f>R5*R8</f>
        <v>1255529362.5</v>
      </c>
      <c r="S9" s="112">
        <f>S5*S8</f>
        <v>448403343.75</v>
      </c>
      <c r="T9" s="112">
        <f>T5*T8</f>
        <v>89680668.75</v>
      </c>
      <c r="U9" s="112">
        <f>SUM(R9:T9)</f>
        <v>1793613375</v>
      </c>
    </row>
    <row r="10" spans="1:21">
      <c r="A10" s="57" t="s">
        <v>754</v>
      </c>
      <c r="B10" s="62">
        <f>Assumptions!$F$73</f>
        <v>6.0000000000000001E-3</v>
      </c>
      <c r="C10" s="62">
        <f>Assumptions!$F$74</f>
        <v>8.5000000000000006E-3</v>
      </c>
      <c r="D10" s="62">
        <f>Assumptions!$F$75</f>
        <v>1.4999999999999999E-2</v>
      </c>
      <c r="E10" s="62">
        <f>IF(E9=0,0,SUM(B9*B10,C9*C10,D9*D10)/E9)</f>
        <v>1.0725E-2</v>
      </c>
      <c r="F10" s="62">
        <f>Assumptions!$F$73</f>
        <v>6.0000000000000001E-3</v>
      </c>
      <c r="G10" s="62">
        <f>Assumptions!$F$74</f>
        <v>8.5000000000000006E-3</v>
      </c>
      <c r="H10" s="62">
        <f>Assumptions!$F$75</f>
        <v>1.4999999999999999E-2</v>
      </c>
      <c r="I10" s="62">
        <f>IF(I9=0,0,SUM(F9*F10,G9*G10,H9*H10)/I9)</f>
        <v>9.3749999999999997E-3</v>
      </c>
      <c r="J10" s="62">
        <f>Assumptions!$F$73</f>
        <v>6.0000000000000001E-3</v>
      </c>
      <c r="K10" s="62">
        <f>Assumptions!$F$74</f>
        <v>8.5000000000000006E-3</v>
      </c>
      <c r="L10" s="62">
        <f>Assumptions!$F$75</f>
        <v>1.4999999999999999E-2</v>
      </c>
      <c r="M10" s="62">
        <f>IF(M9=0,0,SUM(J9*J10,K9*K10,L9*L10)/M9)</f>
        <v>8.3499999999999998E-3</v>
      </c>
      <c r="N10" s="85">
        <f>Assumptions!$F$73</f>
        <v>6.0000000000000001E-3</v>
      </c>
      <c r="O10" s="85">
        <f>Assumptions!$F$74</f>
        <v>8.5000000000000006E-3</v>
      </c>
      <c r="P10" s="85">
        <f>Assumptions!$F$75</f>
        <v>1.4999999999999999E-2</v>
      </c>
      <c r="Q10" s="85">
        <f>IF(Q9=0,0,SUM(N9*N10,O9*O10,P9*P10)/Q9)</f>
        <v>7.5199999999999998E-3</v>
      </c>
      <c r="R10" s="85">
        <f>Assumptions!$F$73</f>
        <v>6.0000000000000001E-3</v>
      </c>
      <c r="S10" s="85">
        <f>Assumptions!$F$74</f>
        <v>8.5000000000000006E-3</v>
      </c>
      <c r="T10" s="85">
        <f>Assumptions!$F$75</f>
        <v>1.4999999999999999E-2</v>
      </c>
      <c r="U10" s="85">
        <f>IF(U9=0,0,SUM(R9*R10,S9*S10,T9*T10)/U9)</f>
        <v>7.0750000000000006E-3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335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282.5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242.5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210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192.5</v>
      </c>
    </row>
    <row r="12" spans="1:21">
      <c r="A12" s="57" t="s">
        <v>756</v>
      </c>
      <c r="B12" s="111">
        <f>B5*MAX(B8*B10,B11)</f>
        <v>4860</v>
      </c>
      <c r="C12" s="111">
        <f>C5*MAX(C8*C10,C11)</f>
        <v>20655.000000000004</v>
      </c>
      <c r="D12" s="111">
        <f>D5*MAX(D8*D10,D11)</f>
        <v>36000</v>
      </c>
      <c r="E12" s="111">
        <f>SUM(B12:D12)</f>
        <v>61515</v>
      </c>
      <c r="F12" s="111">
        <f>F5*MAX(F8*F10,F11)</f>
        <v>65610</v>
      </c>
      <c r="G12" s="111">
        <f>G5*MAX(G8*G10,G11)</f>
        <v>139421.25</v>
      </c>
      <c r="H12" s="111">
        <f>H5*MAX(H8*H10,H11)</f>
        <v>136687.5</v>
      </c>
      <c r="I12" s="111">
        <f>SUM(F12:H12)</f>
        <v>341718.75</v>
      </c>
      <c r="J12" s="111">
        <f>J5*MAX(J8*J10,J11)</f>
        <v>442867.5</v>
      </c>
      <c r="K12" s="111">
        <f>K5*MAX(K8*K10,K11)</f>
        <v>557685</v>
      </c>
      <c r="L12" s="111">
        <f>L5*MAX(L8*L10,L11)</f>
        <v>369056.25</v>
      </c>
      <c r="M12" s="111">
        <f>SUM(J12:L12)</f>
        <v>1369608.75</v>
      </c>
      <c r="N12" s="112">
        <f>N5*MAX(N8*N10,N11)</f>
        <v>1992903.75</v>
      </c>
      <c r="O12" s="112">
        <f>O5*MAX(O8*O10,O11)</f>
        <v>1505749.5</v>
      </c>
      <c r="P12" s="112">
        <f>P5*MAX(P8*P10,P11)</f>
        <v>664301.25</v>
      </c>
      <c r="Q12" s="112">
        <f>SUM(N12:P12)</f>
        <v>4162954.5</v>
      </c>
      <c r="R12" s="112">
        <f>R5*MAX(R8*R10,R11)</f>
        <v>7533176.1749999998</v>
      </c>
      <c r="S12" s="112">
        <f>S5*MAX(S8*S10,S11)</f>
        <v>3811428.4218750005</v>
      </c>
      <c r="T12" s="112">
        <f>T5*MAX(T8*T10,T11)</f>
        <v>1345210.0312499998</v>
      </c>
      <c r="U12" s="112">
        <f>SUM(R12:T12)</f>
        <v>12689814.628125001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164.25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123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92.25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67.8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55</v>
      </c>
    </row>
    <row r="14" spans="1:21">
      <c r="A14" s="57" t="s">
        <v>758</v>
      </c>
      <c r="B14" s="111">
        <f>B5*B13</f>
        <v>675</v>
      </c>
      <c r="C14" s="111">
        <f>C5*C13</f>
        <v>7290</v>
      </c>
      <c r="D14" s="111">
        <f>D5*D13</f>
        <v>21600</v>
      </c>
      <c r="E14" s="111">
        <f>SUM(B14:D14)</f>
        <v>29565</v>
      </c>
      <c r="F14" s="111">
        <f>F5*F13</f>
        <v>6750</v>
      </c>
      <c r="G14" s="111">
        <f>G5*G13</f>
        <v>36450</v>
      </c>
      <c r="H14" s="111">
        <f>H5*H13</f>
        <v>67500</v>
      </c>
      <c r="I14" s="111">
        <f>SUM(F14:H14)</f>
        <v>110700</v>
      </c>
      <c r="J14" s="111">
        <f>J5*J13</f>
        <v>33750</v>
      </c>
      <c r="K14" s="111">
        <f>K5*K13</f>
        <v>108000</v>
      </c>
      <c r="L14" s="111">
        <f>L5*L13</f>
        <v>135000</v>
      </c>
      <c r="M14" s="111">
        <f>SUM(J14:L14)</f>
        <v>276750</v>
      </c>
      <c r="N14" s="112">
        <f>N5*N13</f>
        <v>112500</v>
      </c>
      <c r="O14" s="112">
        <f>O5*O13</f>
        <v>216000</v>
      </c>
      <c r="P14" s="112">
        <f>P5*P13</f>
        <v>180000</v>
      </c>
      <c r="Q14" s="112">
        <f>SUM(N14:P14)</f>
        <v>508500</v>
      </c>
      <c r="R14" s="112">
        <f>R5*R13</f>
        <v>315000</v>
      </c>
      <c r="S14" s="112">
        <f>S5*S13</f>
        <v>405000</v>
      </c>
      <c r="T14" s="112">
        <f>T5*T13</f>
        <v>270000</v>
      </c>
      <c r="U14" s="112">
        <f>SUM(R14:T14)</f>
        <v>990000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0.13099999999999998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0.107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8.7999999999999995E-2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7.1999999999999995E-2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6.3E-2</v>
      </c>
    </row>
    <row r="16" spans="1:21">
      <c r="A16" s="57" t="s">
        <v>760</v>
      </c>
      <c r="B16" s="64">
        <f>B5*B15</f>
        <v>1.08</v>
      </c>
      <c r="C16" s="64">
        <f>C5*C15</f>
        <v>8.1</v>
      </c>
      <c r="D16" s="64">
        <f>D5*D15</f>
        <v>14.4</v>
      </c>
      <c r="E16" s="64">
        <f>SUM(B16:D16)</f>
        <v>23.58</v>
      </c>
      <c r="F16" s="64">
        <f>F5*F15</f>
        <v>10.8</v>
      </c>
      <c r="G16" s="64">
        <f>G5*G15</f>
        <v>40.5</v>
      </c>
      <c r="H16" s="64">
        <f>H5*H15</f>
        <v>45</v>
      </c>
      <c r="I16" s="64">
        <f>SUM(F16:H16)</f>
        <v>96.3</v>
      </c>
      <c r="J16" s="64">
        <f>J5*J15</f>
        <v>54</v>
      </c>
      <c r="K16" s="64">
        <f>K5*K15</f>
        <v>120</v>
      </c>
      <c r="L16" s="64">
        <f>L5*L15</f>
        <v>90</v>
      </c>
      <c r="M16" s="64">
        <f>SUM(J16:L16)</f>
        <v>264</v>
      </c>
      <c r="N16" s="87">
        <f>N5*N15</f>
        <v>180</v>
      </c>
      <c r="O16" s="87">
        <f>O5*O15</f>
        <v>240</v>
      </c>
      <c r="P16" s="87">
        <f>P5*P15</f>
        <v>120</v>
      </c>
      <c r="Q16" s="87">
        <f>SUM(N16:P16)</f>
        <v>540</v>
      </c>
      <c r="R16" s="87">
        <f>R5*R15</f>
        <v>504</v>
      </c>
      <c r="S16" s="87">
        <f>S5*S15</f>
        <v>450</v>
      </c>
      <c r="T16" s="87">
        <f>T5*T15</f>
        <v>180</v>
      </c>
      <c r="U16" s="87">
        <f>SUM(R16:T16)</f>
        <v>1134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378.62595419847332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328.97196261682245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281.81818181818181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233.33333333333334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203.17460317460316</v>
      </c>
    </row>
    <row r="18" spans="1:21">
      <c r="A18" s="57" t="s">
        <v>762</v>
      </c>
      <c r="B18" s="111">
        <f>B16*B17</f>
        <v>108</v>
      </c>
      <c r="C18" s="111">
        <f>C16*C17</f>
        <v>1620</v>
      </c>
      <c r="D18" s="111">
        <f>D16*D17</f>
        <v>7200</v>
      </c>
      <c r="E18" s="111">
        <f t="shared" ref="E18:E24" si="0">SUM(B18:D18)</f>
        <v>8928</v>
      </c>
      <c r="F18" s="111">
        <f>F16*F17</f>
        <v>1080</v>
      </c>
      <c r="G18" s="111">
        <f>G16*G17</f>
        <v>8100</v>
      </c>
      <c r="H18" s="111">
        <f>H16*H17</f>
        <v>22500</v>
      </c>
      <c r="I18" s="111">
        <f t="shared" ref="I18:I24" si="1">SUM(F18:H18)</f>
        <v>31680</v>
      </c>
      <c r="J18" s="111">
        <f>J16*J17</f>
        <v>5400</v>
      </c>
      <c r="K18" s="111">
        <f>K16*K17</f>
        <v>24000</v>
      </c>
      <c r="L18" s="111">
        <f>L16*L17</f>
        <v>45000</v>
      </c>
      <c r="M18" s="111">
        <f t="shared" ref="M18:M24" si="2">SUM(J18:L18)</f>
        <v>74400</v>
      </c>
      <c r="N18" s="112">
        <f>N16*N17</f>
        <v>18000</v>
      </c>
      <c r="O18" s="112">
        <f>O16*O17</f>
        <v>48000</v>
      </c>
      <c r="P18" s="112">
        <f>P16*P17</f>
        <v>60000</v>
      </c>
      <c r="Q18" s="112">
        <f t="shared" ref="Q18:Q24" si="3">SUM(N18:P18)</f>
        <v>126000</v>
      </c>
      <c r="R18" s="112">
        <f>R16*R17</f>
        <v>50400</v>
      </c>
      <c r="S18" s="112">
        <f>S16*S17</f>
        <v>90000</v>
      </c>
      <c r="T18" s="112">
        <f>T16*T17</f>
        <v>90000</v>
      </c>
      <c r="U18" s="112">
        <f t="shared" ref="U18:U24" si="4">SUM(R18:T18)</f>
        <v>230400</v>
      </c>
    </row>
    <row r="19" spans="1:21">
      <c r="A19" s="57" t="s">
        <v>763</v>
      </c>
      <c r="B19" s="111">
        <f>B5*Assumptions!$F$85</f>
        <v>81</v>
      </c>
      <c r="C19" s="111">
        <f>C5*Assumptions!$F$86</f>
        <v>810</v>
      </c>
      <c r="D19" s="111">
        <f>D5*Assumptions!$F$87</f>
        <v>10800</v>
      </c>
      <c r="E19" s="111">
        <f t="shared" si="0"/>
        <v>11691</v>
      </c>
      <c r="F19" s="111">
        <f>F5*Assumptions!$F$85</f>
        <v>810</v>
      </c>
      <c r="G19" s="111">
        <f>G5*Assumptions!$F$86</f>
        <v>4050</v>
      </c>
      <c r="H19" s="111">
        <f>H5*Assumptions!$F$87</f>
        <v>33750</v>
      </c>
      <c r="I19" s="111">
        <f t="shared" si="1"/>
        <v>38610</v>
      </c>
      <c r="J19" s="111">
        <f>J5*Assumptions!$F$85</f>
        <v>4050</v>
      </c>
      <c r="K19" s="111">
        <f>K5*Assumptions!$F$86</f>
        <v>12000</v>
      </c>
      <c r="L19" s="111">
        <f>L5*Assumptions!$F$87</f>
        <v>67500</v>
      </c>
      <c r="M19" s="111">
        <f t="shared" si="2"/>
        <v>83550</v>
      </c>
      <c r="N19" s="112">
        <f>N5*Assumptions!$F$85</f>
        <v>13500</v>
      </c>
      <c r="O19" s="112">
        <f>O5*Assumptions!$F$86</f>
        <v>24000</v>
      </c>
      <c r="P19" s="112">
        <f>P5*Assumptions!$F$87</f>
        <v>90000</v>
      </c>
      <c r="Q19" s="112">
        <f t="shared" si="3"/>
        <v>127500</v>
      </c>
      <c r="R19" s="112">
        <f>R5*Assumptions!$F$85</f>
        <v>37800</v>
      </c>
      <c r="S19" s="112">
        <f>S5*Assumptions!$F$86</f>
        <v>45000</v>
      </c>
      <c r="T19" s="112">
        <f>T5*Assumptions!$F$87</f>
        <v>135000</v>
      </c>
      <c r="U19" s="112">
        <f t="shared" si="4"/>
        <v>217800</v>
      </c>
    </row>
    <row r="20" spans="1:21">
      <c r="A20" s="57" t="s">
        <v>764</v>
      </c>
      <c r="B20" s="111">
        <f>B5*Assumptions!$F$88</f>
        <v>81</v>
      </c>
      <c r="C20" s="111">
        <f>C5*Assumptions!$F$89</f>
        <v>1620</v>
      </c>
      <c r="D20" s="111">
        <f>D5*Assumptions!$F$90</f>
        <v>8640</v>
      </c>
      <c r="E20" s="111">
        <f t="shared" si="0"/>
        <v>10341</v>
      </c>
      <c r="F20" s="111">
        <f>F5*Assumptions!$F$88</f>
        <v>810</v>
      </c>
      <c r="G20" s="111">
        <f>G5*Assumptions!$F$89</f>
        <v>8100</v>
      </c>
      <c r="H20" s="111">
        <f>H5*Assumptions!$F$90</f>
        <v>27000</v>
      </c>
      <c r="I20" s="111">
        <f t="shared" si="1"/>
        <v>35910</v>
      </c>
      <c r="J20" s="111">
        <f>J5*Assumptions!$F$88</f>
        <v>4050</v>
      </c>
      <c r="K20" s="111">
        <f>K5*Assumptions!$F$89</f>
        <v>24000</v>
      </c>
      <c r="L20" s="111">
        <f>L5*Assumptions!$F$90</f>
        <v>54000</v>
      </c>
      <c r="M20" s="111">
        <f t="shared" si="2"/>
        <v>82050</v>
      </c>
      <c r="N20" s="112">
        <f>N5*Assumptions!$F$88</f>
        <v>13500</v>
      </c>
      <c r="O20" s="112">
        <f>O5*Assumptions!$F$89</f>
        <v>48000</v>
      </c>
      <c r="P20" s="112">
        <f>P5*Assumptions!$F$90</f>
        <v>72000</v>
      </c>
      <c r="Q20" s="112">
        <f t="shared" si="3"/>
        <v>133500</v>
      </c>
      <c r="R20" s="112">
        <f>R5*Assumptions!$F$88</f>
        <v>37800</v>
      </c>
      <c r="S20" s="112">
        <f>S5*Assumptions!$F$89</f>
        <v>90000</v>
      </c>
      <c r="T20" s="112">
        <f>T5*Assumptions!$F$90</f>
        <v>108000</v>
      </c>
      <c r="U20" s="112">
        <f t="shared" si="4"/>
        <v>235800</v>
      </c>
    </row>
    <row r="21" spans="1:21">
      <c r="A21" s="57" t="s">
        <v>765</v>
      </c>
      <c r="B21" s="111">
        <f>B5*Assumptions!$F$91</f>
        <v>54</v>
      </c>
      <c r="C21" s="111">
        <f>C5*Assumptions!$F$92</f>
        <v>486</v>
      </c>
      <c r="D21" s="111">
        <f>D5*Assumptions!$F$93</f>
        <v>1440</v>
      </c>
      <c r="E21" s="111">
        <f t="shared" si="0"/>
        <v>1980</v>
      </c>
      <c r="F21" s="111">
        <f>F5*Assumptions!$F$91</f>
        <v>540</v>
      </c>
      <c r="G21" s="111">
        <f>G5*Assumptions!$F$92</f>
        <v>2430</v>
      </c>
      <c r="H21" s="111">
        <f>H5*Assumptions!$F$93</f>
        <v>4500</v>
      </c>
      <c r="I21" s="111">
        <f t="shared" si="1"/>
        <v>7470</v>
      </c>
      <c r="J21" s="111">
        <f>J5*Assumptions!$F$91</f>
        <v>2700</v>
      </c>
      <c r="K21" s="111">
        <f>K5*Assumptions!$F$92</f>
        <v>7200</v>
      </c>
      <c r="L21" s="111">
        <f>L5*Assumptions!$F$93</f>
        <v>9000</v>
      </c>
      <c r="M21" s="111">
        <f t="shared" si="2"/>
        <v>18900</v>
      </c>
      <c r="N21" s="112">
        <f>N5*Assumptions!$F$91</f>
        <v>9000</v>
      </c>
      <c r="O21" s="112">
        <f>O5*Assumptions!$F$92</f>
        <v>14400</v>
      </c>
      <c r="P21" s="112">
        <f>P5*Assumptions!$F$93</f>
        <v>12000</v>
      </c>
      <c r="Q21" s="112">
        <f t="shared" si="3"/>
        <v>35400</v>
      </c>
      <c r="R21" s="112">
        <f>R5*Assumptions!$F$91</f>
        <v>25200</v>
      </c>
      <c r="S21" s="112">
        <f>S5*Assumptions!$F$92</f>
        <v>27000</v>
      </c>
      <c r="T21" s="112">
        <f>T5*Assumptions!$F$93</f>
        <v>18000</v>
      </c>
      <c r="U21" s="112">
        <f t="shared" si="4"/>
        <v>70200</v>
      </c>
    </row>
    <row r="22" spans="1:21">
      <c r="A22" s="57" t="s">
        <v>766</v>
      </c>
      <c r="B22" s="111">
        <f>B16*Assumptions!$F$97</f>
        <v>64.800000000000011</v>
      </c>
      <c r="C22" s="111">
        <f>C16*Assumptions!$F$98</f>
        <v>972</v>
      </c>
      <c r="D22" s="111">
        <f>D16*Assumptions!$F$99</f>
        <v>5040</v>
      </c>
      <c r="E22" s="111">
        <f t="shared" si="0"/>
        <v>6076.8</v>
      </c>
      <c r="F22" s="111">
        <f>F16*Assumptions!$F$97</f>
        <v>648</v>
      </c>
      <c r="G22" s="111">
        <f>G16*Assumptions!$F$98</f>
        <v>4860</v>
      </c>
      <c r="H22" s="111">
        <f>H16*Assumptions!$F$99</f>
        <v>15750</v>
      </c>
      <c r="I22" s="111">
        <f t="shared" si="1"/>
        <v>21258</v>
      </c>
      <c r="J22" s="111">
        <f>J16*Assumptions!$F$97</f>
        <v>3240</v>
      </c>
      <c r="K22" s="111">
        <f>K16*Assumptions!$F$98</f>
        <v>14400</v>
      </c>
      <c r="L22" s="111">
        <f>L16*Assumptions!$F$99</f>
        <v>31500</v>
      </c>
      <c r="M22" s="111">
        <f t="shared" si="2"/>
        <v>49140</v>
      </c>
      <c r="N22" s="112">
        <f>N16*Assumptions!$F$97</f>
        <v>10800</v>
      </c>
      <c r="O22" s="112">
        <f>O16*Assumptions!$F$98</f>
        <v>28800</v>
      </c>
      <c r="P22" s="112">
        <f>P16*Assumptions!$F$99</f>
        <v>42000</v>
      </c>
      <c r="Q22" s="112">
        <f t="shared" si="3"/>
        <v>81600</v>
      </c>
      <c r="R22" s="112">
        <f>R16*Assumptions!$F$97</f>
        <v>30240</v>
      </c>
      <c r="S22" s="112">
        <f>S16*Assumptions!$F$98</f>
        <v>54000</v>
      </c>
      <c r="T22" s="112">
        <f>T16*Assumptions!$F$99</f>
        <v>63000</v>
      </c>
      <c r="U22" s="112">
        <f t="shared" si="4"/>
        <v>147240</v>
      </c>
    </row>
    <row r="23" spans="1:21">
      <c r="A23" s="57" t="s">
        <v>767</v>
      </c>
      <c r="B23" s="111">
        <f>SUM(B19:B22)</f>
        <v>280.8</v>
      </c>
      <c r="C23" s="111">
        <f>SUM(C19:C22)</f>
        <v>3888</v>
      </c>
      <c r="D23" s="111">
        <f>SUM(D19:D22)</f>
        <v>25920</v>
      </c>
      <c r="E23" s="111">
        <f t="shared" si="0"/>
        <v>30088.799999999999</v>
      </c>
      <c r="F23" s="111">
        <f>SUM(F19:F22)</f>
        <v>2808</v>
      </c>
      <c r="G23" s="111">
        <f>SUM(G19:G22)</f>
        <v>19440</v>
      </c>
      <c r="H23" s="111">
        <f>SUM(H19:H22)</f>
        <v>81000</v>
      </c>
      <c r="I23" s="111">
        <f t="shared" si="1"/>
        <v>103248</v>
      </c>
      <c r="J23" s="111">
        <f>SUM(J19:J22)</f>
        <v>14040</v>
      </c>
      <c r="K23" s="111">
        <f>SUM(K19:K22)</f>
        <v>57600</v>
      </c>
      <c r="L23" s="111">
        <f>SUM(L19:L22)</f>
        <v>162000</v>
      </c>
      <c r="M23" s="111">
        <f t="shared" si="2"/>
        <v>233640</v>
      </c>
      <c r="N23" s="112">
        <f>SUM(N19:N22)</f>
        <v>46800</v>
      </c>
      <c r="O23" s="112">
        <f>SUM(O19:O22)</f>
        <v>115200</v>
      </c>
      <c r="P23" s="112">
        <f>SUM(P19:P22)</f>
        <v>216000</v>
      </c>
      <c r="Q23" s="112">
        <f t="shared" si="3"/>
        <v>378000</v>
      </c>
      <c r="R23" s="112">
        <f>SUM(R19:R22)</f>
        <v>131040</v>
      </c>
      <c r="S23" s="112">
        <f>SUM(S19:S22)</f>
        <v>216000</v>
      </c>
      <c r="T23" s="112">
        <f>SUM(T19:T22)</f>
        <v>324000</v>
      </c>
      <c r="U23" s="112">
        <f t="shared" si="4"/>
        <v>671040</v>
      </c>
    </row>
    <row r="24" spans="1:21">
      <c r="A24" s="57" t="s">
        <v>768</v>
      </c>
      <c r="B24" s="111">
        <f>SUM(B12,B14,B18)</f>
        <v>5643</v>
      </c>
      <c r="C24" s="111">
        <f>SUM(C12,C14,C18)</f>
        <v>29565.000000000004</v>
      </c>
      <c r="D24" s="111">
        <f>SUM(D12,D14,D18)</f>
        <v>64800</v>
      </c>
      <c r="E24" s="111">
        <f t="shared" si="0"/>
        <v>100008</v>
      </c>
      <c r="F24" s="111">
        <f>SUM(F12,F14,F18)</f>
        <v>73440</v>
      </c>
      <c r="G24" s="111">
        <f>SUM(G12,G14,G18)</f>
        <v>183971.25</v>
      </c>
      <c r="H24" s="111">
        <f>SUM(H12,H14,H18)</f>
        <v>226687.5</v>
      </c>
      <c r="I24" s="111">
        <f t="shared" si="1"/>
        <v>484098.75</v>
      </c>
      <c r="J24" s="111">
        <f>SUM(J12,J14,J18)</f>
        <v>482017.5</v>
      </c>
      <c r="K24" s="111">
        <f>SUM(K12,K14,K18)</f>
        <v>689685</v>
      </c>
      <c r="L24" s="111">
        <f>SUM(L12,L14,L18)</f>
        <v>549056.25</v>
      </c>
      <c r="M24" s="111">
        <f t="shared" si="2"/>
        <v>1720758.75</v>
      </c>
      <c r="N24" s="112">
        <f>SUM(N12,N14,N18)</f>
        <v>2123403.75</v>
      </c>
      <c r="O24" s="112">
        <f>SUM(O12,O14,O18)</f>
        <v>1769749.5</v>
      </c>
      <c r="P24" s="112">
        <f>SUM(P12,P14,P18)</f>
        <v>904301.25</v>
      </c>
      <c r="Q24" s="112">
        <f t="shared" si="3"/>
        <v>4797454.5</v>
      </c>
      <c r="R24" s="112">
        <f>SUM(R12,R14,R18)</f>
        <v>7898576.1749999998</v>
      </c>
      <c r="S24" s="112">
        <f>SUM(S12,S14,S18)</f>
        <v>4306428.421875</v>
      </c>
      <c r="T24" s="112">
        <f>SUM(T12,T14,T18)</f>
        <v>1705210.0312499998</v>
      </c>
      <c r="U24" s="112">
        <f t="shared" si="4"/>
        <v>13910214.628125001</v>
      </c>
    </row>
    <row r="25" spans="1:21">
      <c r="A25" s="57" t="s">
        <v>769</v>
      </c>
      <c r="B25" s="111">
        <f t="shared" ref="B25:U25" si="5">B24-B23</f>
        <v>5362.2</v>
      </c>
      <c r="C25" s="111">
        <f t="shared" si="5"/>
        <v>25677.000000000004</v>
      </c>
      <c r="D25" s="111">
        <f t="shared" si="5"/>
        <v>38880</v>
      </c>
      <c r="E25" s="111">
        <f t="shared" si="5"/>
        <v>69919.199999999997</v>
      </c>
      <c r="F25" s="111">
        <f t="shared" si="5"/>
        <v>70632</v>
      </c>
      <c r="G25" s="111">
        <f t="shared" si="5"/>
        <v>164531.25</v>
      </c>
      <c r="H25" s="111">
        <f t="shared" si="5"/>
        <v>145687.5</v>
      </c>
      <c r="I25" s="111">
        <f t="shared" si="5"/>
        <v>380850.75</v>
      </c>
      <c r="J25" s="111">
        <f t="shared" si="5"/>
        <v>467977.5</v>
      </c>
      <c r="K25" s="111">
        <f t="shared" si="5"/>
        <v>632085</v>
      </c>
      <c r="L25" s="111">
        <f t="shared" si="5"/>
        <v>387056.25</v>
      </c>
      <c r="M25" s="111">
        <f t="shared" si="5"/>
        <v>1487118.75</v>
      </c>
      <c r="N25" s="112">
        <f t="shared" si="5"/>
        <v>2076603.75</v>
      </c>
      <c r="O25" s="112">
        <f t="shared" si="5"/>
        <v>1654549.5</v>
      </c>
      <c r="P25" s="112">
        <f t="shared" si="5"/>
        <v>688301.25</v>
      </c>
      <c r="Q25" s="112">
        <f t="shared" si="5"/>
        <v>4419454.5</v>
      </c>
      <c r="R25" s="112">
        <f t="shared" si="5"/>
        <v>7767536.1749999998</v>
      </c>
      <c r="S25" s="112">
        <f t="shared" si="5"/>
        <v>4090428.421875</v>
      </c>
      <c r="T25" s="112">
        <f t="shared" si="5"/>
        <v>1381210.0312499998</v>
      </c>
      <c r="U25" s="112">
        <f t="shared" si="5"/>
        <v>13239174.628125001</v>
      </c>
    </row>
    <row r="26" spans="1:21">
      <c r="A26" s="57" t="s">
        <v>770</v>
      </c>
      <c r="B26" s="62">
        <f t="shared" ref="B26:U26" si="6">IF(B24=0,0,B25/B24)</f>
        <v>0.95023923444976077</v>
      </c>
      <c r="C26" s="62">
        <f t="shared" si="6"/>
        <v>0.86849315068493149</v>
      </c>
      <c r="D26" s="62">
        <f t="shared" si="6"/>
        <v>0.6</v>
      </c>
      <c r="E26" s="62">
        <f t="shared" si="6"/>
        <v>0.69913606911447079</v>
      </c>
      <c r="F26" s="62">
        <f t="shared" si="6"/>
        <v>0.96176470588235297</v>
      </c>
      <c r="G26" s="62">
        <f t="shared" si="6"/>
        <v>0.89433131535498078</v>
      </c>
      <c r="H26" s="62">
        <f t="shared" si="6"/>
        <v>0.64267990074441683</v>
      </c>
      <c r="I26" s="62">
        <f t="shared" si="6"/>
        <v>0.78672120099463183</v>
      </c>
      <c r="J26" s="62">
        <f t="shared" si="6"/>
        <v>0.97087242683097608</v>
      </c>
      <c r="K26" s="62">
        <f t="shared" si="6"/>
        <v>0.91648361208377738</v>
      </c>
      <c r="L26" s="62">
        <f t="shared" si="6"/>
        <v>0.70494826349759243</v>
      </c>
      <c r="M26" s="62">
        <f t="shared" si="6"/>
        <v>0.86422268664913082</v>
      </c>
      <c r="N26" s="85">
        <f t="shared" si="6"/>
        <v>0.97795991459466902</v>
      </c>
      <c r="O26" s="85">
        <f t="shared" si="6"/>
        <v>0.93490604178726988</v>
      </c>
      <c r="P26" s="85">
        <f t="shared" si="6"/>
        <v>0.76114154436920223</v>
      </c>
      <c r="Q26" s="85">
        <f t="shared" si="6"/>
        <v>0.92120821573190537</v>
      </c>
      <c r="R26" s="85">
        <f t="shared" si="6"/>
        <v>0.98340966813553587</v>
      </c>
      <c r="S26" s="85">
        <f t="shared" si="6"/>
        <v>0.94984242652152229</v>
      </c>
      <c r="T26" s="85">
        <f t="shared" si="6"/>
        <v>0.80999408045794064</v>
      </c>
      <c r="U26" s="85">
        <f t="shared" si="6"/>
        <v>0.95175919150498034</v>
      </c>
    </row>
    <row r="27" spans="1:21">
      <c r="A27" s="57" t="s">
        <v>771</v>
      </c>
      <c r="B27" s="113">
        <f>B4*Assumptions!$F$100</f>
        <v>0.15</v>
      </c>
      <c r="C27" s="113">
        <f>C4*Assumptions!$F$101</f>
        <v>1.35</v>
      </c>
      <c r="D27" s="113">
        <f>D4*Assumptions!$F$102</f>
        <v>2</v>
      </c>
      <c r="E27" s="113">
        <f>SUM(B27:D27)</f>
        <v>3.5</v>
      </c>
      <c r="F27" s="113">
        <f>F4*Assumptions!$F$100</f>
        <v>0.3</v>
      </c>
      <c r="G27" s="113">
        <f>G4*Assumptions!$F$101</f>
        <v>1.35</v>
      </c>
      <c r="H27" s="113">
        <f>H4*Assumptions!$F$102</f>
        <v>1.25</v>
      </c>
      <c r="I27" s="113">
        <f>SUM(F27:H27)</f>
        <v>2.9000000000000004</v>
      </c>
      <c r="J27" s="113">
        <f>J4*Assumptions!$F$100</f>
        <v>0.45</v>
      </c>
      <c r="K27" s="113">
        <f>K4*Assumptions!$F$101</f>
        <v>1.2000000000000002</v>
      </c>
      <c r="L27" s="113">
        <f>L4*Assumptions!$F$102</f>
        <v>0.75</v>
      </c>
      <c r="M27" s="113">
        <f>SUM(J27:L27)</f>
        <v>2.4000000000000004</v>
      </c>
      <c r="N27" s="114">
        <f>N4*Assumptions!$F$100</f>
        <v>0.6</v>
      </c>
      <c r="O27" s="114">
        <f>O4*Assumptions!$F$101</f>
        <v>0.96</v>
      </c>
      <c r="P27" s="114">
        <f>P4*Assumptions!$F$102</f>
        <v>0.4</v>
      </c>
      <c r="Q27" s="114">
        <f>SUM(N27:P27)</f>
        <v>1.96</v>
      </c>
      <c r="R27" s="114">
        <f>R4*Assumptions!$F$100</f>
        <v>0.7</v>
      </c>
      <c r="S27" s="114">
        <f>S4*Assumptions!$F$101</f>
        <v>0.75</v>
      </c>
      <c r="T27" s="114">
        <f>T4*Assumptions!$F$102</f>
        <v>0.25</v>
      </c>
      <c r="U27" s="114">
        <f>SUM(R27:T27)</f>
        <v>1.7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3.0325000000000002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1.99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1.2725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0.75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0.51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8"/>
  <sheetViews>
    <sheetView workbookViewId="0"/>
  </sheetViews>
  <sheetFormatPr defaultRowHeight="14.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IF(1=1,IFERROR(ROUND(-MIN(Scenario_Base_PL!C7,Scenario_Base_PL!C70)*(Scenario_Base_PL!C14/Scenario_Base_PL!C7)*Assumptions!$F$115,0),0),0)</f>
        <v>-10253</v>
      </c>
      <c r="C5" s="71">
        <f>IF(2=1,IFERROR(ROUND(-MIN(Scenario_Base_PL!D7,Scenario_Base_PL!D70)*(Scenario_Base_PL!D14/Scenario_Base_PL!D7)*Assumptions!$F$115,0),0),0)</f>
        <v>0</v>
      </c>
      <c r="D5" s="71">
        <f>IF(3=1,IFERROR(ROUND(-MIN(Scenario_Base_PL!E7,Scenario_Base_PL!E70)*(Scenario_Base_PL!E14/Scenario_Base_PL!E7)*Assumptions!$F$115,0),0),0)</f>
        <v>0</v>
      </c>
      <c r="E5" s="89">
        <f>IF(4=1,IFERROR(ROUND(-MIN(Scenario_Base_PL!F7,Scenario_Base_PL!F70)*(Scenario_Base_PL!F14/Scenario_Base_PL!F7)*Assumptions!$F$115,0),0),0)</f>
        <v>0</v>
      </c>
      <c r="F5" s="89">
        <f>IF(5=1,IFERROR(ROUND(-MIN(Scenario_Base_PL!G7,Scenario_Base_PL!G70)*(Scenario_Base_PL!G14/Scenario_Base_PL!G7)*Assumptions!$F$115,0),0),0)</f>
        <v>0</v>
      </c>
      <c r="G5" s="89">
        <f>IF(4=1,IFERROR(ROUND(-MIN(Scenario_Base_PL!F7,Scenario_Base_PL!F70)*(Scenario_Base_PL!F14/Scenario_Base_PL!F7)*Assumptions!$F$115,0),0),0)</f>
        <v>0</v>
      </c>
    </row>
    <row r="6" spans="1:7" ht="18" customHeight="1">
      <c r="A6" s="69" t="s">
        <v>1155</v>
      </c>
      <c r="B6" s="71">
        <f>ROUND(Scenario_Base_Tiers!C5*Assumptions!$F$116*Assumptions!$F$118+Scenario_Base_Tiers!D5*Assumptions!$F$117*Assumptions!$F$119,0)</f>
        <v>5535</v>
      </c>
      <c r="C6" s="71">
        <f>ROUND(Scenario_Base_Tiers!G5*Assumptions!$F$116*Assumptions!$F$118+Scenario_Base_Tiers!H5*Assumptions!$F$117*Assumptions!$F$119,0)</f>
        <v>19575</v>
      </c>
      <c r="D6" s="71">
        <f>ROUND(Scenario_Base_Tiers!K5*Assumptions!$F$116*Assumptions!$F$118+Scenario_Base_Tiers!L5*Assumptions!$F$117*Assumptions!$F$119,0)</f>
        <v>45000</v>
      </c>
      <c r="E6" s="89">
        <f>ROUND(Scenario_Base_Tiers!O5*Assumptions!$F$116*Assumptions!$F$118+Scenario_Base_Tiers!P5*Assumptions!$F$117*Assumptions!$F$119,0)</f>
        <v>72000</v>
      </c>
      <c r="F6" s="89">
        <f>ROUND(Scenario_Base_Tiers!S5*Assumptions!$F$116*Assumptions!$F$118+Scenario_Base_Tiers!T5*Assumptions!$F$117*Assumptions!$F$119,0)</f>
        <v>121500</v>
      </c>
      <c r="G6" s="89">
        <f>ROUND(Scenario_Base_Tiers!O5*Assumptions!$F$116*Assumptions!$F$118+Scenario_Base_Tiers!P5*Assumptions!$F$117*Assumptions!$F$119,0)</f>
        <v>72000</v>
      </c>
    </row>
    <row r="7" spans="1:7" ht="18" customHeight="1">
      <c r="A7" s="68" t="s">
        <v>1156</v>
      </c>
      <c r="B7" s="92">
        <f>ROUND(Scenario_Base_PL!C11*Assumptions!$F$120,0)</f>
        <v>2700</v>
      </c>
      <c r="C7" s="92">
        <f>ROUND(Scenario_Base_PL!D11*Assumptions!$F$120,0)</f>
        <v>13500</v>
      </c>
      <c r="D7" s="92">
        <f>ROUND(Scenario_Base_PL!E11*Assumptions!$F$120,0)</f>
        <v>45000</v>
      </c>
      <c r="E7" s="93">
        <f>ROUND(Scenario_Base_PL!F11*Assumptions!$F$120,0)</f>
        <v>112500</v>
      </c>
      <c r="F7" s="93">
        <f>ROUND(Scenario_Base_PL!G11*Assumptions!$F$120,0)</f>
        <v>270000</v>
      </c>
      <c r="G7" s="93" t="s">
        <v>1157</v>
      </c>
    </row>
    <row r="8" spans="1:7" ht="18" customHeight="1">
      <c r="A8" s="68" t="s">
        <v>1158</v>
      </c>
      <c r="B8" s="92">
        <f>ROUND(Scenario_Base_Tiers!D19*Assumptions!$F$121,0)</f>
        <v>2160</v>
      </c>
      <c r="C8" s="92">
        <f>ROUND(Scenario_Base_Tiers!H19*Assumptions!$F$121,0)</f>
        <v>6750</v>
      </c>
      <c r="D8" s="92">
        <f>ROUND(Scenario_Base_Tiers!L19*Assumptions!$F$121,0)</f>
        <v>13500</v>
      </c>
      <c r="E8" s="93">
        <f>ROUND(Scenario_Base_Tiers!P19*Assumptions!$F$121,0)</f>
        <v>18000</v>
      </c>
      <c r="F8" s="93">
        <f>ROUND(Scenario_Base_Tiers!T19*Assumptions!$F$121,0)</f>
        <v>27000</v>
      </c>
      <c r="G8" s="93">
        <f>ROUND(Scenario_Base_Tiers!P19*Assumptions!$F$121,0)</f>
        <v>18000</v>
      </c>
    </row>
    <row r="9" spans="1:7" ht="18" customHeight="1">
      <c r="A9" s="68" t="s">
        <v>1159</v>
      </c>
      <c r="B9" s="92">
        <f>ROUND(Scenario_Base_Tiers!D5*Assumptions!$F$122,0)</f>
        <v>5400</v>
      </c>
      <c r="C9" s="92">
        <f>ROUND(Scenario_Base_Tiers!H5*Assumptions!$F$122,0)</f>
        <v>16875</v>
      </c>
      <c r="D9" s="92">
        <f>ROUND(Scenario_Base_Tiers!L5*Assumptions!$F$122,0)</f>
        <v>33750</v>
      </c>
      <c r="E9" s="93">
        <f>ROUND(Scenario_Base_Tiers!P5*Assumptions!$F$122,0)</f>
        <v>45000</v>
      </c>
      <c r="F9" s="93">
        <f>ROUND(Scenario_Base_Tiers!T5*Assumptions!$F$122,0)</f>
        <v>67500</v>
      </c>
      <c r="G9" s="93">
        <f>ROUND(Scenario_Base_Tiers!P5*Assumptions!$F$122,0)</f>
        <v>45000</v>
      </c>
    </row>
    <row r="10" spans="1:7" ht="18" customHeight="1">
      <c r="A10" s="68" t="s">
        <v>1160</v>
      </c>
      <c r="B10" s="92">
        <f>ROUND(Scenario_Base_PL!C12*Assumptions!$F$124*Assumptions!$F$123,0)</f>
        <v>1415</v>
      </c>
      <c r="C10" s="92">
        <f>ROUND(Scenario_Base_PL!D12*Assumptions!$F$124*Assumptions!$F$123,0)</f>
        <v>5778</v>
      </c>
      <c r="D10" s="92">
        <f>ROUND(Scenario_Base_PL!E12*Assumptions!$F$124*Assumptions!$F$123,0)</f>
        <v>15840</v>
      </c>
      <c r="E10" s="93">
        <f>ROUND(Scenario_Base_PL!F12*Assumptions!$F$124*Assumptions!$F$123,0)</f>
        <v>32400</v>
      </c>
      <c r="F10" s="93">
        <f>ROUND(Scenario_Base_PL!G12*Assumptions!$F$124*Assumptions!$F$123,0)</f>
        <v>68040</v>
      </c>
      <c r="G10" s="93">
        <f>ROUND(Scenario_Base_PL!F12*Assumptions!$F$124*Assumptions!$F$123,0)</f>
        <v>32400</v>
      </c>
    </row>
    <row r="11" spans="1:7" ht="18" customHeight="1">
      <c r="A11" s="68" t="s">
        <v>1161</v>
      </c>
      <c r="B11" s="92">
        <f>ROUND(0,0)</f>
        <v>0</v>
      </c>
      <c r="C11" s="92">
        <f>ROUND(Assumptions!$D$17*Assumptions!$F$125,0)</f>
        <v>22500</v>
      </c>
      <c r="D11" s="92">
        <f>ROUND(MAX(0,Assumptions!$D$113-Assumptions!$D$17)*Assumptions!$F$125,0)</f>
        <v>22500</v>
      </c>
      <c r="E11" s="93">
        <f>ROUND(MAX(0,Assumptions!$D$163-Assumptions!$D$113)*Assumptions!$F$125,0)</f>
        <v>30000</v>
      </c>
      <c r="F11" s="93">
        <f>ROUND(MAX(0,Assumptions!$D$164-Assumptions!$D$163)*Assumptions!$F$125,0)</f>
        <v>60000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ROUND(Assumptions!$D$17*Assumptions!$F$126*12,0)</f>
        <v>27000</v>
      </c>
      <c r="D12" s="92">
        <f>ROUND(Assumptions!$D$113*Assumptions!$F$126*12,0)</f>
        <v>54000</v>
      </c>
      <c r="E12" s="93">
        <f>ROUND(Assumptions!$D$163*Assumptions!$F$126*12,0)</f>
        <v>90000</v>
      </c>
      <c r="F12" s="93">
        <f>ROUND(Assumptions!$D$164*Assumptions!$F$126*12,0)</f>
        <v>162000</v>
      </c>
      <c r="G12" s="93" t="s">
        <v>1164</v>
      </c>
    </row>
    <row r="13" spans="1:7" ht="18" customHeight="1">
      <c r="A13" s="69" t="s">
        <v>1165</v>
      </c>
      <c r="B13" s="71">
        <f>ROUND(Scenario_Base_PL!C7*Assumptions!$F$127,0)</f>
        <v>540</v>
      </c>
      <c r="C13" s="71">
        <f>ROUND(Scenario_Base_PL!D7*Assumptions!$F$127,0)</f>
        <v>2700</v>
      </c>
      <c r="D13" s="71">
        <f>ROUND(Scenario_Base_PL!E7*Assumptions!$F$127,0)</f>
        <v>9000</v>
      </c>
      <c r="E13" s="89">
        <f>ROUND(Scenario_Base_PL!F7*Assumptions!$F$127,0)</f>
        <v>22500</v>
      </c>
      <c r="F13" s="89">
        <f>ROUND(Scenario_Base_PL!G7*Assumptions!$F$127,0)</f>
        <v>54000</v>
      </c>
      <c r="G13" s="89">
        <f>ROUND(Scenario_Base_PL!F7*Assumptions!$F$127,0)</f>
        <v>22500</v>
      </c>
    </row>
    <row r="14" spans="1:7" ht="18" customHeight="1">
      <c r="A14" s="69" t="s">
        <v>1149</v>
      </c>
      <c r="B14" s="71">
        <f>ROUND(Assumptions!$F$128*Assumptions!$F$129*Assumptions!$F$130*Scenario_Base_PL!C9,0)</f>
        <v>0</v>
      </c>
      <c r="C14" s="71">
        <f>ROUND(Assumptions!$F$128*Assumptions!$F$129*Assumptions!$F$130*Scenario_Base_PL!D9,0)</f>
        <v>0</v>
      </c>
      <c r="D14" s="71">
        <f>ROUND(Assumptions!$F$128*Assumptions!$F$129*Assumptions!$F$130*Scenario_Base_PL!E9,0)</f>
        <v>0</v>
      </c>
      <c r="E14" s="89">
        <f>ROUND(Assumptions!$F$128*Assumptions!$F$129*Assumptions!$F$130*Scenario_Base_PL!F9,0)</f>
        <v>0</v>
      </c>
      <c r="F14" s="89">
        <f>ROUND(Assumptions!$F$128*Assumptions!$F$129*Assumptions!$F$130*Scenario_Base_PL!G9,0)</f>
        <v>0</v>
      </c>
      <c r="G14" s="89">
        <f>ROUND(Assumptions!$F$128*Assumptions!$F$129*Assumptions!$F$130*Scenario_Base_PL!F9,0)</f>
        <v>0</v>
      </c>
    </row>
    <row r="15" spans="1:7" ht="18" customHeight="1">
      <c r="A15" s="72" t="s">
        <v>1166</v>
      </c>
      <c r="B15" s="73">
        <f>ROUND(SUM(B5:B14),0)</f>
        <v>7497</v>
      </c>
      <c r="C15" s="73">
        <f>ROUND(SUM(C5:C14),0)</f>
        <v>114678</v>
      </c>
      <c r="D15" s="73">
        <f>ROUND(SUM(D5:D14),0)</f>
        <v>238590</v>
      </c>
      <c r="E15" s="90">
        <f>ROUND(SUM(E5:E14),0)</f>
        <v>422400</v>
      </c>
      <c r="F15" s="90">
        <f>ROUND(SUM(F5:F14),0)</f>
        <v>830040</v>
      </c>
      <c r="G15" s="90">
        <f>ROUND(SUM(E5:E14),0)</f>
        <v>422400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ROUND(Scenario_Base_PL!C7*Assumptions!$F$136*Assumptions!$F$137,0)</f>
        <v>864</v>
      </c>
      <c r="C18" s="71">
        <f>ROUND(Scenario_Base_PL!D7*Assumptions!$F$136*Assumptions!$F$137,0)</f>
        <v>4320</v>
      </c>
      <c r="D18" s="71">
        <f>ROUND(Scenario_Base_PL!E7*Assumptions!$F$136*Assumptions!$F$137,0)</f>
        <v>14400</v>
      </c>
      <c r="E18" s="89">
        <f>ROUND(Scenario_Base_PL!F7*Assumptions!$F$136*Assumptions!$F$137,0)</f>
        <v>36000</v>
      </c>
      <c r="F18" s="89">
        <f>ROUND(Scenario_Base_PL!G7*Assumptions!$F$136*Assumptions!$F$137,0)</f>
        <v>86400</v>
      </c>
      <c r="G18" s="89">
        <f>ROUND(Scenario_Base_PL!F7*Assumptions!$F$136*Assumptions!$F$137,0)</f>
        <v>36000</v>
      </c>
    </row>
    <row r="19" spans="1:7" ht="18" customHeight="1">
      <c r="A19" s="69" t="s">
        <v>435</v>
      </c>
      <c r="B19" s="71">
        <f>ROUND(Scenario_Base_PL!C7*Assumptions!$F$138*Assumptions!$F$139,0)</f>
        <v>8100</v>
      </c>
      <c r="C19" s="71">
        <f>ROUND(Scenario_Base_PL!D7*Assumptions!$F$138*Assumptions!$F$139,0)</f>
        <v>40500</v>
      </c>
      <c r="D19" s="71">
        <f>ROUND(Scenario_Base_PL!E7*Assumptions!$F$138*Assumptions!$F$139,0)</f>
        <v>135000</v>
      </c>
      <c r="E19" s="89">
        <f>ROUND(Scenario_Base_PL!F7*Assumptions!$F$138*Assumptions!$F$139,0)</f>
        <v>337500</v>
      </c>
      <c r="F19" s="89">
        <f>ROUND(Scenario_Base_PL!G7*Assumptions!$F$138*Assumptions!$F$139,0)</f>
        <v>810000</v>
      </c>
      <c r="G19" s="89">
        <f>ROUND(Scenario_Base_PL!F7*Assumptions!$F$138*Assumptions!$F$139,0)</f>
        <v>337500</v>
      </c>
    </row>
    <row r="20" spans="1:7" ht="18" customHeight="1">
      <c r="A20" s="69" t="s">
        <v>1168</v>
      </c>
      <c r="B20" s="71">
        <f>ROUND(Scenario_Base_PL!C18*Assumptions!$F$140,0)</f>
        <v>1075</v>
      </c>
      <c r="C20" s="71">
        <f>ROUND(Scenario_Base_PL!D18*Assumptions!$F$140,0)</f>
        <v>5988</v>
      </c>
      <c r="D20" s="71">
        <f>ROUND(Scenario_Base_PL!E18*Assumptions!$F$140,0)</f>
        <v>19593</v>
      </c>
      <c r="E20" s="89">
        <f>ROUND(Scenario_Base_PL!F18*Assumptions!$F$140,0)</f>
        <v>52199</v>
      </c>
      <c r="F20" s="89">
        <f>ROUND(Scenario_Base_PL!G18*Assumptions!$F$140,0)</f>
        <v>147403</v>
      </c>
      <c r="G20" s="89">
        <f>ROUND(Scenario_Base_PL!F18*Assumptions!$F$140,0)</f>
        <v>52199</v>
      </c>
    </row>
    <row r="21" spans="1:7" ht="18" customHeight="1">
      <c r="A21" s="69" t="s">
        <v>446</v>
      </c>
      <c r="B21" s="71">
        <f>ROUND(Scenario_Base_PL!C18*Assumptions!$F$144,0)</f>
        <v>5375</v>
      </c>
      <c r="C21" s="71">
        <f>ROUND(Scenario_Base_PL!D18*Assumptions!$F$144,0)</f>
        <v>29939</v>
      </c>
      <c r="D21" s="71">
        <f>ROUND(Scenario_Base_PL!E18*Assumptions!$F$144,0)</f>
        <v>97967</v>
      </c>
      <c r="E21" s="89">
        <f>ROUND(Scenario_Base_PL!F18*Assumptions!$F$144,0)</f>
        <v>260993</v>
      </c>
      <c r="F21" s="89">
        <f>ROUND(Scenario_Base_PL!G18*Assumptions!$F$144,0)</f>
        <v>737013</v>
      </c>
      <c r="G21" s="89">
        <f>ROUND(Scenario_Base_PL!F18*Assumptions!$F$144,0)</f>
        <v>260993</v>
      </c>
    </row>
    <row r="22" spans="1:7" ht="18" customHeight="1">
      <c r="A22" s="69" t="s">
        <v>448</v>
      </c>
      <c r="B22" s="71">
        <f>ROUND((B7+B10+B12)*Assumptions!$F$145,0)</f>
        <v>41</v>
      </c>
      <c r="C22" s="71">
        <f>ROUND((C7+C10+C12)*Assumptions!$F$145,0)</f>
        <v>463</v>
      </c>
      <c r="D22" s="71">
        <f>ROUND((D7+D10+D12)*Assumptions!$F$145,0)</f>
        <v>1148</v>
      </c>
      <c r="E22" s="89">
        <f>ROUND((E7+E10+E12)*Assumptions!$F$145,0)</f>
        <v>2349</v>
      </c>
      <c r="F22" s="89">
        <f>ROUND((F7+F10+F12)*Assumptions!$F$145,0)</f>
        <v>5000</v>
      </c>
      <c r="G22" s="89">
        <f>ROUND((E7+E10+E12)*Assumptions!$F$145,0)</f>
        <v>2349</v>
      </c>
    </row>
    <row r="23" spans="1:7" ht="18" customHeight="1">
      <c r="A23" s="69" t="s">
        <v>1169</v>
      </c>
      <c r="B23" s="71">
        <f>ROUND(Scenario_Base_Tiers!C5*Assumptions!$F$146*Assumptions!$F$147,0)</f>
        <v>182</v>
      </c>
      <c r="C23" s="71">
        <f>ROUND(Scenario_Base_Tiers!G5*Assumptions!$F$146*Assumptions!$F$147,0)</f>
        <v>911</v>
      </c>
      <c r="D23" s="71">
        <f>ROUND(Scenario_Base_Tiers!K5*Assumptions!$F$146*Assumptions!$F$147,0)</f>
        <v>2700</v>
      </c>
      <c r="E23" s="89">
        <f>ROUND(Scenario_Base_Tiers!O5*Assumptions!$F$146*Assumptions!$F$147,0)</f>
        <v>5400</v>
      </c>
      <c r="F23" s="89">
        <f>ROUND(Scenario_Base_Tiers!S5*Assumptions!$F$146*Assumptions!$F$147,0)</f>
        <v>10125</v>
      </c>
      <c r="G23" s="89">
        <f>ROUND(Scenario_Base_Tiers!O5*Assumptions!$F$146*Assumptions!$F$147,0)</f>
        <v>5400</v>
      </c>
    </row>
    <row r="24" spans="1:7" ht="18" customHeight="1">
      <c r="A24" s="74" t="s">
        <v>1170</v>
      </c>
      <c r="B24" s="75">
        <f>ROUND(SUM(B18:B23),0)</f>
        <v>15637</v>
      </c>
      <c r="C24" s="75">
        <f>ROUND(SUM(C18:C23),0)</f>
        <v>82121</v>
      </c>
      <c r="D24" s="75">
        <f>ROUND(SUM(D18:D23),0)</f>
        <v>270808</v>
      </c>
      <c r="E24" s="115">
        <f>ROUND(SUM(E18:E23),0)</f>
        <v>694441</v>
      </c>
      <c r="F24" s="115">
        <f>ROUND(SUM(F18:F23),0)</f>
        <v>1795941</v>
      </c>
      <c r="G24" s="115">
        <f>ROUND(SUM(E18:E23),0)</f>
        <v>694441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74"/>
  <sheetViews>
    <sheetView workbookViewId="0"/>
  </sheetViews>
  <sheetFormatPr defaultColWidth="8.6328125" defaultRowHeight="14.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Assumptions!$D$11</f>
        <v>180</v>
      </c>
      <c r="D7" s="94">
        <f>Assumptions!$D$12</f>
        <v>900</v>
      </c>
      <c r="E7" s="94">
        <f>Assumptions!$D$13</f>
        <v>3000</v>
      </c>
      <c r="F7" s="95">
        <f>Assumptions!$D$155</f>
        <v>7500</v>
      </c>
      <c r="G7" s="95">
        <f>Assumptions!$D$156</f>
        <v>18000</v>
      </c>
      <c r="H7" s="95" t="s">
        <v>622</v>
      </c>
    </row>
    <row r="8" spans="2:8" ht="15" customHeight="1">
      <c r="B8" s="7" t="s">
        <v>623</v>
      </c>
      <c r="C8" s="203">
        <f>Assumptions!$F$14</f>
        <v>30000</v>
      </c>
      <c r="D8" s="203">
        <f>C8*(1+Assumptions!$F$15)</f>
        <v>40500</v>
      </c>
      <c r="E8" s="203">
        <f>D8*(1+Assumptions!$F$15)</f>
        <v>54675</v>
      </c>
      <c r="F8" s="205">
        <f>E8*(1+Assumptions!$F$15)</f>
        <v>73811.25</v>
      </c>
      <c r="G8" s="205">
        <f>F8*(1+Assumptions!$F$15)</f>
        <v>99645.1875</v>
      </c>
      <c r="H8" s="97" t="s">
        <v>624</v>
      </c>
    </row>
    <row r="9" spans="2:8" ht="21.75" customHeight="1">
      <c r="B9" s="7" t="s">
        <v>625</v>
      </c>
      <c r="C9" s="98">
        <f>C7*C8</f>
        <v>5400000</v>
      </c>
      <c r="D9" s="98">
        <f>D7*D8</f>
        <v>36450000</v>
      </c>
      <c r="E9" s="98">
        <f>E7*E8</f>
        <v>164025000</v>
      </c>
      <c r="F9" s="99">
        <f>F7*F8</f>
        <v>553584375</v>
      </c>
      <c r="G9" s="99">
        <f>G7*G8</f>
        <v>1793613375</v>
      </c>
      <c r="H9" s="99" t="s">
        <v>626</v>
      </c>
    </row>
    <row r="10" spans="2:8" ht="15" customHeight="1">
      <c r="B10" s="7" t="s">
        <v>627</v>
      </c>
      <c r="C10" s="94">
        <f>Scenario_Base_Tiers!E7</f>
        <v>1215</v>
      </c>
      <c r="D10" s="94">
        <f>Scenario_Base_Tiers!I7</f>
        <v>5265</v>
      </c>
      <c r="E10" s="94">
        <f>Scenario_Base_Tiers!M7</f>
        <v>15300</v>
      </c>
      <c r="F10" s="95">
        <f>Scenario_Base_Tiers!Q7</f>
        <v>33300</v>
      </c>
      <c r="G10" s="95">
        <f>Scenario_Base_Tiers!U7</f>
        <v>72900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180</v>
      </c>
      <c r="D11" s="100">
        <f>D7*Assumptions!$F$16*Assumptions!$F$62</f>
        <v>900</v>
      </c>
      <c r="E11" s="100">
        <f>E7*Assumptions!$F$16*Assumptions!$F$62</f>
        <v>3000</v>
      </c>
      <c r="F11" s="101">
        <f>F7*Assumptions!$F$16*Assumptions!$F$62</f>
        <v>7500</v>
      </c>
      <c r="G11" s="101">
        <f>G7*Assumptions!$F$16*Assumptions!$F$62</f>
        <v>18000</v>
      </c>
      <c r="H11" s="101" t="s">
        <v>630</v>
      </c>
    </row>
    <row r="12" spans="2:8" ht="15" customHeight="1">
      <c r="B12" s="7" t="s">
        <v>631</v>
      </c>
      <c r="C12" s="94">
        <f>Scenario_Base_Tiers!E16</f>
        <v>23.58</v>
      </c>
      <c r="D12" s="94">
        <f>Scenario_Base_Tiers!I16</f>
        <v>96.3</v>
      </c>
      <c r="E12" s="94">
        <f>Scenario_Base_Tiers!M16</f>
        <v>264</v>
      </c>
      <c r="F12" s="95">
        <f>Scenario_Base_Tiers!Q16</f>
        <v>540</v>
      </c>
      <c r="G12" s="95">
        <f>Scenario_Base_Tiers!U16</f>
        <v>1134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Scenario_Base_Tiers!E12</f>
        <v>61515</v>
      </c>
      <c r="D14" s="96">
        <f>Scenario_Base_Tiers!I12</f>
        <v>341718.75</v>
      </c>
      <c r="E14" s="96">
        <f>Scenario_Base_Tiers!M12</f>
        <v>1369608.75</v>
      </c>
      <c r="F14" s="97">
        <f>Scenario_Base_Tiers!Q12</f>
        <v>4162954.5</v>
      </c>
      <c r="G14" s="97">
        <f>Scenario_Base_Tiers!U12</f>
        <v>12689814.628125001</v>
      </c>
      <c r="H14" s="97" t="s">
        <v>635</v>
      </c>
    </row>
    <row r="15" spans="2:8" ht="15" customHeight="1">
      <c r="B15" s="7" t="s">
        <v>636</v>
      </c>
      <c r="C15" s="96">
        <f>Scenario_Base_Tiers!E14</f>
        <v>29565</v>
      </c>
      <c r="D15" s="96">
        <f>Scenario_Base_Tiers!I14</f>
        <v>110700</v>
      </c>
      <c r="E15" s="96">
        <f>Scenario_Base_Tiers!M14</f>
        <v>276750</v>
      </c>
      <c r="F15" s="97">
        <f>Scenario_Base_Tiers!Q14</f>
        <v>508500</v>
      </c>
      <c r="G15" s="97">
        <f>Scenario_Base_Tiers!U14</f>
        <v>990000</v>
      </c>
      <c r="H15" s="97" t="s">
        <v>637</v>
      </c>
    </row>
    <row r="16" spans="2:8" ht="15" customHeight="1">
      <c r="B16" s="7" t="s">
        <v>638</v>
      </c>
      <c r="C16" s="96">
        <f>Scenario_Base_Tiers!E18</f>
        <v>8928</v>
      </c>
      <c r="D16" s="96">
        <f>Scenario_Base_Tiers!I18</f>
        <v>31680</v>
      </c>
      <c r="E16" s="96">
        <f>Scenario_Base_Tiers!M18</f>
        <v>74400</v>
      </c>
      <c r="F16" s="97">
        <f>Scenario_Base_Tiers!Q18</f>
        <v>126000</v>
      </c>
      <c r="G16" s="97">
        <f>Scenario_Base_Tiers!U18</f>
        <v>230400</v>
      </c>
      <c r="H16" s="97" t="s">
        <v>639</v>
      </c>
    </row>
    <row r="17" spans="2:8" ht="21.75" customHeight="1">
      <c r="B17" s="7" t="s">
        <v>640</v>
      </c>
      <c r="C17" s="98">
        <f>Scenario_Base_AddOns!B15</f>
        <v>7497</v>
      </c>
      <c r="D17" s="96">
        <f>Scenario_Base_AddOns!C15</f>
        <v>114678</v>
      </c>
      <c r="E17" s="96">
        <f>Scenario_Base_AddOns!D15</f>
        <v>238590</v>
      </c>
      <c r="F17" s="97">
        <f>Scenario_Base_AddOns!E15</f>
        <v>422400</v>
      </c>
      <c r="G17" s="97">
        <f>Scenario_Base_AddOns!F15</f>
        <v>830040</v>
      </c>
      <c r="H17" s="97" t="s">
        <v>641</v>
      </c>
    </row>
    <row r="18" spans="2:8" ht="15" customHeight="1">
      <c r="B18" s="17" t="s">
        <v>642</v>
      </c>
      <c r="C18" s="102">
        <f>SUM(C14:C17)</f>
        <v>107505</v>
      </c>
      <c r="D18" s="102">
        <f>SUM(D14:D17)</f>
        <v>598776.75</v>
      </c>
      <c r="E18" s="102">
        <f>SUM(E14:E17)</f>
        <v>1959348.75</v>
      </c>
      <c r="F18" s="103">
        <f>SUM(F14:F17)</f>
        <v>5219854.5</v>
      </c>
      <c r="G18" s="103">
        <f>SUM(G14:G17)</f>
        <v>14740254.628125001</v>
      </c>
      <c r="H18" s="103">
        <f>SUM(F14:F17)</f>
        <v>5219854.5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28.476562499999996</v>
      </c>
      <c r="D20" s="96">
        <f>D10*Assumptions!$F$19/Assumptions!$F$8</f>
        <v>123.39843749999999</v>
      </c>
      <c r="E20" s="96">
        <f>E10*Assumptions!$F$19/Assumptions!$F$8</f>
        <v>358.59375</v>
      </c>
      <c r="F20" s="97">
        <f>F10*Assumptions!$F$19/Assumptions!$F$8</f>
        <v>780.46875</v>
      </c>
      <c r="G20" s="97">
        <f>G10*Assumptions!$F$19/Assumptions!$F$8</f>
        <v>1708.59375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492.1875</v>
      </c>
      <c r="D21" s="96">
        <f>D11*Assumptions!$F$20/Assumptions!$F$8</f>
        <v>2460.9375</v>
      </c>
      <c r="E21" s="96">
        <f>E11*Assumptions!$F$20/Assumptions!$F$8</f>
        <v>8203.125</v>
      </c>
      <c r="F21" s="97">
        <f>F11*Assumptions!$F$20/Assumptions!$F$8</f>
        <v>20507.8125</v>
      </c>
      <c r="G21" s="97">
        <f>G11*Assumptions!$F$20/Assumptions!$F$8</f>
        <v>49218.75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189.84375000000003</v>
      </c>
      <c r="D22" s="96">
        <f>D11*Assumptions!$F$21/Assumptions!$F$8</f>
        <v>949.21875</v>
      </c>
      <c r="E22" s="96">
        <f>E11*Assumptions!$F$21/Assumptions!$F$8</f>
        <v>3164.0625000000005</v>
      </c>
      <c r="F22" s="97">
        <f>F11*Assumptions!$F$21/Assumptions!$F$8</f>
        <v>7910.15625</v>
      </c>
      <c r="G22" s="97">
        <f>G11*Assumptions!$F$21/Assumptions!$F$8</f>
        <v>18984.375</v>
      </c>
      <c r="H22" s="97" t="s">
        <v>650</v>
      </c>
    </row>
    <row r="23" spans="2:8" ht="15" customHeight="1">
      <c r="B23" s="7" t="s">
        <v>651</v>
      </c>
      <c r="C23" s="96">
        <f>Scenario_Base_Tiers!E19+Scenario_Base_Tiers!E20</f>
        <v>22032</v>
      </c>
      <c r="D23" s="96">
        <f>Scenario_Base_Tiers!I19+Scenario_Base_Tiers!I20</f>
        <v>74520</v>
      </c>
      <c r="E23" s="96">
        <f>Scenario_Base_Tiers!M19+Scenario_Base_Tiers!M20</f>
        <v>165600</v>
      </c>
      <c r="F23" s="97">
        <f>Scenario_Base_Tiers!Q19+Scenario_Base_Tiers!Q20</f>
        <v>261000</v>
      </c>
      <c r="G23" s="97">
        <f>Scenario_Base_Tiers!U19+Scenario_Base_Tiers!U20</f>
        <v>453600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28.125</v>
      </c>
      <c r="D24" s="96">
        <f>D7*Assumptions!$F$22/Assumptions!$F$8</f>
        <v>140.625</v>
      </c>
      <c r="E24" s="96">
        <f>E7*Assumptions!$F$22/Assumptions!$F$8</f>
        <v>468.75</v>
      </c>
      <c r="F24" s="97">
        <f>F7*Assumptions!$F$22/Assumptions!$F$8</f>
        <v>1171.875</v>
      </c>
      <c r="G24" s="97">
        <f>G7*Assumptions!$F$22/Assumptions!$F$8</f>
        <v>2812.5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1.40625</v>
      </c>
      <c r="D25" s="96">
        <f>D7*Assumptions!$F$23/Assumptions!$F$8</f>
        <v>7.03125</v>
      </c>
      <c r="E25" s="96">
        <f>E7*Assumptions!$F$23/Assumptions!$F$8</f>
        <v>23.4375</v>
      </c>
      <c r="F25" s="97">
        <f>F7*Assumptions!$F$23/Assumptions!$F$8</f>
        <v>58.59375</v>
      </c>
      <c r="G25" s="97">
        <f>G7*Assumptions!$F$23/Assumptions!$F$8</f>
        <v>140.625</v>
      </c>
      <c r="H25" s="97">
        <f>F7*Assumptions!$F$23/Assumptions!$F$8</f>
        <v>58.59375</v>
      </c>
    </row>
    <row r="26" spans="2:8" ht="15" customHeight="1">
      <c r="B26" s="7" t="s">
        <v>657</v>
      </c>
      <c r="C26" s="96">
        <f>C7*Assumptions!$F$24/Assumptions!$F$8</f>
        <v>4.2187499999999991</v>
      </c>
      <c r="D26" s="96">
        <f>D7*Assumptions!$F$24/Assumptions!$F$8</f>
        <v>21.09375</v>
      </c>
      <c r="E26" s="96">
        <f>E7*Assumptions!$F$24/Assumptions!$F$8</f>
        <v>70.3125</v>
      </c>
      <c r="F26" s="97">
        <f>F7*Assumptions!$F$24/Assumptions!$F$8</f>
        <v>175.78125</v>
      </c>
      <c r="G26" s="97">
        <f>G7*Assumptions!$F$24/Assumptions!$F$8</f>
        <v>421.875</v>
      </c>
      <c r="H26" s="97">
        <f>F7*Assumptions!$F$24/Assumptions!$F$8</f>
        <v>175.78125</v>
      </c>
    </row>
    <row r="27" spans="2:8" ht="15" customHeight="1">
      <c r="B27" s="7" t="s">
        <v>659</v>
      </c>
      <c r="C27" s="96">
        <f>Scenario_Base_Tiers!E21</f>
        <v>1980</v>
      </c>
      <c r="D27" s="96">
        <f>Scenario_Base_Tiers!I21</f>
        <v>7470</v>
      </c>
      <c r="E27" s="96">
        <f>Scenario_Base_Tiers!M21</f>
        <v>18900</v>
      </c>
      <c r="F27" s="97">
        <f>Scenario_Base_Tiers!Q21</f>
        <v>35400</v>
      </c>
      <c r="G27" s="97">
        <f>Scenario_Base_Tiers!U21</f>
        <v>70200</v>
      </c>
      <c r="H27" s="97" t="s">
        <v>660</v>
      </c>
    </row>
    <row r="28" spans="2:8" ht="15" customHeight="1">
      <c r="B28" s="7" t="s">
        <v>661</v>
      </c>
      <c r="C28" s="96">
        <f>Scenario_Base_Tiers!E22+Scenario_Base_AddOns!B24</f>
        <v>21713.8</v>
      </c>
      <c r="D28" s="96">
        <f>Scenario_Base_Tiers!I22+Scenario_Base_AddOns!C24</f>
        <v>103379</v>
      </c>
      <c r="E28" s="96">
        <f>Scenario_Base_Tiers!M22+Scenario_Base_AddOns!D24</f>
        <v>319948</v>
      </c>
      <c r="F28" s="97">
        <f>Scenario_Base_Tiers!Q22+Scenario_Base_AddOns!E24</f>
        <v>776041</v>
      </c>
      <c r="G28" s="97">
        <f>Scenario_Base_Tiers!U22+Scenario_Base_AddOns!F24</f>
        <v>1943181</v>
      </c>
      <c r="H28" s="97" t="s">
        <v>662</v>
      </c>
    </row>
    <row r="29" spans="2:8" ht="15" customHeight="1">
      <c r="B29" s="17" t="s">
        <v>663</v>
      </c>
      <c r="C29" s="102">
        <f>SUM(C20:C28)</f>
        <v>46470.057812500003</v>
      </c>
      <c r="D29" s="102">
        <f>SUM(D20:D28)</f>
        <v>189071.3046875</v>
      </c>
      <c r="E29" s="102">
        <f>SUM(E20:E28)</f>
        <v>516736.28125</v>
      </c>
      <c r="F29" s="103">
        <f>SUM(F20:F28)</f>
        <v>1103045.6875</v>
      </c>
      <c r="G29" s="103">
        <f>SUM(G20:G28)</f>
        <v>2540267.71875</v>
      </c>
      <c r="H29" s="103">
        <f>SUM(F20:F28)</f>
        <v>1103045.6875</v>
      </c>
    </row>
    <row r="30" spans="2:8" ht="15" customHeight="1">
      <c r="B30" s="25" t="s">
        <v>665</v>
      </c>
      <c r="C30" s="104">
        <f>C18-C29</f>
        <v>61034.942187499997</v>
      </c>
      <c r="D30" s="104">
        <f>D18-D29</f>
        <v>409705.4453125</v>
      </c>
      <c r="E30" s="104">
        <f>E18-E29</f>
        <v>1442612.46875</v>
      </c>
      <c r="F30" s="105">
        <f>F18-F29</f>
        <v>4116808.8125</v>
      </c>
      <c r="G30" s="105">
        <f>G18-G29</f>
        <v>12199986.909375001</v>
      </c>
      <c r="H30" s="105">
        <f>F18-F29</f>
        <v>4116808.8125</v>
      </c>
    </row>
    <row r="31" spans="2:8" ht="15" customHeight="1">
      <c r="B31" s="7" t="s">
        <v>667</v>
      </c>
      <c r="C31" s="26">
        <f>IF(C18=0,0,C30/C18)</f>
        <v>0.56774049753499833</v>
      </c>
      <c r="D31" s="26">
        <f>IF(D18=0,0,D30/D18)</f>
        <v>0.68423739784903137</v>
      </c>
      <c r="E31" s="26">
        <f>IF(E18=0,0,E30/E18)</f>
        <v>0.73627141097265103</v>
      </c>
      <c r="F31" s="84">
        <f>IF(F18=0,0,F30/F18)</f>
        <v>0.78868267544622173</v>
      </c>
      <c r="G31" s="84">
        <f>IF(G18=0,0,G30/G18)</f>
        <v>0.827664597197455</v>
      </c>
      <c r="H31" s="84">
        <f>IF(F18=0,0,F30/F18)</f>
        <v>0.78868267544622173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2</v>
      </c>
      <c r="D33" s="94">
        <f>Assumptions!$F$39</f>
        <v>2</v>
      </c>
      <c r="E33" s="94">
        <f>Assumptions!$F$39</f>
        <v>2</v>
      </c>
      <c r="F33" s="95">
        <f>Assumptions!$F$39</f>
        <v>2</v>
      </c>
      <c r="G33" s="95">
        <f>Assumptions!$F$39</f>
        <v>2</v>
      </c>
      <c r="H33" s="95">
        <f>Assumptions!$F$39</f>
        <v>2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1</v>
      </c>
      <c r="D35" s="94">
        <f>Assumptions!$F$41+1</f>
        <v>2</v>
      </c>
      <c r="E35" s="94">
        <f>Assumptions!$F$41+2</f>
        <v>3</v>
      </c>
      <c r="F35" s="95">
        <f>Assumptions!$F$41+3</f>
        <v>4</v>
      </c>
      <c r="G35" s="95">
        <f>Assumptions!$F$41+4</f>
        <v>5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07">
        <f>F33+F34+F35+F36</f>
        <v>15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340000</v>
      </c>
      <c r="D38" s="96">
        <f>D33*Assumptions!$F$44+D34*Assumptions!$F$45+D35*Assumptions!$F$46+D36*Assumptions!$F$47</f>
        <v>520000</v>
      </c>
      <c r="E38" s="96">
        <f>E33*Assumptions!$F$44+E34*Assumptions!$F$45+E35*Assumptions!$F$46+E36*Assumptions!$F$47</f>
        <v>700000</v>
      </c>
      <c r="F38" s="97">
        <f>F33*Assumptions!$F$44+F34*Assumptions!$F$45+F35*Assumptions!$F$46+F36*Assumptions!$F$47</f>
        <v>880000</v>
      </c>
      <c r="G38" s="97">
        <f>G33*Assumptions!$F$44+G34*Assumptions!$F$45+G35*Assumptions!$F$46+G36*Assumptions!$F$47</f>
        <v>1060000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36000</v>
      </c>
      <c r="D39" s="96">
        <f>MAX(0,(D38-Assumptions!$F$49*D37)*Assumptions!$F$48-Assumptions!$F$60)</f>
        <v>60750</v>
      </c>
      <c r="E39" s="96">
        <f>MAX(0,(E38-Assumptions!$F$49*E37)*Assumptions!$F$48-Assumptions!$F$60)</f>
        <v>85500</v>
      </c>
      <c r="F39" s="97">
        <f>MAX(0,(F38-Assumptions!$F$49*F37)*Assumptions!$F$48-Assumptions!$F$60)</f>
        <v>110250</v>
      </c>
      <c r="G39" s="97">
        <f>MAX(0,(G38-Assumptions!$F$49*G37)*Assumptions!$F$48-Assumptions!$F$60)</f>
        <v>135000</v>
      </c>
      <c r="H39" s="97" t="s">
        <v>681</v>
      </c>
    </row>
    <row r="40" spans="2:8" ht="15" customHeight="1">
      <c r="B40" s="7" t="s">
        <v>682</v>
      </c>
      <c r="C40" s="96">
        <f>C38*Assumptions!$F$50</f>
        <v>13600</v>
      </c>
      <c r="D40" s="96">
        <f>D38*Assumptions!$F$50</f>
        <v>20800</v>
      </c>
      <c r="E40" s="96">
        <f>E38*Assumptions!$F$50</f>
        <v>28000</v>
      </c>
      <c r="F40" s="97">
        <f>F38*Assumptions!$F$50</f>
        <v>35200</v>
      </c>
      <c r="G40" s="97">
        <f>G38*Assumptions!$F$50</f>
        <v>42400</v>
      </c>
      <c r="H40" s="97">
        <f>F38*Assumptions!$F$50</f>
        <v>35200</v>
      </c>
    </row>
    <row r="41" spans="2:8" ht="15" customHeight="1">
      <c r="B41" s="7" t="s">
        <v>249</v>
      </c>
      <c r="C41" s="96">
        <f>C38*Assumptions!$F$51</f>
        <v>10200</v>
      </c>
      <c r="D41" s="96">
        <f>D38*Assumptions!$F$51</f>
        <v>15600</v>
      </c>
      <c r="E41" s="96">
        <f>E38*Assumptions!$F$51</f>
        <v>21000</v>
      </c>
      <c r="F41" s="97">
        <f>F38*Assumptions!$F$51</f>
        <v>26400</v>
      </c>
      <c r="G41" s="97">
        <f>G38*Assumptions!$F$51</f>
        <v>31800</v>
      </c>
      <c r="H41" s="97">
        <f>F38*Assumptions!$F$51</f>
        <v>26400</v>
      </c>
    </row>
    <row r="42" spans="2:8" ht="15" customHeight="1">
      <c r="B42" s="17" t="s">
        <v>685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03">
        <f>F38+F39+F40+F41</f>
        <v>1051850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3000</v>
      </c>
      <c r="D44" s="96">
        <f>Assumptions!$F$26*12*1.5</f>
        <v>4500</v>
      </c>
      <c r="E44" s="96">
        <f>Assumptions!$F$26*12*2.5</f>
        <v>7500</v>
      </c>
      <c r="F44" s="97">
        <f>Assumptions!$F$26*12*4</f>
        <v>12000</v>
      </c>
      <c r="G44" s="97">
        <f>Assumptions!$F$26*12*6</f>
        <v>18000</v>
      </c>
      <c r="H44" s="97" t="s">
        <v>688</v>
      </c>
    </row>
    <row r="45" spans="2:8" ht="15" customHeight="1">
      <c r="B45" s="7" t="s">
        <v>200</v>
      </c>
      <c r="C45" s="96">
        <f>Assumptions!$F$27*12*1</f>
        <v>1440</v>
      </c>
      <c r="D45" s="96">
        <f>Assumptions!$F$27*12*1.5</f>
        <v>2160</v>
      </c>
      <c r="E45" s="96">
        <f>Assumptions!$F$27*12*2.5</f>
        <v>3600</v>
      </c>
      <c r="F45" s="97">
        <f>Assumptions!$F$27*12*4</f>
        <v>5760</v>
      </c>
      <c r="G45" s="97">
        <f>Assumptions!$F$27*12*6</f>
        <v>8640</v>
      </c>
      <c r="H45" s="97" t="s">
        <v>688</v>
      </c>
    </row>
    <row r="46" spans="2:8" ht="15" customHeight="1">
      <c r="B46" s="7" t="s">
        <v>202</v>
      </c>
      <c r="C46" s="96">
        <f>Assumptions!$F$28*12*1</f>
        <v>1800</v>
      </c>
      <c r="D46" s="96">
        <f>Assumptions!$F$28*12*1.5</f>
        <v>2700</v>
      </c>
      <c r="E46" s="96">
        <f>Assumptions!$F$28*12*2.5</f>
        <v>4500</v>
      </c>
      <c r="F46" s="97">
        <f>Assumptions!$F$28*12*4</f>
        <v>7200</v>
      </c>
      <c r="G46" s="97">
        <f>Assumptions!$F$28*12*6</f>
        <v>10800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720</v>
      </c>
      <c r="D47" s="96">
        <f>Assumptions!$F$29*12*D37/6</f>
        <v>1080</v>
      </c>
      <c r="E47" s="96">
        <f>Assumptions!$F$29*12*E37/6</f>
        <v>1440</v>
      </c>
      <c r="F47" s="97">
        <f>Assumptions!$F$29*12*F37/6</f>
        <v>1800</v>
      </c>
      <c r="G47" s="97">
        <f>Assumptions!$F$29*12*G37/6</f>
        <v>2160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1080</v>
      </c>
      <c r="D48" s="96">
        <f>Assumptions!$F$30*12*D37/6</f>
        <v>1620</v>
      </c>
      <c r="E48" s="96">
        <f>Assumptions!$F$30*12*E37/6</f>
        <v>2160</v>
      </c>
      <c r="F48" s="97">
        <f>Assumptions!$F$30*12*F37/6</f>
        <v>2700</v>
      </c>
      <c r="G48" s="97">
        <f>Assumptions!$F$30*12*G37/6</f>
        <v>3240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Assumptions!$F$34*12*1+Scenario_Base_AddOns!B36</f>
        <v>194400</v>
      </c>
      <c r="D52" s="96">
        <f>Assumptions!$F$34*12*1.5+Scenario_Base_AddOns!C36</f>
        <v>162850</v>
      </c>
      <c r="E52" s="96">
        <f>Assumptions!$F$34*12*2+Scenario_Base_AddOns!D36</f>
        <v>186300</v>
      </c>
      <c r="F52" s="97">
        <f>Assumptions!$F$34*12*2.5+Scenario_Base_AddOns!E36</f>
        <v>217250</v>
      </c>
      <c r="G52" s="97">
        <f>Assumptions!$F$34*12*3+Scenario_Base_AddOns!F36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18000</v>
      </c>
      <c r="D53" s="96">
        <f>Assumptions!$F$35*12*2</f>
        <v>36000</v>
      </c>
      <c r="E53" s="96">
        <f>Assumptions!$F$35*12*3</f>
        <v>54000</v>
      </c>
      <c r="F53" s="97">
        <f>Assumptions!$F$35*12*4</f>
        <v>72000</v>
      </c>
      <c r="G53" s="97">
        <f>Assumptions!$F$35*12*5</f>
        <v>90000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4800</v>
      </c>
      <c r="D54" s="96">
        <f>Assumptions!$F$36*12*D37/6</f>
        <v>7200</v>
      </c>
      <c r="E54" s="96">
        <f>Assumptions!$F$36*12*E37/6</f>
        <v>9600</v>
      </c>
      <c r="F54" s="97">
        <f>Assumptions!$F$36*12*F37/6</f>
        <v>12000</v>
      </c>
      <c r="G54" s="97">
        <f>Assumptions!$F$36*12*G37/6</f>
        <v>14400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03">
        <f>SUM(F44:F55)</f>
        <v>370400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702</v>
      </c>
    </row>
    <row r="61" spans="2:8" ht="21.75" customHeight="1">
      <c r="B61" s="25" t="s">
        <v>703</v>
      </c>
      <c r="C61" s="104">
        <f>C30-C42-C56</f>
        <v>-576365.05781250005</v>
      </c>
      <c r="D61" s="104">
        <f>D30-D42-D56</f>
        <v>-451924.5546875</v>
      </c>
      <c r="E61" s="104">
        <f>E30-E42-E56</f>
        <v>307032.46875</v>
      </c>
      <c r="F61" s="105">
        <f>F30-F42-F56</f>
        <v>2694558.8125</v>
      </c>
      <c r="G61" s="105">
        <f>G30-G42-G56</f>
        <v>10487946.909375001</v>
      </c>
      <c r="H61" s="105" t="s">
        <v>704</v>
      </c>
    </row>
    <row r="62" spans="2:8" ht="15" customHeight="1">
      <c r="B62" s="27" t="s">
        <v>705</v>
      </c>
      <c r="C62" s="108">
        <f>C30-C60</f>
        <v>-817477.5078125</v>
      </c>
      <c r="D62" s="108">
        <f>D30-D60</f>
        <v>-451924.5546875</v>
      </c>
      <c r="E62" s="108">
        <f>E30-E60</f>
        <v>307032.46875</v>
      </c>
      <c r="F62" s="109">
        <f>F30-F60</f>
        <v>2694558.8125</v>
      </c>
      <c r="G62" s="109">
        <f>G30-G60</f>
        <v>10487946.909375001</v>
      </c>
      <c r="H62" s="109">
        <f>F30-F60</f>
        <v>2694558.8125</v>
      </c>
    </row>
    <row r="63" spans="2:8" ht="15" customHeight="1">
      <c r="B63" s="25" t="s">
        <v>707</v>
      </c>
      <c r="C63" s="104">
        <f>C62</f>
        <v>-817477.5078125</v>
      </c>
      <c r="D63" s="104">
        <f>C63+D62</f>
        <v>-1269402.0625</v>
      </c>
      <c r="E63" s="104">
        <f>D63+E62</f>
        <v>-962369.59375</v>
      </c>
      <c r="F63" s="105">
        <f>E63+F62</f>
        <v>1732189.21875</v>
      </c>
      <c r="G63" s="105">
        <f>F63+G62</f>
        <v>12220136.128125001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1062720.7601562501</v>
      </c>
      <c r="D64" s="98">
        <f>-MIN(0,C63,D63)*(1+Assumptions!$F$58)</f>
        <v>1650222.6812500001</v>
      </c>
      <c r="E64" s="98">
        <f>-MIN(0,C63,D63,E63)*(1+Assumptions!$F$58)</f>
        <v>1650222.6812500001</v>
      </c>
      <c r="F64" s="99">
        <f>-MIN(0,C63,D63,E63,F63)*(1+Assumptions!$F$58)</f>
        <v>1650222.6812500001</v>
      </c>
      <c r="G64" s="99">
        <f>-MIN(0,C63,D63,E63,F63,G63)*(1+Assumptions!$F$58)</f>
        <v>1650222.6812500001</v>
      </c>
      <c r="H64" s="99" t="s">
        <v>710</v>
      </c>
    </row>
    <row r="65" spans="2:8">
      <c r="B65" s="66" t="s">
        <v>711</v>
      </c>
      <c r="C65" s="67">
        <f>ROUND(Scenario_Base_AddOns!B41,0)</f>
        <v>240000</v>
      </c>
      <c r="D65" s="67">
        <f>ROUND(Scenario_Base_AddOns!C41,0)</f>
        <v>0</v>
      </c>
      <c r="E65" s="67">
        <f>ROUND(Scenario_Base_AddOns!D41,0)</f>
        <v>0</v>
      </c>
      <c r="F65" s="110">
        <f>ROUND(Scenario_Base_AddOns!E41,0)</f>
        <v>0</v>
      </c>
      <c r="G65" s="110">
        <f>ROUND(Scenario_Base_AddOns!F41,0)</f>
        <v>0</v>
      </c>
      <c r="H65" s="110" t="s">
        <v>712</v>
      </c>
    </row>
    <row r="66" spans="2:8">
      <c r="B66" s="66" t="s">
        <v>713</v>
      </c>
      <c r="C66" s="67">
        <f>ROUND(C64+C65,0)</f>
        <v>1302721</v>
      </c>
      <c r="D66" s="67">
        <f>ROUND(D64+D65,0)</f>
        <v>1650223</v>
      </c>
      <c r="E66" s="67">
        <f>ROUND(E64+E65,0)</f>
        <v>1650223</v>
      </c>
      <c r="F66" s="110">
        <f>ROUND(F64+F65,0)</f>
        <v>1650223</v>
      </c>
      <c r="G66" s="110">
        <f>ROUND(G64+G65,0)</f>
        <v>1650223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Assumptions!$D$110</f>
        <v>3</v>
      </c>
      <c r="D69" s="63">
        <f>Assumptions!$D$111</f>
        <v>4</v>
      </c>
      <c r="E69" s="63">
        <f>Assumptions!$D$112</f>
        <v>6</v>
      </c>
      <c r="F69" s="86">
        <f>Assumptions!$D$165</f>
        <v>8</v>
      </c>
      <c r="G69" s="86">
        <f>Assumptions!$D$166</f>
        <v>10</v>
      </c>
      <c r="H69" s="86" t="s">
        <v>717</v>
      </c>
    </row>
    <row r="70" spans="2:8">
      <c r="B70" t="s">
        <v>718</v>
      </c>
      <c r="C70" s="63">
        <f>IF(C69=0,0,C7/C69)</f>
        <v>60</v>
      </c>
      <c r="D70" s="63">
        <f>IF(D69=0,0,D7/D69)</f>
        <v>225</v>
      </c>
      <c r="E70" s="63">
        <f>IF(E69=0,0,E7/E69)</f>
        <v>500</v>
      </c>
      <c r="F70" s="86">
        <f>IF(F69=0,0,F7/F69)</f>
        <v>937.5</v>
      </c>
      <c r="G70" s="86">
        <f>IF(G69=0,0,G7/G69)</f>
        <v>1800</v>
      </c>
      <c r="H70" s="86" t="s">
        <v>719</v>
      </c>
    </row>
    <row r="71" spans="2:8">
      <c r="B71" t="s">
        <v>720</v>
      </c>
      <c r="C71" s="111">
        <f>IF(C7=0,0,C18/C7)</f>
        <v>597.25</v>
      </c>
      <c r="D71" s="111">
        <f>IF(D7=0,0,D18/D7)</f>
        <v>665.3075</v>
      </c>
      <c r="E71" s="111">
        <f>IF(E7=0,0,E18/E7)</f>
        <v>653.11625000000004</v>
      </c>
      <c r="F71" s="112">
        <f>IF(F7=0,0,F18/F7)</f>
        <v>695.98059999999998</v>
      </c>
      <c r="G71" s="112">
        <f>IF(G7=0,0,G18/G7)</f>
        <v>818.90303489583334</v>
      </c>
      <c r="H71" s="112" t="s">
        <v>721</v>
      </c>
    </row>
    <row r="72" spans="2:8">
      <c r="B72" t="s">
        <v>722</v>
      </c>
      <c r="C72" s="111">
        <f>IF(C70=0,0,C18/C70)</f>
        <v>1791.75</v>
      </c>
      <c r="D72" s="111">
        <f>IF(D70=0,0,D18/D70)</f>
        <v>2661.23</v>
      </c>
      <c r="E72" s="111">
        <f>IF(E70=0,0,E18/E70)</f>
        <v>3918.6975000000002</v>
      </c>
      <c r="F72" s="112">
        <f>IF(F70=0,0,F18/F70)</f>
        <v>5567.8447999999999</v>
      </c>
      <c r="G72" s="112">
        <f>IF(G70=0,0,G18/G70)</f>
        <v>8189.0303489583339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Register / confirm VAT treatment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30"/>
  <sheetViews>
    <sheetView workbookViewId="0"/>
  </sheetViews>
  <sheetFormatPr defaultRowHeight="14.5"/>
  <cols>
    <col min="1" max="1" width="34" customWidth="1"/>
    <col min="2" max="21" width="15" customWidth="1"/>
  </cols>
  <sheetData>
    <row r="1" spans="1:21" ht="18.5" customHeight="1">
      <c r="A1" s="248" t="s">
        <v>728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3" spans="1:21">
      <c r="A3" s="61" t="s">
        <v>5</v>
      </c>
      <c r="B3" s="122" t="s">
        <v>729</v>
      </c>
      <c r="C3" s="122" t="s">
        <v>730</v>
      </c>
      <c r="D3" s="122" t="s">
        <v>731</v>
      </c>
      <c r="E3" s="122" t="s">
        <v>732</v>
      </c>
      <c r="F3" s="122" t="s">
        <v>733</v>
      </c>
      <c r="G3" s="122" t="s">
        <v>734</v>
      </c>
      <c r="H3" s="122" t="s">
        <v>735</v>
      </c>
      <c r="I3" s="122" t="s">
        <v>736</v>
      </c>
      <c r="J3" s="122" t="s">
        <v>737</v>
      </c>
      <c r="K3" s="122" t="s">
        <v>738</v>
      </c>
      <c r="L3" s="122" t="s">
        <v>739</v>
      </c>
      <c r="M3" s="122" t="s">
        <v>740</v>
      </c>
      <c r="N3" s="123" t="s">
        <v>741</v>
      </c>
      <c r="O3" s="123" t="s">
        <v>742</v>
      </c>
      <c r="P3" s="123" t="s">
        <v>743</v>
      </c>
      <c r="Q3" s="123" t="s">
        <v>744</v>
      </c>
      <c r="R3" s="123" t="s">
        <v>745</v>
      </c>
      <c r="S3" s="123" t="s">
        <v>746</v>
      </c>
      <c r="T3" s="123" t="s">
        <v>747</v>
      </c>
      <c r="U3" s="123" t="s">
        <v>748</v>
      </c>
    </row>
    <row r="4" spans="1:21">
      <c r="A4" s="57" t="s">
        <v>749</v>
      </c>
      <c r="B4" s="62">
        <f>Assumptions!$E$64</f>
        <v>0.3</v>
      </c>
      <c r="C4" s="62">
        <f>Assumptions!$E$65</f>
        <v>0.5</v>
      </c>
      <c r="D4" s="62">
        <f>Assumptions!$E$66</f>
        <v>0.2</v>
      </c>
      <c r="E4" s="62">
        <f>SUM(B4:D4)</f>
        <v>1</v>
      </c>
      <c r="F4" s="62">
        <f>Assumptions!$E$67</f>
        <v>0.45</v>
      </c>
      <c r="G4" s="62">
        <f>Assumptions!$E$68</f>
        <v>0.45</v>
      </c>
      <c r="H4" s="62">
        <f>Assumptions!$E$69</f>
        <v>0.1</v>
      </c>
      <c r="I4" s="62">
        <f>SUM(F4:H4)</f>
        <v>1</v>
      </c>
      <c r="J4" s="62">
        <f>Assumptions!$E$70</f>
        <v>0.65</v>
      </c>
      <c r="K4" s="62">
        <f>Assumptions!$E$71</f>
        <v>0.3</v>
      </c>
      <c r="L4" s="62">
        <f>Assumptions!$E$72</f>
        <v>0.05</v>
      </c>
      <c r="M4" s="62">
        <f>SUM(J4:L4)</f>
        <v>1</v>
      </c>
      <c r="N4" s="85">
        <f>Assumptions!$E$157</f>
        <v>0.75</v>
      </c>
      <c r="O4" s="85">
        <f>Assumptions!$E$158</f>
        <v>0.23</v>
      </c>
      <c r="P4" s="85">
        <f>Assumptions!$E$159</f>
        <v>0.02</v>
      </c>
      <c r="Q4" s="85">
        <f>SUM(N4:P4)</f>
        <v>1</v>
      </c>
      <c r="R4" s="85">
        <f>Assumptions!$E$160</f>
        <v>0.82</v>
      </c>
      <c r="S4" s="85">
        <f>Assumptions!$E$161</f>
        <v>0.17</v>
      </c>
      <c r="T4" s="85">
        <f>Assumptions!$E$162</f>
        <v>0.01</v>
      </c>
      <c r="U4" s="85">
        <f>SUM(R4:T4)</f>
        <v>1</v>
      </c>
    </row>
    <row r="5" spans="1:21">
      <c r="A5" s="57" t="s">
        <v>750</v>
      </c>
      <c r="B5" s="64">
        <f>Scenario_High_PL!$C$7*B4</f>
        <v>120</v>
      </c>
      <c r="C5" s="64">
        <f>Scenario_High_PL!$C$7*C4</f>
        <v>200</v>
      </c>
      <c r="D5" s="64">
        <f>Scenario_High_PL!$C$7*D4</f>
        <v>80</v>
      </c>
      <c r="E5" s="64">
        <f>SUM(B5:D5)</f>
        <v>400</v>
      </c>
      <c r="F5" s="64">
        <f>Scenario_High_PL!$D$7*F4</f>
        <v>990</v>
      </c>
      <c r="G5" s="64">
        <f>Scenario_High_PL!$D$7*G4</f>
        <v>990</v>
      </c>
      <c r="H5" s="64">
        <f>Scenario_High_PL!$D$7*H4</f>
        <v>220</v>
      </c>
      <c r="I5" s="64">
        <f>SUM(F5:H5)</f>
        <v>2200</v>
      </c>
      <c r="J5" s="64">
        <f>Scenario_High_PL!$E$7*J4</f>
        <v>5200</v>
      </c>
      <c r="K5" s="64">
        <f>Scenario_High_PL!$E$7*K4</f>
        <v>2400</v>
      </c>
      <c r="L5" s="64">
        <f>Scenario_High_PL!$E$7*L4</f>
        <v>400</v>
      </c>
      <c r="M5" s="64">
        <f>SUM(J5:L5)</f>
        <v>8000</v>
      </c>
      <c r="N5" s="87">
        <f>Scenario_High_PL!$F$7*N4</f>
        <v>13500</v>
      </c>
      <c r="O5" s="87">
        <f>Scenario_High_PL!$F$7*O4</f>
        <v>4140</v>
      </c>
      <c r="P5" s="87">
        <f>Scenario_High_PL!$F$7*P4</f>
        <v>360</v>
      </c>
      <c r="Q5" s="87">
        <f>SUM(N5:P5)</f>
        <v>18000</v>
      </c>
      <c r="R5" s="87">
        <f>Scenario_High_PL!$G$7*R4</f>
        <v>32800</v>
      </c>
      <c r="S5" s="87">
        <f>Scenario_High_PL!$G$7*S4</f>
        <v>6800.0000000000009</v>
      </c>
      <c r="T5" s="87">
        <f>Scenario_High_PL!$G$7*T4</f>
        <v>400</v>
      </c>
      <c r="U5" s="87">
        <f>SUM(R5:T5)</f>
        <v>40000</v>
      </c>
    </row>
    <row r="6" spans="1:21">
      <c r="A6" s="57" t="s">
        <v>751</v>
      </c>
      <c r="B6" s="63">
        <f>Assumptions!$F$106</f>
        <v>3</v>
      </c>
      <c r="C6" s="63">
        <f>Assumptions!$F$107</f>
        <v>6</v>
      </c>
      <c r="D6" s="63">
        <f>Assumptions!$F$108</f>
        <v>9</v>
      </c>
      <c r="E6" s="63">
        <f>IF(E5=0,0,E7/E5)</f>
        <v>5.7</v>
      </c>
      <c r="F6" s="63">
        <f>Assumptions!$F$106</f>
        <v>3</v>
      </c>
      <c r="G6" s="63">
        <f>Assumptions!$F$107</f>
        <v>6</v>
      </c>
      <c r="H6" s="63">
        <f>Assumptions!$F$108</f>
        <v>9</v>
      </c>
      <c r="I6" s="63">
        <f>IF(I5=0,0,I7/I5)</f>
        <v>4.95</v>
      </c>
      <c r="J6" s="63">
        <f>Assumptions!$F$106</f>
        <v>3</v>
      </c>
      <c r="K6" s="63">
        <f>Assumptions!$F$107</f>
        <v>6</v>
      </c>
      <c r="L6" s="63">
        <f>Assumptions!$F$108</f>
        <v>9</v>
      </c>
      <c r="M6" s="63">
        <f>IF(M5=0,0,M7/M5)</f>
        <v>4.2</v>
      </c>
      <c r="N6" s="86">
        <f>Assumptions!$F$106</f>
        <v>3</v>
      </c>
      <c r="O6" s="86">
        <f>Assumptions!$F$107</f>
        <v>6</v>
      </c>
      <c r="P6" s="86">
        <f>Assumptions!$F$108</f>
        <v>9</v>
      </c>
      <c r="Q6" s="86">
        <f>IF(Q5=0,0,Q7/Q5)</f>
        <v>3.81</v>
      </c>
      <c r="R6" s="86">
        <f>Assumptions!$F$106</f>
        <v>3</v>
      </c>
      <c r="S6" s="86">
        <f>Assumptions!$F$107</f>
        <v>6</v>
      </c>
      <c r="T6" s="86">
        <f>Assumptions!$F$108</f>
        <v>9</v>
      </c>
      <c r="U6" s="86">
        <f>IF(U5=0,0,U7/U5)</f>
        <v>3.57</v>
      </c>
    </row>
    <row r="7" spans="1:21">
      <c r="A7" s="57" t="s">
        <v>627</v>
      </c>
      <c r="B7" s="64">
        <f>B5*B6</f>
        <v>360</v>
      </c>
      <c r="C7" s="64">
        <f>C5*C6</f>
        <v>1200</v>
      </c>
      <c r="D7" s="64">
        <f>D5*D6</f>
        <v>720</v>
      </c>
      <c r="E7" s="64">
        <f>SUM(B7:D7)</f>
        <v>2280</v>
      </c>
      <c r="F7" s="64">
        <f>F5*F6</f>
        <v>2970</v>
      </c>
      <c r="G7" s="64">
        <f>G5*G6</f>
        <v>5940</v>
      </c>
      <c r="H7" s="64">
        <f>H5*H6</f>
        <v>1980</v>
      </c>
      <c r="I7" s="64">
        <f>SUM(F7:H7)</f>
        <v>10890</v>
      </c>
      <c r="J7" s="64">
        <f>J5*J6</f>
        <v>15600</v>
      </c>
      <c r="K7" s="64">
        <f>K5*K6</f>
        <v>14400</v>
      </c>
      <c r="L7" s="64">
        <f>L5*L6</f>
        <v>3600</v>
      </c>
      <c r="M7" s="64">
        <f>SUM(J7:L7)</f>
        <v>33600</v>
      </c>
      <c r="N7" s="87">
        <f>N5*N6</f>
        <v>40500</v>
      </c>
      <c r="O7" s="87">
        <f>O5*O6</f>
        <v>24840</v>
      </c>
      <c r="P7" s="87">
        <f>P5*P6</f>
        <v>3240</v>
      </c>
      <c r="Q7" s="87">
        <f>SUM(N7:P7)</f>
        <v>68580</v>
      </c>
      <c r="R7" s="87">
        <f>R5*R6</f>
        <v>98400</v>
      </c>
      <c r="S7" s="87">
        <f>S5*S6</f>
        <v>40800.000000000007</v>
      </c>
      <c r="T7" s="87">
        <f>T5*T6</f>
        <v>3600</v>
      </c>
      <c r="U7" s="87">
        <f>SUM(R7:T7)</f>
        <v>142800</v>
      </c>
    </row>
    <row r="8" spans="1:21">
      <c r="A8" s="57" t="s">
        <v>752</v>
      </c>
      <c r="B8" s="111">
        <f>Scenario_High_PL!$C$8</f>
        <v>30000</v>
      </c>
      <c r="C8" s="111">
        <f>Scenario_High_PL!$C$8</f>
        <v>30000</v>
      </c>
      <c r="D8" s="111">
        <f>Scenario_High_PL!$C$8</f>
        <v>30000</v>
      </c>
      <c r="E8" s="111">
        <f>Scenario_High_PL!$C$8</f>
        <v>30000</v>
      </c>
      <c r="F8" s="111">
        <f>Scenario_High_PL!$D$8</f>
        <v>40500</v>
      </c>
      <c r="G8" s="111">
        <f>Scenario_High_PL!$D$8</f>
        <v>40500</v>
      </c>
      <c r="H8" s="111">
        <f>Scenario_High_PL!$D$8</f>
        <v>40500</v>
      </c>
      <c r="I8" s="111">
        <f>Scenario_High_PL!$D$8</f>
        <v>40500</v>
      </c>
      <c r="J8" s="111">
        <f>Scenario_High_PL!$E$8</f>
        <v>54675</v>
      </c>
      <c r="K8" s="111">
        <f>Scenario_High_PL!$E$8</f>
        <v>54675</v>
      </c>
      <c r="L8" s="111">
        <f>Scenario_High_PL!$E$8</f>
        <v>54675</v>
      </c>
      <c r="M8" s="111">
        <f>Scenario_High_PL!$E$8</f>
        <v>54675</v>
      </c>
      <c r="N8" s="112">
        <f>Scenario_High_PL!$F$8</f>
        <v>73811.25</v>
      </c>
      <c r="O8" s="112">
        <f>Scenario_High_PL!$F$8</f>
        <v>73811.25</v>
      </c>
      <c r="P8" s="112">
        <f>Scenario_High_PL!$F$8</f>
        <v>73811.25</v>
      </c>
      <c r="Q8" s="112">
        <f>Scenario_High_PL!$F$8</f>
        <v>73811.25</v>
      </c>
      <c r="R8" s="112">
        <f>Scenario_High_PL!$G$8</f>
        <v>99645.1875</v>
      </c>
      <c r="S8" s="112">
        <f>Scenario_High_PL!$G$8</f>
        <v>99645.1875</v>
      </c>
      <c r="T8" s="112">
        <f>Scenario_High_PL!$G$8</f>
        <v>99645.1875</v>
      </c>
      <c r="U8" s="112">
        <f>Scenario_High_PL!$G$8</f>
        <v>99645.1875</v>
      </c>
    </row>
    <row r="9" spans="1:21">
      <c r="A9" s="57" t="s">
        <v>753</v>
      </c>
      <c r="B9" s="111">
        <f>B5*B8</f>
        <v>3600000</v>
      </c>
      <c r="C9" s="111">
        <f>C5*C8</f>
        <v>6000000</v>
      </c>
      <c r="D9" s="111">
        <f>D5*D8</f>
        <v>2400000</v>
      </c>
      <c r="E9" s="111">
        <f>SUM(B9:D9)</f>
        <v>12000000</v>
      </c>
      <c r="F9" s="111">
        <f>F5*F8</f>
        <v>40095000</v>
      </c>
      <c r="G9" s="111">
        <f>G5*G8</f>
        <v>40095000</v>
      </c>
      <c r="H9" s="111">
        <f>H5*H8</f>
        <v>8910000</v>
      </c>
      <c r="I9" s="111">
        <f>SUM(F9:H9)</f>
        <v>89100000</v>
      </c>
      <c r="J9" s="111">
        <f>J5*J8</f>
        <v>284310000</v>
      </c>
      <c r="K9" s="111">
        <f>K5*K8</f>
        <v>131220000</v>
      </c>
      <c r="L9" s="111">
        <f>L5*L8</f>
        <v>21870000</v>
      </c>
      <c r="M9" s="111">
        <f>SUM(J9:L9)</f>
        <v>437400000</v>
      </c>
      <c r="N9" s="112">
        <f>N5*N8</f>
        <v>996451875</v>
      </c>
      <c r="O9" s="112">
        <f>O5*O8</f>
        <v>305578575</v>
      </c>
      <c r="P9" s="112">
        <f>P5*P8</f>
        <v>26572050</v>
      </c>
      <c r="Q9" s="112">
        <f>SUM(N9:P9)</f>
        <v>1328602500</v>
      </c>
      <c r="R9" s="112">
        <f>R5*R8</f>
        <v>3268362150</v>
      </c>
      <c r="S9" s="112">
        <f>S5*S8</f>
        <v>677587275.00000012</v>
      </c>
      <c r="T9" s="112">
        <f>T5*T8</f>
        <v>39858075</v>
      </c>
      <c r="U9" s="112">
        <f>SUM(R9:T9)</f>
        <v>3985807500</v>
      </c>
    </row>
    <row r="10" spans="1:21">
      <c r="A10" s="57" t="s">
        <v>754</v>
      </c>
      <c r="B10" s="62">
        <f>Assumptions!$F$73</f>
        <v>6.0000000000000001E-3</v>
      </c>
      <c r="C10" s="62">
        <f>Assumptions!$F$74</f>
        <v>8.5000000000000006E-3</v>
      </c>
      <c r="D10" s="62">
        <f>Assumptions!$F$75</f>
        <v>1.4999999999999999E-2</v>
      </c>
      <c r="E10" s="62">
        <f>IF(E9=0,0,SUM(B9*B10,C9*C10,D9*D10)/E9)</f>
        <v>9.0500000000000008E-3</v>
      </c>
      <c r="F10" s="62">
        <f>Assumptions!$F$73</f>
        <v>6.0000000000000001E-3</v>
      </c>
      <c r="G10" s="62">
        <f>Assumptions!$F$74</f>
        <v>8.5000000000000006E-3</v>
      </c>
      <c r="H10" s="62">
        <f>Assumptions!$F$75</f>
        <v>1.4999999999999999E-2</v>
      </c>
      <c r="I10" s="62">
        <f>IF(I9=0,0,SUM(F9*F10,G9*G10,H9*H10)/I9)</f>
        <v>8.0249999999999991E-3</v>
      </c>
      <c r="J10" s="62">
        <f>Assumptions!$F$73</f>
        <v>6.0000000000000001E-3</v>
      </c>
      <c r="K10" s="62">
        <f>Assumptions!$F$74</f>
        <v>8.5000000000000006E-3</v>
      </c>
      <c r="L10" s="62">
        <f>Assumptions!$F$75</f>
        <v>1.4999999999999999E-2</v>
      </c>
      <c r="M10" s="62">
        <f>IF(M9=0,0,SUM(J9*J10,K9*K10,L9*L10)/M9)</f>
        <v>7.1999999999999998E-3</v>
      </c>
      <c r="N10" s="85">
        <f>Assumptions!$F$73</f>
        <v>6.0000000000000001E-3</v>
      </c>
      <c r="O10" s="85">
        <f>Assumptions!$F$74</f>
        <v>8.5000000000000006E-3</v>
      </c>
      <c r="P10" s="85">
        <f>Assumptions!$F$75</f>
        <v>1.4999999999999999E-2</v>
      </c>
      <c r="Q10" s="85">
        <f>IF(Q9=0,0,SUM(N9*N10,O9*O10,P9*P10)/Q9)</f>
        <v>6.7549999999999997E-3</v>
      </c>
      <c r="R10" s="85">
        <f>Assumptions!$F$73</f>
        <v>6.0000000000000001E-3</v>
      </c>
      <c r="S10" s="85">
        <f>Assumptions!$F$74</f>
        <v>8.5000000000000006E-3</v>
      </c>
      <c r="T10" s="85">
        <f>Assumptions!$F$75</f>
        <v>1.4999999999999999E-2</v>
      </c>
      <c r="U10" s="85">
        <f>IF(U9=0,0,SUM(R9*R10,S9*S10,T9*T10)/U9)</f>
        <v>6.5150000000000008E-3</v>
      </c>
    </row>
    <row r="11" spans="1:21">
      <c r="A11" s="57" t="s">
        <v>755</v>
      </c>
      <c r="B11" s="111">
        <f>Assumptions!$F$76</f>
        <v>150</v>
      </c>
      <c r="C11" s="111">
        <f>Assumptions!$F$77</f>
        <v>250</v>
      </c>
      <c r="D11" s="111">
        <f>Assumptions!$F$78</f>
        <v>500</v>
      </c>
      <c r="E11" s="111">
        <f>IF(E5=0,0,SUM(B5*B11,C5*C11,D5*D11)/E5)</f>
        <v>270</v>
      </c>
      <c r="F11" s="111">
        <f>Assumptions!$F$76</f>
        <v>150</v>
      </c>
      <c r="G11" s="111">
        <f>Assumptions!$F$77</f>
        <v>250</v>
      </c>
      <c r="H11" s="111">
        <f>Assumptions!$F$78</f>
        <v>500</v>
      </c>
      <c r="I11" s="111">
        <f>IF(I5=0,0,SUM(F5*F11,G5*G11,H5*H11)/I5)</f>
        <v>230</v>
      </c>
      <c r="J11" s="111">
        <f>Assumptions!$F$76</f>
        <v>150</v>
      </c>
      <c r="K11" s="111">
        <f>Assumptions!$F$77</f>
        <v>250</v>
      </c>
      <c r="L11" s="111">
        <f>Assumptions!$F$78</f>
        <v>500</v>
      </c>
      <c r="M11" s="111">
        <f>IF(M5=0,0,SUM(J5*J11,K5*K11,L5*L11)/M5)</f>
        <v>197.5</v>
      </c>
      <c r="N11" s="112">
        <f>Assumptions!$F$76</f>
        <v>150</v>
      </c>
      <c r="O11" s="112">
        <f>Assumptions!$F$77</f>
        <v>250</v>
      </c>
      <c r="P11" s="112">
        <f>Assumptions!$F$78</f>
        <v>500</v>
      </c>
      <c r="Q11" s="112">
        <f>IF(Q5=0,0,SUM(N5*N11,O5*O11,P5*P11)/Q5)</f>
        <v>180</v>
      </c>
      <c r="R11" s="112">
        <f>Assumptions!$F$76</f>
        <v>150</v>
      </c>
      <c r="S11" s="112">
        <f>Assumptions!$F$77</f>
        <v>250</v>
      </c>
      <c r="T11" s="112">
        <f>Assumptions!$F$78</f>
        <v>500</v>
      </c>
      <c r="U11" s="112">
        <f>IF(U5=0,0,SUM(R5*R11,S5*S11,T5*T11)/U5)</f>
        <v>170.5</v>
      </c>
    </row>
    <row r="12" spans="1:21">
      <c r="A12" s="57" t="s">
        <v>756</v>
      </c>
      <c r="B12" s="111">
        <f>B5*MAX(B8*B10,B11)</f>
        <v>21600</v>
      </c>
      <c r="C12" s="111">
        <f>C5*MAX(C8*C10,C11)</f>
        <v>51000.000000000007</v>
      </c>
      <c r="D12" s="111">
        <f>D5*MAX(D8*D10,D11)</f>
        <v>40000</v>
      </c>
      <c r="E12" s="111">
        <f>SUM(B12:D12)</f>
        <v>112600</v>
      </c>
      <c r="F12" s="111">
        <f>F5*MAX(F8*F10,F11)</f>
        <v>240570</v>
      </c>
      <c r="G12" s="111">
        <f>G5*MAX(G8*G10,G11)</f>
        <v>340807.5</v>
      </c>
      <c r="H12" s="111">
        <f>H5*MAX(H8*H10,H11)</f>
        <v>133650</v>
      </c>
      <c r="I12" s="111">
        <f>SUM(F12:H12)</f>
        <v>715027.5</v>
      </c>
      <c r="J12" s="111">
        <f>J5*MAX(J8*J10,J11)</f>
        <v>1705860</v>
      </c>
      <c r="K12" s="111">
        <f>K5*MAX(K8*K10,K11)</f>
        <v>1115370</v>
      </c>
      <c r="L12" s="111">
        <f>L5*MAX(L8*L10,L11)</f>
        <v>328050</v>
      </c>
      <c r="M12" s="111">
        <f>SUM(J12:L12)</f>
        <v>3149280</v>
      </c>
      <c r="N12" s="112">
        <f>N5*MAX(N8*N10,N11)</f>
        <v>5978711.25</v>
      </c>
      <c r="O12" s="112">
        <f>O5*MAX(O8*O10,O11)</f>
        <v>2597417.8875000002</v>
      </c>
      <c r="P12" s="112">
        <f>P5*MAX(P8*P10,P11)</f>
        <v>398580.75</v>
      </c>
      <c r="Q12" s="112">
        <f>SUM(N12:P12)</f>
        <v>8974709.8874999993</v>
      </c>
      <c r="R12" s="112">
        <f>R5*MAX(R8*R10,R11)</f>
        <v>19610172.899999999</v>
      </c>
      <c r="S12" s="112">
        <f>S5*MAX(S8*S10,S11)</f>
        <v>5759491.8375000013</v>
      </c>
      <c r="T12" s="112">
        <f>T5*MAX(T8*T10,T11)</f>
        <v>597871.12499999988</v>
      </c>
      <c r="U12" s="112">
        <f>SUM(R12:T12)</f>
        <v>25967535.862500001</v>
      </c>
    </row>
    <row r="13" spans="1:21">
      <c r="A13" s="57" t="s">
        <v>757</v>
      </c>
      <c r="B13" s="111">
        <f>Assumptions!$F$79</f>
        <v>25</v>
      </c>
      <c r="C13" s="111">
        <f>Assumptions!$F$80</f>
        <v>90</v>
      </c>
      <c r="D13" s="111">
        <f>Assumptions!$F$81</f>
        <v>300</v>
      </c>
      <c r="E13" s="111">
        <f>IF(E5=0,0,SUM(B5*B13,C5*C13,D5*D13)/E5)</f>
        <v>112.5</v>
      </c>
      <c r="F13" s="111">
        <f>Assumptions!$F$79</f>
        <v>25</v>
      </c>
      <c r="G13" s="111">
        <f>Assumptions!$F$80</f>
        <v>90</v>
      </c>
      <c r="H13" s="111">
        <f>Assumptions!$F$81</f>
        <v>300</v>
      </c>
      <c r="I13" s="111">
        <f>IF(I5=0,0,SUM(F5*F13,G5*G13,H5*H13)/I5)</f>
        <v>81.75</v>
      </c>
      <c r="J13" s="111">
        <f>Assumptions!$F$79</f>
        <v>25</v>
      </c>
      <c r="K13" s="111">
        <f>Assumptions!$F$80</f>
        <v>90</v>
      </c>
      <c r="L13" s="111">
        <f>Assumptions!$F$81</f>
        <v>300</v>
      </c>
      <c r="M13" s="111">
        <f>IF(M5=0,0,SUM(J5*J13,K5*K13,L5*L13)/M5)</f>
        <v>58.25</v>
      </c>
      <c r="N13" s="112">
        <f>Assumptions!$F$79</f>
        <v>25</v>
      </c>
      <c r="O13" s="112">
        <f>Assumptions!$F$80</f>
        <v>90</v>
      </c>
      <c r="P13" s="112">
        <f>Assumptions!$F$81</f>
        <v>300</v>
      </c>
      <c r="Q13" s="112">
        <f>IF(Q5=0,0,SUM(N5*N13,O5*O13,P5*P13)/Q5)</f>
        <v>45.45</v>
      </c>
      <c r="R13" s="112">
        <f>Assumptions!$F$79</f>
        <v>25</v>
      </c>
      <c r="S13" s="112">
        <f>Assumptions!$F$80</f>
        <v>90</v>
      </c>
      <c r="T13" s="112">
        <f>Assumptions!$F$81</f>
        <v>300</v>
      </c>
      <c r="U13" s="112">
        <f>IF(U5=0,0,SUM(R5*R13,S5*S13,T5*T13)/U5)</f>
        <v>38.799999999999997</v>
      </c>
    </row>
    <row r="14" spans="1:21">
      <c r="A14" s="57" t="s">
        <v>758</v>
      </c>
      <c r="B14" s="111">
        <f>B5*B13</f>
        <v>3000</v>
      </c>
      <c r="C14" s="111">
        <f>C5*C13</f>
        <v>18000</v>
      </c>
      <c r="D14" s="111">
        <f>D5*D13</f>
        <v>24000</v>
      </c>
      <c r="E14" s="111">
        <f>SUM(B14:D14)</f>
        <v>45000</v>
      </c>
      <c r="F14" s="111">
        <f>F5*F13</f>
        <v>24750</v>
      </c>
      <c r="G14" s="111">
        <f>G5*G13</f>
        <v>89100</v>
      </c>
      <c r="H14" s="111">
        <f>H5*H13</f>
        <v>66000</v>
      </c>
      <c r="I14" s="111">
        <f>SUM(F14:H14)</f>
        <v>179850</v>
      </c>
      <c r="J14" s="111">
        <f>J5*J13</f>
        <v>130000</v>
      </c>
      <c r="K14" s="111">
        <f>K5*K13</f>
        <v>216000</v>
      </c>
      <c r="L14" s="111">
        <f>L5*L13</f>
        <v>120000</v>
      </c>
      <c r="M14" s="111">
        <f>SUM(J14:L14)</f>
        <v>466000</v>
      </c>
      <c r="N14" s="112">
        <f>N5*N13</f>
        <v>337500</v>
      </c>
      <c r="O14" s="112">
        <f>O5*O13</f>
        <v>372600</v>
      </c>
      <c r="P14" s="112">
        <f>P5*P13</f>
        <v>108000</v>
      </c>
      <c r="Q14" s="112">
        <f>SUM(N14:P14)</f>
        <v>818100</v>
      </c>
      <c r="R14" s="112">
        <f>R5*R13</f>
        <v>820000</v>
      </c>
      <c r="S14" s="112">
        <f>S5*S13</f>
        <v>612000.00000000012</v>
      </c>
      <c r="T14" s="112">
        <f>T5*T13</f>
        <v>120000</v>
      </c>
      <c r="U14" s="112">
        <f>SUM(R14:T14)</f>
        <v>1552000</v>
      </c>
    </row>
    <row r="15" spans="1:21">
      <c r="A15" s="57" t="s">
        <v>759</v>
      </c>
      <c r="B15" s="62">
        <f>Assumptions!$F$94</f>
        <v>0.04</v>
      </c>
      <c r="C15" s="62">
        <f>Assumptions!$F$95</f>
        <v>0.1</v>
      </c>
      <c r="D15" s="62">
        <f>Assumptions!$F$96</f>
        <v>0.2</v>
      </c>
      <c r="E15" s="62">
        <f>IF(E5=0,0,E16/E5)</f>
        <v>0.10199999999999999</v>
      </c>
      <c r="F15" s="62">
        <f>Assumptions!$F$94</f>
        <v>0.04</v>
      </c>
      <c r="G15" s="62">
        <f>Assumptions!$F$95</f>
        <v>0.1</v>
      </c>
      <c r="H15" s="62">
        <f>Assumptions!$F$96</f>
        <v>0.2</v>
      </c>
      <c r="I15" s="62">
        <f>IF(I5=0,0,I16/I5)</f>
        <v>8.3000000000000004E-2</v>
      </c>
      <c r="J15" s="62">
        <f>Assumptions!$F$94</f>
        <v>0.04</v>
      </c>
      <c r="K15" s="62">
        <f>Assumptions!$F$95</f>
        <v>0.1</v>
      </c>
      <c r="L15" s="62">
        <f>Assumptions!$F$96</f>
        <v>0.2</v>
      </c>
      <c r="M15" s="62">
        <f>IF(M5=0,0,M16/M5)</f>
        <v>6.6000000000000003E-2</v>
      </c>
      <c r="N15" s="85">
        <f>Assumptions!$F$94</f>
        <v>0.04</v>
      </c>
      <c r="O15" s="85">
        <f>Assumptions!$F$95</f>
        <v>0.1</v>
      </c>
      <c r="P15" s="85">
        <f>Assumptions!$F$96</f>
        <v>0.2</v>
      </c>
      <c r="Q15" s="85">
        <f>IF(Q5=0,0,Q16/Q5)</f>
        <v>5.7000000000000002E-2</v>
      </c>
      <c r="R15" s="85">
        <f>Assumptions!$F$94</f>
        <v>0.04</v>
      </c>
      <c r="S15" s="85">
        <f>Assumptions!$F$95</f>
        <v>0.1</v>
      </c>
      <c r="T15" s="85">
        <f>Assumptions!$F$96</f>
        <v>0.2</v>
      </c>
      <c r="U15" s="85">
        <f>IF(U5=0,0,U16/U5)</f>
        <v>5.1799999999999999E-2</v>
      </c>
    </row>
    <row r="16" spans="1:21">
      <c r="A16" s="57" t="s">
        <v>760</v>
      </c>
      <c r="B16" s="64">
        <f>B5*B15</f>
        <v>4.8</v>
      </c>
      <c r="C16" s="64">
        <f>C5*C15</f>
        <v>20</v>
      </c>
      <c r="D16" s="64">
        <f>D5*D15</f>
        <v>16</v>
      </c>
      <c r="E16" s="64">
        <f>SUM(B16:D16)</f>
        <v>40.799999999999997</v>
      </c>
      <c r="F16" s="64">
        <f>F5*F15</f>
        <v>39.6</v>
      </c>
      <c r="G16" s="64">
        <f>G5*G15</f>
        <v>99</v>
      </c>
      <c r="H16" s="64">
        <f>H5*H15</f>
        <v>44</v>
      </c>
      <c r="I16" s="64">
        <f>SUM(F16:H16)</f>
        <v>182.6</v>
      </c>
      <c r="J16" s="64">
        <f>J5*J15</f>
        <v>208</v>
      </c>
      <c r="K16" s="64">
        <f>K5*K15</f>
        <v>240</v>
      </c>
      <c r="L16" s="64">
        <f>L5*L15</f>
        <v>80</v>
      </c>
      <c r="M16" s="64">
        <f>SUM(J16:L16)</f>
        <v>528</v>
      </c>
      <c r="N16" s="87">
        <f>N5*N15</f>
        <v>540</v>
      </c>
      <c r="O16" s="87">
        <f>O5*O15</f>
        <v>414</v>
      </c>
      <c r="P16" s="87">
        <f>P5*P15</f>
        <v>72</v>
      </c>
      <c r="Q16" s="87">
        <f>SUM(N16:P16)</f>
        <v>1026</v>
      </c>
      <c r="R16" s="87">
        <f>R5*R15</f>
        <v>1312</v>
      </c>
      <c r="S16" s="87">
        <f>S5*S15</f>
        <v>680.00000000000011</v>
      </c>
      <c r="T16" s="87">
        <f>T5*T15</f>
        <v>80</v>
      </c>
      <c r="U16" s="87">
        <f>SUM(R16:T16)</f>
        <v>2072</v>
      </c>
    </row>
    <row r="17" spans="1:21">
      <c r="A17" s="57" t="s">
        <v>761</v>
      </c>
      <c r="B17" s="111">
        <f>Assumptions!$F$82</f>
        <v>100</v>
      </c>
      <c r="C17" s="111">
        <f>Assumptions!$F$83</f>
        <v>200</v>
      </c>
      <c r="D17" s="111">
        <f>Assumptions!$F$84</f>
        <v>500</v>
      </c>
      <c r="E17" s="111">
        <f>IF(E16=0,0,SUM(B16*B17,C16*C17,D16*D17)/E16)</f>
        <v>305.88235294117646</v>
      </c>
      <c r="F17" s="111">
        <f>Assumptions!$F$82</f>
        <v>100</v>
      </c>
      <c r="G17" s="111">
        <f>Assumptions!$F$83</f>
        <v>200</v>
      </c>
      <c r="H17" s="111">
        <f>Assumptions!$F$84</f>
        <v>500</v>
      </c>
      <c r="I17" s="111">
        <f>IF(I16=0,0,SUM(F16*F17,G16*G17,H16*H17)/I16)</f>
        <v>250.60240963855424</v>
      </c>
      <c r="J17" s="111">
        <f>Assumptions!$F$82</f>
        <v>100</v>
      </c>
      <c r="K17" s="111">
        <f>Assumptions!$F$83</f>
        <v>200</v>
      </c>
      <c r="L17" s="111">
        <f>Assumptions!$F$84</f>
        <v>500</v>
      </c>
      <c r="M17" s="111">
        <f>IF(M16=0,0,SUM(J16*J17,K16*K17,L16*L17)/M16)</f>
        <v>206.06060606060606</v>
      </c>
      <c r="N17" s="112">
        <f>Assumptions!$F$82</f>
        <v>100</v>
      </c>
      <c r="O17" s="112">
        <f>Assumptions!$F$83</f>
        <v>200</v>
      </c>
      <c r="P17" s="112">
        <f>Assumptions!$F$84</f>
        <v>500</v>
      </c>
      <c r="Q17" s="112">
        <f>IF(Q16=0,0,SUM(N16*N17,O16*O17,P16*P17)/Q16)</f>
        <v>168.42105263157896</v>
      </c>
      <c r="R17" s="112">
        <f>Assumptions!$F$82</f>
        <v>100</v>
      </c>
      <c r="S17" s="112">
        <f>Assumptions!$F$83</f>
        <v>200</v>
      </c>
      <c r="T17" s="112">
        <f>Assumptions!$F$84</f>
        <v>500</v>
      </c>
      <c r="U17" s="112">
        <f>IF(U16=0,0,SUM(R16*R17,S16*S17,T16*T17)/U16)</f>
        <v>148.26254826254825</v>
      </c>
    </row>
    <row r="18" spans="1:21">
      <c r="A18" s="57" t="s">
        <v>762</v>
      </c>
      <c r="B18" s="111">
        <f>B16*B17</f>
        <v>480</v>
      </c>
      <c r="C18" s="111">
        <f>C16*C17</f>
        <v>4000</v>
      </c>
      <c r="D18" s="111">
        <f>D16*D17</f>
        <v>8000</v>
      </c>
      <c r="E18" s="111">
        <f t="shared" ref="E18:E24" si="0">SUM(B18:D18)</f>
        <v>12480</v>
      </c>
      <c r="F18" s="111">
        <f>F16*F17</f>
        <v>3960</v>
      </c>
      <c r="G18" s="111">
        <f>G16*G17</f>
        <v>19800</v>
      </c>
      <c r="H18" s="111">
        <f>H16*H17</f>
        <v>22000</v>
      </c>
      <c r="I18" s="111">
        <f t="shared" ref="I18:I24" si="1">SUM(F18:H18)</f>
        <v>45760</v>
      </c>
      <c r="J18" s="111">
        <f>J16*J17</f>
        <v>20800</v>
      </c>
      <c r="K18" s="111">
        <f>K16*K17</f>
        <v>48000</v>
      </c>
      <c r="L18" s="111">
        <f>L16*L17</f>
        <v>40000</v>
      </c>
      <c r="M18" s="111">
        <f t="shared" ref="M18:M24" si="2">SUM(J18:L18)</f>
        <v>108800</v>
      </c>
      <c r="N18" s="112">
        <f>N16*N17</f>
        <v>54000</v>
      </c>
      <c r="O18" s="112">
        <f>O16*O17</f>
        <v>82800</v>
      </c>
      <c r="P18" s="112">
        <f>P16*P17</f>
        <v>36000</v>
      </c>
      <c r="Q18" s="112">
        <f t="shared" ref="Q18:Q24" si="3">SUM(N18:P18)</f>
        <v>172800</v>
      </c>
      <c r="R18" s="112">
        <f>R16*R17</f>
        <v>131200</v>
      </c>
      <c r="S18" s="112">
        <f>S16*S17</f>
        <v>136000.00000000003</v>
      </c>
      <c r="T18" s="112">
        <f>T16*T17</f>
        <v>40000</v>
      </c>
      <c r="U18" s="112">
        <f t="shared" ref="U18:U24" si="4">SUM(R18:T18)</f>
        <v>307200</v>
      </c>
    </row>
    <row r="19" spans="1:21">
      <c r="A19" s="57" t="s">
        <v>763</v>
      </c>
      <c r="B19" s="111">
        <f>B5*Assumptions!$F$85</f>
        <v>360</v>
      </c>
      <c r="C19" s="111">
        <f>C5*Assumptions!$F$86</f>
        <v>2000</v>
      </c>
      <c r="D19" s="111">
        <f>D5*Assumptions!$F$87</f>
        <v>12000</v>
      </c>
      <c r="E19" s="111">
        <f t="shared" si="0"/>
        <v>14360</v>
      </c>
      <c r="F19" s="111">
        <f>F5*Assumptions!$F$85</f>
        <v>2970</v>
      </c>
      <c r="G19" s="111">
        <f>G5*Assumptions!$F$86</f>
        <v>9900</v>
      </c>
      <c r="H19" s="111">
        <f>H5*Assumptions!$F$87</f>
        <v>33000</v>
      </c>
      <c r="I19" s="111">
        <f t="shared" si="1"/>
        <v>45870</v>
      </c>
      <c r="J19" s="111">
        <f>J5*Assumptions!$F$85</f>
        <v>15600</v>
      </c>
      <c r="K19" s="111">
        <f>K5*Assumptions!$F$86</f>
        <v>24000</v>
      </c>
      <c r="L19" s="111">
        <f>L5*Assumptions!$F$87</f>
        <v>60000</v>
      </c>
      <c r="M19" s="111">
        <f t="shared" si="2"/>
        <v>99600</v>
      </c>
      <c r="N19" s="112">
        <f>N5*Assumptions!$F$85</f>
        <v>40500</v>
      </c>
      <c r="O19" s="112">
        <f>O5*Assumptions!$F$86</f>
        <v>41400</v>
      </c>
      <c r="P19" s="112">
        <f>P5*Assumptions!$F$87</f>
        <v>54000</v>
      </c>
      <c r="Q19" s="112">
        <f t="shared" si="3"/>
        <v>135900</v>
      </c>
      <c r="R19" s="112">
        <f>R5*Assumptions!$F$85</f>
        <v>98400</v>
      </c>
      <c r="S19" s="112">
        <f>S5*Assumptions!$F$86</f>
        <v>68000.000000000015</v>
      </c>
      <c r="T19" s="112">
        <f>T5*Assumptions!$F$87</f>
        <v>60000</v>
      </c>
      <c r="U19" s="112">
        <f t="shared" si="4"/>
        <v>226400</v>
      </c>
    </row>
    <row r="20" spans="1:21">
      <c r="A20" s="57" t="s">
        <v>764</v>
      </c>
      <c r="B20" s="111">
        <f>B5*Assumptions!$F$88</f>
        <v>360</v>
      </c>
      <c r="C20" s="111">
        <f>C5*Assumptions!$F$89</f>
        <v>4000</v>
      </c>
      <c r="D20" s="111">
        <f>D5*Assumptions!$F$90</f>
        <v>9600</v>
      </c>
      <c r="E20" s="111">
        <f t="shared" si="0"/>
        <v>13960</v>
      </c>
      <c r="F20" s="111">
        <f>F5*Assumptions!$F$88</f>
        <v>2970</v>
      </c>
      <c r="G20" s="111">
        <f>G5*Assumptions!$F$89</f>
        <v>19800</v>
      </c>
      <c r="H20" s="111">
        <f>H5*Assumptions!$F$90</f>
        <v>26400</v>
      </c>
      <c r="I20" s="111">
        <f t="shared" si="1"/>
        <v>49170</v>
      </c>
      <c r="J20" s="111">
        <f>J5*Assumptions!$F$88</f>
        <v>15600</v>
      </c>
      <c r="K20" s="111">
        <f>K5*Assumptions!$F$89</f>
        <v>48000</v>
      </c>
      <c r="L20" s="111">
        <f>L5*Assumptions!$F$90</f>
        <v>48000</v>
      </c>
      <c r="M20" s="111">
        <f t="shared" si="2"/>
        <v>111600</v>
      </c>
      <c r="N20" s="112">
        <f>N5*Assumptions!$F$88</f>
        <v>40500</v>
      </c>
      <c r="O20" s="112">
        <f>O5*Assumptions!$F$89</f>
        <v>82800</v>
      </c>
      <c r="P20" s="112">
        <f>P5*Assumptions!$F$90</f>
        <v>43200</v>
      </c>
      <c r="Q20" s="112">
        <f t="shared" si="3"/>
        <v>166500</v>
      </c>
      <c r="R20" s="112">
        <f>R5*Assumptions!$F$88</f>
        <v>98400</v>
      </c>
      <c r="S20" s="112">
        <f>S5*Assumptions!$F$89</f>
        <v>136000.00000000003</v>
      </c>
      <c r="T20" s="112">
        <f>T5*Assumptions!$F$90</f>
        <v>48000</v>
      </c>
      <c r="U20" s="112">
        <f t="shared" si="4"/>
        <v>282400</v>
      </c>
    </row>
    <row r="21" spans="1:21">
      <c r="A21" s="57" t="s">
        <v>765</v>
      </c>
      <c r="B21" s="111">
        <f>B5*Assumptions!$F$91</f>
        <v>240</v>
      </c>
      <c r="C21" s="111">
        <f>C5*Assumptions!$F$92</f>
        <v>1200</v>
      </c>
      <c r="D21" s="111">
        <f>D5*Assumptions!$F$93</f>
        <v>1600</v>
      </c>
      <c r="E21" s="111">
        <f t="shared" si="0"/>
        <v>3040</v>
      </c>
      <c r="F21" s="111">
        <f>F5*Assumptions!$F$91</f>
        <v>1980</v>
      </c>
      <c r="G21" s="111">
        <f>G5*Assumptions!$F$92</f>
        <v>5940</v>
      </c>
      <c r="H21" s="111">
        <f>H5*Assumptions!$F$93</f>
        <v>4400</v>
      </c>
      <c r="I21" s="111">
        <f t="shared" si="1"/>
        <v>12320</v>
      </c>
      <c r="J21" s="111">
        <f>J5*Assumptions!$F$91</f>
        <v>10400</v>
      </c>
      <c r="K21" s="111">
        <f>K5*Assumptions!$F$92</f>
        <v>14400</v>
      </c>
      <c r="L21" s="111">
        <f>L5*Assumptions!$F$93</f>
        <v>8000</v>
      </c>
      <c r="M21" s="111">
        <f t="shared" si="2"/>
        <v>32800</v>
      </c>
      <c r="N21" s="112">
        <f>N5*Assumptions!$F$91</f>
        <v>27000</v>
      </c>
      <c r="O21" s="112">
        <f>O5*Assumptions!$F$92</f>
        <v>24840</v>
      </c>
      <c r="P21" s="112">
        <f>P5*Assumptions!$F$93</f>
        <v>7200</v>
      </c>
      <c r="Q21" s="112">
        <f t="shared" si="3"/>
        <v>59040</v>
      </c>
      <c r="R21" s="112">
        <f>R5*Assumptions!$F$91</f>
        <v>65600</v>
      </c>
      <c r="S21" s="112">
        <f>S5*Assumptions!$F$92</f>
        <v>40800.000000000007</v>
      </c>
      <c r="T21" s="112">
        <f>T5*Assumptions!$F$93</f>
        <v>8000</v>
      </c>
      <c r="U21" s="112">
        <f t="shared" si="4"/>
        <v>114400</v>
      </c>
    </row>
    <row r="22" spans="1:21">
      <c r="A22" s="57" t="s">
        <v>766</v>
      </c>
      <c r="B22" s="111">
        <f>B16*Assumptions!$F$97</f>
        <v>288</v>
      </c>
      <c r="C22" s="111">
        <f>C16*Assumptions!$F$98</f>
        <v>2400</v>
      </c>
      <c r="D22" s="111">
        <f>D16*Assumptions!$F$99</f>
        <v>5600</v>
      </c>
      <c r="E22" s="111">
        <f t="shared" si="0"/>
        <v>8288</v>
      </c>
      <c r="F22" s="111">
        <f>F16*Assumptions!$F$97</f>
        <v>2376</v>
      </c>
      <c r="G22" s="111">
        <f>G16*Assumptions!$F$98</f>
        <v>11880</v>
      </c>
      <c r="H22" s="111">
        <f>H16*Assumptions!$F$99</f>
        <v>15400</v>
      </c>
      <c r="I22" s="111">
        <f t="shared" si="1"/>
        <v>29656</v>
      </c>
      <c r="J22" s="111">
        <f>J16*Assumptions!$F$97</f>
        <v>12480</v>
      </c>
      <c r="K22" s="111">
        <f>K16*Assumptions!$F$98</f>
        <v>28800</v>
      </c>
      <c r="L22" s="111">
        <f>L16*Assumptions!$F$99</f>
        <v>28000</v>
      </c>
      <c r="M22" s="111">
        <f t="shared" si="2"/>
        <v>69280</v>
      </c>
      <c r="N22" s="112">
        <f>N16*Assumptions!$F$97</f>
        <v>32400</v>
      </c>
      <c r="O22" s="112">
        <f>O16*Assumptions!$F$98</f>
        <v>49680</v>
      </c>
      <c r="P22" s="112">
        <f>P16*Assumptions!$F$99</f>
        <v>25200</v>
      </c>
      <c r="Q22" s="112">
        <f t="shared" si="3"/>
        <v>107280</v>
      </c>
      <c r="R22" s="112">
        <f>R16*Assumptions!$F$97</f>
        <v>78720</v>
      </c>
      <c r="S22" s="112">
        <f>S16*Assumptions!$F$98</f>
        <v>81600.000000000015</v>
      </c>
      <c r="T22" s="112">
        <f>T16*Assumptions!$F$99</f>
        <v>28000</v>
      </c>
      <c r="U22" s="112">
        <f t="shared" si="4"/>
        <v>188320</v>
      </c>
    </row>
    <row r="23" spans="1:21">
      <c r="A23" s="57" t="s">
        <v>767</v>
      </c>
      <c r="B23" s="111">
        <f>SUM(B19:B22)</f>
        <v>1248</v>
      </c>
      <c r="C23" s="111">
        <f>SUM(C19:C22)</f>
        <v>9600</v>
      </c>
      <c r="D23" s="111">
        <f>SUM(D19:D22)</f>
        <v>28800</v>
      </c>
      <c r="E23" s="111">
        <f t="shared" si="0"/>
        <v>39648</v>
      </c>
      <c r="F23" s="111">
        <f>SUM(F19:F22)</f>
        <v>10296</v>
      </c>
      <c r="G23" s="111">
        <f>SUM(G19:G22)</f>
        <v>47520</v>
      </c>
      <c r="H23" s="111">
        <f>SUM(H19:H22)</f>
        <v>79200</v>
      </c>
      <c r="I23" s="111">
        <f t="shared" si="1"/>
        <v>137016</v>
      </c>
      <c r="J23" s="111">
        <f>SUM(J19:J22)</f>
        <v>54080</v>
      </c>
      <c r="K23" s="111">
        <f>SUM(K19:K22)</f>
        <v>115200</v>
      </c>
      <c r="L23" s="111">
        <f>SUM(L19:L22)</f>
        <v>144000</v>
      </c>
      <c r="M23" s="111">
        <f t="shared" si="2"/>
        <v>313280</v>
      </c>
      <c r="N23" s="112">
        <f>SUM(N19:N22)</f>
        <v>140400</v>
      </c>
      <c r="O23" s="112">
        <f>SUM(O19:O22)</f>
        <v>198720</v>
      </c>
      <c r="P23" s="112">
        <f>SUM(P19:P22)</f>
        <v>129600</v>
      </c>
      <c r="Q23" s="112">
        <f t="shared" si="3"/>
        <v>468720</v>
      </c>
      <c r="R23" s="112">
        <f>SUM(R19:R22)</f>
        <v>341120</v>
      </c>
      <c r="S23" s="112">
        <f>SUM(S19:S22)</f>
        <v>326400.00000000006</v>
      </c>
      <c r="T23" s="112">
        <f>SUM(T19:T22)</f>
        <v>144000</v>
      </c>
      <c r="U23" s="112">
        <f t="shared" si="4"/>
        <v>811520</v>
      </c>
    </row>
    <row r="24" spans="1:21">
      <c r="A24" s="57" t="s">
        <v>768</v>
      </c>
      <c r="B24" s="111">
        <f>SUM(B12,B14,B18)</f>
        <v>25080</v>
      </c>
      <c r="C24" s="111">
        <f>SUM(C12,C14,C18)</f>
        <v>73000</v>
      </c>
      <c r="D24" s="111">
        <f>SUM(D12,D14,D18)</f>
        <v>72000</v>
      </c>
      <c r="E24" s="111">
        <f t="shared" si="0"/>
        <v>170080</v>
      </c>
      <c r="F24" s="111">
        <f>SUM(F12,F14,F18)</f>
        <v>269280</v>
      </c>
      <c r="G24" s="111">
        <f>SUM(G12,G14,G18)</f>
        <v>449707.5</v>
      </c>
      <c r="H24" s="111">
        <f>SUM(H12,H14,H18)</f>
        <v>221650</v>
      </c>
      <c r="I24" s="111">
        <f t="shared" si="1"/>
        <v>940637.5</v>
      </c>
      <c r="J24" s="111">
        <f>SUM(J12,J14,J18)</f>
        <v>1856660</v>
      </c>
      <c r="K24" s="111">
        <f>SUM(K12,K14,K18)</f>
        <v>1379370</v>
      </c>
      <c r="L24" s="111">
        <f>SUM(L12,L14,L18)</f>
        <v>488050</v>
      </c>
      <c r="M24" s="111">
        <f t="shared" si="2"/>
        <v>3724080</v>
      </c>
      <c r="N24" s="112">
        <f>SUM(N12,N14,N18)</f>
        <v>6370211.25</v>
      </c>
      <c r="O24" s="112">
        <f>SUM(O12,O14,O18)</f>
        <v>3052817.8875000002</v>
      </c>
      <c r="P24" s="112">
        <f>SUM(P12,P14,P18)</f>
        <v>542580.75</v>
      </c>
      <c r="Q24" s="112">
        <f t="shared" si="3"/>
        <v>9965609.8874999993</v>
      </c>
      <c r="R24" s="112">
        <f>SUM(R12,R14,R18)</f>
        <v>20561372.899999999</v>
      </c>
      <c r="S24" s="112">
        <f>SUM(S12,S14,S18)</f>
        <v>6507491.8375000013</v>
      </c>
      <c r="T24" s="112">
        <f>SUM(T12,T14,T18)</f>
        <v>757871.12499999988</v>
      </c>
      <c r="U24" s="112">
        <f t="shared" si="4"/>
        <v>27826735.862500001</v>
      </c>
    </row>
    <row r="25" spans="1:21">
      <c r="A25" s="57" t="s">
        <v>769</v>
      </c>
      <c r="B25" s="111">
        <f t="shared" ref="B25:U25" si="5">B24-B23</f>
        <v>23832</v>
      </c>
      <c r="C25" s="111">
        <f t="shared" si="5"/>
        <v>63400</v>
      </c>
      <c r="D25" s="111">
        <f t="shared" si="5"/>
        <v>43200</v>
      </c>
      <c r="E25" s="111">
        <f t="shared" si="5"/>
        <v>130432</v>
      </c>
      <c r="F25" s="111">
        <f t="shared" si="5"/>
        <v>258984</v>
      </c>
      <c r="G25" s="111">
        <f t="shared" si="5"/>
        <v>402187.5</v>
      </c>
      <c r="H25" s="111">
        <f t="shared" si="5"/>
        <v>142450</v>
      </c>
      <c r="I25" s="111">
        <f t="shared" si="5"/>
        <v>803621.5</v>
      </c>
      <c r="J25" s="111">
        <f t="shared" si="5"/>
        <v>1802580</v>
      </c>
      <c r="K25" s="111">
        <f t="shared" si="5"/>
        <v>1264170</v>
      </c>
      <c r="L25" s="111">
        <f t="shared" si="5"/>
        <v>344050</v>
      </c>
      <c r="M25" s="111">
        <f t="shared" si="5"/>
        <v>3410800</v>
      </c>
      <c r="N25" s="112">
        <f t="shared" si="5"/>
        <v>6229811.25</v>
      </c>
      <c r="O25" s="112">
        <f t="shared" si="5"/>
        <v>2854097.8875000002</v>
      </c>
      <c r="P25" s="112">
        <f t="shared" si="5"/>
        <v>412980.75</v>
      </c>
      <c r="Q25" s="112">
        <f t="shared" si="5"/>
        <v>9496889.8874999993</v>
      </c>
      <c r="R25" s="112">
        <f t="shared" si="5"/>
        <v>20220252.899999999</v>
      </c>
      <c r="S25" s="112">
        <f t="shared" si="5"/>
        <v>6181091.8375000013</v>
      </c>
      <c r="T25" s="112">
        <f t="shared" si="5"/>
        <v>613871.12499999988</v>
      </c>
      <c r="U25" s="112">
        <f t="shared" si="5"/>
        <v>27015215.862500001</v>
      </c>
    </row>
    <row r="26" spans="1:21">
      <c r="A26" s="57" t="s">
        <v>770</v>
      </c>
      <c r="B26" s="62">
        <f t="shared" ref="B26:U26" si="6">IF(B24=0,0,B25/B24)</f>
        <v>0.95023923444976077</v>
      </c>
      <c r="C26" s="62">
        <f t="shared" si="6"/>
        <v>0.86849315068493149</v>
      </c>
      <c r="D26" s="62">
        <f t="shared" si="6"/>
        <v>0.6</v>
      </c>
      <c r="E26" s="62">
        <f t="shared" si="6"/>
        <v>0.76688617121354652</v>
      </c>
      <c r="F26" s="62">
        <f t="shared" si="6"/>
        <v>0.96176470588235297</v>
      </c>
      <c r="G26" s="62">
        <f t="shared" si="6"/>
        <v>0.89433131535498078</v>
      </c>
      <c r="H26" s="62">
        <f t="shared" si="6"/>
        <v>0.64267990074441683</v>
      </c>
      <c r="I26" s="62">
        <f t="shared" si="6"/>
        <v>0.8543370852214589</v>
      </c>
      <c r="J26" s="62">
        <f t="shared" si="6"/>
        <v>0.97087242683097608</v>
      </c>
      <c r="K26" s="62">
        <f t="shared" si="6"/>
        <v>0.91648361208377738</v>
      </c>
      <c r="L26" s="62">
        <f t="shared" si="6"/>
        <v>0.70494826349759243</v>
      </c>
      <c r="M26" s="62">
        <f t="shared" si="6"/>
        <v>0.91587720994178423</v>
      </c>
      <c r="N26" s="85">
        <f t="shared" si="6"/>
        <v>0.97795991459466902</v>
      </c>
      <c r="O26" s="85">
        <f t="shared" si="6"/>
        <v>0.93490604178726988</v>
      </c>
      <c r="P26" s="85">
        <f t="shared" si="6"/>
        <v>0.76114154436920223</v>
      </c>
      <c r="Q26" s="85">
        <f t="shared" si="6"/>
        <v>0.95296625040601657</v>
      </c>
      <c r="R26" s="85">
        <f t="shared" si="6"/>
        <v>0.98340966813553587</v>
      </c>
      <c r="S26" s="85">
        <f t="shared" si="6"/>
        <v>0.94984242652152229</v>
      </c>
      <c r="T26" s="85">
        <f t="shared" si="6"/>
        <v>0.80999408045794064</v>
      </c>
      <c r="U26" s="85">
        <f t="shared" si="6"/>
        <v>0.97083668009032908</v>
      </c>
    </row>
    <row r="27" spans="1:21">
      <c r="A27" s="57" t="s">
        <v>771</v>
      </c>
      <c r="B27" s="113">
        <f>B4*Assumptions!$F$100</f>
        <v>0.3</v>
      </c>
      <c r="C27" s="113">
        <f>C4*Assumptions!$F$101</f>
        <v>1.5</v>
      </c>
      <c r="D27" s="113">
        <f>D4*Assumptions!$F$102</f>
        <v>1</v>
      </c>
      <c r="E27" s="113">
        <f>SUM(B27:D27)</f>
        <v>2.8</v>
      </c>
      <c r="F27" s="113">
        <f>F4*Assumptions!$F$100</f>
        <v>0.45</v>
      </c>
      <c r="G27" s="113">
        <f>G4*Assumptions!$F$101</f>
        <v>1.35</v>
      </c>
      <c r="H27" s="113">
        <f>H4*Assumptions!$F$102</f>
        <v>0.5</v>
      </c>
      <c r="I27" s="113">
        <f>SUM(F27:H27)</f>
        <v>2.2999999999999998</v>
      </c>
      <c r="J27" s="113">
        <f>J4*Assumptions!$F$100</f>
        <v>0.65</v>
      </c>
      <c r="K27" s="113">
        <f>K4*Assumptions!$F$101</f>
        <v>0.89999999999999991</v>
      </c>
      <c r="L27" s="113">
        <f>L4*Assumptions!$F$102</f>
        <v>0.25</v>
      </c>
      <c r="M27" s="113">
        <f>SUM(J27:L27)</f>
        <v>1.7999999999999998</v>
      </c>
      <c r="N27" s="114">
        <f>N4*Assumptions!$F$100</f>
        <v>0.75</v>
      </c>
      <c r="O27" s="114">
        <f>O4*Assumptions!$F$101</f>
        <v>0.69000000000000006</v>
      </c>
      <c r="P27" s="114">
        <f>P4*Assumptions!$F$102</f>
        <v>0.1</v>
      </c>
      <c r="Q27" s="114">
        <f>SUM(N27:P27)</f>
        <v>1.54</v>
      </c>
      <c r="R27" s="114">
        <f>R4*Assumptions!$F$100</f>
        <v>0.82</v>
      </c>
      <c r="S27" s="114">
        <f>S4*Assumptions!$F$101</f>
        <v>0.51</v>
      </c>
      <c r="T27" s="114">
        <f>T4*Assumptions!$F$102</f>
        <v>0.05</v>
      </c>
      <c r="U27" s="114">
        <f>SUM(R27:T27)</f>
        <v>1.3800000000000001</v>
      </c>
    </row>
    <row r="28" spans="1:21">
      <c r="A28" s="57" t="s">
        <v>772</v>
      </c>
      <c r="B28" s="113">
        <f>Assumptions!$F$103</f>
        <v>0.05</v>
      </c>
      <c r="C28" s="113">
        <f>Assumptions!$F$104</f>
        <v>0.5</v>
      </c>
      <c r="D28" s="113">
        <f>Assumptions!$F$105</f>
        <v>7</v>
      </c>
      <c r="E28" s="113">
        <f>IF(E5=0,0,SUM(B5*B28,C5*C28,D5*D28)/E5)</f>
        <v>1.665</v>
      </c>
      <c r="F28" s="113">
        <f>Assumptions!$F$103</f>
        <v>0.05</v>
      </c>
      <c r="G28" s="113">
        <f>Assumptions!$F$104</f>
        <v>0.5</v>
      </c>
      <c r="H28" s="113">
        <f>Assumptions!$F$105</f>
        <v>7</v>
      </c>
      <c r="I28" s="113">
        <f>IF(I5=0,0,SUM(F5*F28,G5*G28,H5*H28)/I5)</f>
        <v>0.94750000000000001</v>
      </c>
      <c r="J28" s="113">
        <f>Assumptions!$F$103</f>
        <v>0.05</v>
      </c>
      <c r="K28" s="113">
        <f>Assumptions!$F$104</f>
        <v>0.5</v>
      </c>
      <c r="L28" s="113">
        <f>Assumptions!$F$105</f>
        <v>7</v>
      </c>
      <c r="M28" s="113">
        <f>IF(M5=0,0,SUM(J5*J28,K5*K28,L5*L28)/M5)</f>
        <v>0.53249999999999997</v>
      </c>
      <c r="N28" s="114">
        <f>Assumptions!$F$103</f>
        <v>0.05</v>
      </c>
      <c r="O28" s="114">
        <f>Assumptions!$F$104</f>
        <v>0.5</v>
      </c>
      <c r="P28" s="114">
        <f>Assumptions!$F$105</f>
        <v>7</v>
      </c>
      <c r="Q28" s="114">
        <f>IF(Q5=0,0,SUM(N5*N28,O5*O28,P5*P28)/Q5)</f>
        <v>0.29249999999999998</v>
      </c>
      <c r="R28" s="114">
        <f>Assumptions!$F$103</f>
        <v>0.05</v>
      </c>
      <c r="S28" s="114">
        <f>Assumptions!$F$104</f>
        <v>0.5</v>
      </c>
      <c r="T28" s="114">
        <f>Assumptions!$F$105</f>
        <v>7</v>
      </c>
      <c r="U28" s="114">
        <f>IF(U5=0,0,SUM(R5*R28,S5*S28,T5*T28)/U5)</f>
        <v>0.19600000000000001</v>
      </c>
    </row>
    <row r="29" spans="1:21">
      <c r="A29" s="57" t="s">
        <v>773</v>
      </c>
      <c r="B29" s="63"/>
      <c r="C29" s="63"/>
      <c r="D29" s="63"/>
      <c r="E29" s="63" t="str">
        <f>IF(ABS(E4-1)&lt;0.0001,"OK","CHECK MIX")</f>
        <v>OK</v>
      </c>
      <c r="F29" s="63"/>
      <c r="G29" s="63"/>
      <c r="H29" s="63"/>
      <c r="I29" s="63" t="str">
        <f>IF(ABS(I4-1)&lt;0.0001,"OK","CHECK MIX")</f>
        <v>OK</v>
      </c>
      <c r="J29" s="63"/>
      <c r="K29" s="63"/>
      <c r="L29" s="63"/>
      <c r="M29" s="63" t="str">
        <f>IF(ABS(M4-1)&lt;0.0001,"OK","CHECK MIX")</f>
        <v>OK</v>
      </c>
      <c r="N29" s="86"/>
      <c r="O29" s="86"/>
      <c r="P29" s="86"/>
      <c r="Q29" s="86" t="str">
        <f>IF(ABS(Q4-1)&lt;0.0001,"OK","CHECK MIX")</f>
        <v>OK</v>
      </c>
      <c r="R29" s="86"/>
      <c r="S29" s="86"/>
      <c r="T29" s="86"/>
      <c r="U29" s="86" t="str">
        <f>IF(ABS(U4-1)&lt;0.0001,"OK","CHECK MIX")</f>
        <v>OK</v>
      </c>
    </row>
    <row r="30" spans="1:21">
      <c r="A30" s="57" t="s">
        <v>774</v>
      </c>
      <c r="B30" s="63" t="s">
        <v>775</v>
      </c>
      <c r="C30" s="63" t="s">
        <v>776</v>
      </c>
      <c r="D30" s="63" t="s">
        <v>777</v>
      </c>
      <c r="E30" s="63" t="s">
        <v>778</v>
      </c>
      <c r="F30" s="63" t="s">
        <v>775</v>
      </c>
      <c r="G30" s="63" t="s">
        <v>776</v>
      </c>
      <c r="H30" s="63" t="s">
        <v>777</v>
      </c>
      <c r="I30" s="63" t="s">
        <v>778</v>
      </c>
      <c r="J30" s="63" t="s">
        <v>775</v>
      </c>
      <c r="K30" s="63" t="s">
        <v>776</v>
      </c>
      <c r="L30" s="63" t="s">
        <v>777</v>
      </c>
      <c r="M30" s="63" t="s">
        <v>778</v>
      </c>
      <c r="N30" s="86" t="s">
        <v>775</v>
      </c>
      <c r="O30" s="86" t="s">
        <v>776</v>
      </c>
      <c r="P30" s="86" t="s">
        <v>777</v>
      </c>
      <c r="Q30" s="86" t="s">
        <v>778</v>
      </c>
      <c r="R30" s="86" t="s">
        <v>775</v>
      </c>
      <c r="S30" s="86" t="s">
        <v>776</v>
      </c>
      <c r="T30" s="86" t="s">
        <v>777</v>
      </c>
      <c r="U30" s="86" t="s">
        <v>778</v>
      </c>
    </row>
  </sheetData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8"/>
  <sheetViews>
    <sheetView workbookViewId="0"/>
  </sheetViews>
  <sheetFormatPr defaultRowHeight="14.5"/>
  <cols>
    <col min="1" max="1" width="44" customWidth="1"/>
    <col min="2" max="6" width="16" customWidth="1"/>
    <col min="7" max="7" width="70" customWidth="1"/>
  </cols>
  <sheetData>
    <row r="1" spans="1:7" ht="18" customHeight="1">
      <c r="A1" s="252" t="s">
        <v>1152</v>
      </c>
      <c r="B1" s="230"/>
      <c r="C1" s="230"/>
      <c r="D1" s="230"/>
      <c r="E1" s="230"/>
    </row>
    <row r="2" spans="1:7" ht="18" customHeight="1">
      <c r="A2" s="69"/>
      <c r="B2" s="69"/>
      <c r="C2" s="69"/>
      <c r="D2" s="69"/>
      <c r="E2" s="69"/>
    </row>
    <row r="3" spans="1:7" ht="18" customHeight="1">
      <c r="A3" s="70" t="s">
        <v>613</v>
      </c>
      <c r="B3" s="122" t="s">
        <v>614</v>
      </c>
      <c r="C3" s="122" t="s">
        <v>615</v>
      </c>
      <c r="D3" s="122" t="s">
        <v>616</v>
      </c>
      <c r="E3" s="123" t="s">
        <v>617</v>
      </c>
      <c r="F3" s="123" t="s">
        <v>618</v>
      </c>
      <c r="G3" s="123" t="s">
        <v>565</v>
      </c>
    </row>
    <row r="4" spans="1:7" ht="18" customHeight="1">
      <c r="A4" s="118" t="s">
        <v>1153</v>
      </c>
      <c r="B4" s="118"/>
      <c r="C4" s="118"/>
      <c r="D4" s="118"/>
      <c r="E4" s="119"/>
      <c r="F4" s="119"/>
      <c r="G4" s="119"/>
    </row>
    <row r="5" spans="1:7" ht="18" customHeight="1">
      <c r="A5" s="69" t="s">
        <v>1154</v>
      </c>
      <c r="B5" s="71">
        <f>IF(1=1,IFERROR(ROUND(-MIN(Scenario_High_PL!C7,Scenario_High_PL!C70)*(Scenario_High_PL!C14/Scenario_High_PL!C7)*Assumptions!$F$115,0),0),0)</f>
        <v>-11260</v>
      </c>
      <c r="C5" s="71">
        <f>IF(2=1,IFERROR(ROUND(-MIN(Scenario_High_PL!D7,Scenario_High_PL!D70)*(Scenario_High_PL!D14/Scenario_High_PL!D7)*Assumptions!$F$115,0),0),0)</f>
        <v>0</v>
      </c>
      <c r="D5" s="71">
        <f>IF(3=1,IFERROR(ROUND(-MIN(Scenario_High_PL!E7,Scenario_High_PL!E70)*(Scenario_High_PL!E14/Scenario_High_PL!E7)*Assumptions!$F$115,0),0),0)</f>
        <v>0</v>
      </c>
      <c r="E5" s="89">
        <f>IF(4=1,IFERROR(ROUND(-MIN(Scenario_High_PL!F7,Scenario_High_PL!F70)*(Scenario_High_PL!F14/Scenario_High_PL!F7)*Assumptions!$F$115,0),0),0)</f>
        <v>0</v>
      </c>
      <c r="F5" s="89">
        <f>IF(5=1,IFERROR(ROUND(-MIN(Scenario_High_PL!G7,Scenario_High_PL!G70)*(Scenario_High_PL!G14/Scenario_High_PL!G7)*Assumptions!$F$115,0),0),0)</f>
        <v>0</v>
      </c>
      <c r="G5" s="89">
        <f>IF(4=1,IFERROR(ROUND(-MIN(Scenario_High_PL!F7,Scenario_High_PL!F70)*(Scenario_High_PL!F14/Scenario_High_PL!F7)*Assumptions!$F$115,0),0),0)</f>
        <v>0</v>
      </c>
    </row>
    <row r="6" spans="1:7" ht="18" customHeight="1">
      <c r="A6" s="69" t="s">
        <v>1155</v>
      </c>
      <c r="B6" s="71">
        <f>ROUND(Scenario_High_Tiers!C5*Assumptions!$F$116*Assumptions!$F$118+Scenario_High_Tiers!D5*Assumptions!$F$117*Assumptions!$F$119,0)</f>
        <v>7800</v>
      </c>
      <c r="C6" s="71">
        <f>ROUND(Scenario_High_Tiers!G5*Assumptions!$F$116*Assumptions!$F$118+Scenario_High_Tiers!H5*Assumptions!$F$117*Assumptions!$F$119,0)</f>
        <v>28050</v>
      </c>
      <c r="D6" s="71">
        <f>ROUND(Scenario_High_Tiers!K5*Assumptions!$F$116*Assumptions!$F$118+Scenario_High_Tiers!L5*Assumptions!$F$117*Assumptions!$F$119,0)</f>
        <v>60000</v>
      </c>
      <c r="E6" s="89">
        <f>ROUND(Scenario_High_Tiers!O5*Assumptions!$F$116*Assumptions!$F$118+Scenario_High_Tiers!P5*Assumptions!$F$117*Assumptions!$F$119,0)</f>
        <v>83700</v>
      </c>
      <c r="F6" s="89">
        <f>ROUND(Scenario_High_Tiers!S5*Assumptions!$F$116*Assumptions!$F$118+Scenario_High_Tiers!T5*Assumptions!$F$117*Assumptions!$F$119,0)</f>
        <v>126000</v>
      </c>
      <c r="G6" s="89">
        <f>ROUND(Scenario_High_Tiers!O5*Assumptions!$F$116*Assumptions!$F$118+Scenario_High_Tiers!P5*Assumptions!$F$117*Assumptions!$F$119,0)</f>
        <v>83700</v>
      </c>
    </row>
    <row r="7" spans="1:7" ht="18" customHeight="1">
      <c r="A7" s="68" t="s">
        <v>1156</v>
      </c>
      <c r="B7" s="92">
        <f>ROUND(Scenario_High_PL!C11*Assumptions!$F$120,0)</f>
        <v>6000</v>
      </c>
      <c r="C7" s="92">
        <f>ROUND(Scenario_High_PL!D11*Assumptions!$F$120,0)</f>
        <v>33000</v>
      </c>
      <c r="D7" s="92">
        <f>ROUND(Scenario_High_PL!E11*Assumptions!$F$120,0)</f>
        <v>120000</v>
      </c>
      <c r="E7" s="93">
        <f>ROUND(Scenario_High_PL!F11*Assumptions!$F$120,0)</f>
        <v>270000</v>
      </c>
      <c r="F7" s="93">
        <f>ROUND(Scenario_High_PL!G11*Assumptions!$F$120,0)</f>
        <v>600000</v>
      </c>
      <c r="G7" s="93" t="s">
        <v>1157</v>
      </c>
    </row>
    <row r="8" spans="1:7" ht="18" customHeight="1">
      <c r="A8" s="68" t="s">
        <v>1158</v>
      </c>
      <c r="B8" s="92">
        <f>ROUND(Scenario_High_Tiers!D19*Assumptions!$F$121,0)</f>
        <v>2400</v>
      </c>
      <c r="C8" s="92">
        <f>ROUND(Scenario_High_Tiers!H19*Assumptions!$F$121,0)</f>
        <v>6600</v>
      </c>
      <c r="D8" s="92">
        <f>ROUND(Scenario_High_Tiers!L19*Assumptions!$F$121,0)</f>
        <v>12000</v>
      </c>
      <c r="E8" s="93">
        <f>ROUND(Scenario_High_Tiers!P19*Assumptions!$F$121,0)</f>
        <v>10800</v>
      </c>
      <c r="F8" s="93">
        <f>ROUND(Scenario_High_Tiers!T19*Assumptions!$F$121,0)</f>
        <v>12000</v>
      </c>
      <c r="G8" s="93">
        <f>ROUND(Scenario_High_Tiers!P19*Assumptions!$F$121,0)</f>
        <v>10800</v>
      </c>
    </row>
    <row r="9" spans="1:7" ht="18" customHeight="1">
      <c r="A9" s="68" t="s">
        <v>1159</v>
      </c>
      <c r="B9" s="92">
        <f>ROUND(Scenario_High_Tiers!D5*Assumptions!$F$122,0)</f>
        <v>6000</v>
      </c>
      <c r="C9" s="92">
        <f>ROUND(Scenario_High_Tiers!H5*Assumptions!$F$122,0)</f>
        <v>16500</v>
      </c>
      <c r="D9" s="92">
        <f>ROUND(Scenario_High_Tiers!L5*Assumptions!$F$122,0)</f>
        <v>30000</v>
      </c>
      <c r="E9" s="93">
        <f>ROUND(Scenario_High_Tiers!P5*Assumptions!$F$122,0)</f>
        <v>27000</v>
      </c>
      <c r="F9" s="93">
        <f>ROUND(Scenario_High_Tiers!T5*Assumptions!$F$122,0)</f>
        <v>30000</v>
      </c>
      <c r="G9" s="93">
        <f>ROUND(Scenario_High_Tiers!P5*Assumptions!$F$122,0)</f>
        <v>27000</v>
      </c>
    </row>
    <row r="10" spans="1:7" ht="18" customHeight="1">
      <c r="A10" s="68" t="s">
        <v>1160</v>
      </c>
      <c r="B10" s="92">
        <f>ROUND(Scenario_High_PL!C12*Assumptions!$F$124*Assumptions!$F$123,0)</f>
        <v>2448</v>
      </c>
      <c r="C10" s="92">
        <f>ROUND(Scenario_High_PL!D12*Assumptions!$F$124*Assumptions!$F$123,0)</f>
        <v>10956</v>
      </c>
      <c r="D10" s="92">
        <f>ROUND(Scenario_High_PL!E12*Assumptions!$F$124*Assumptions!$F$123,0)</f>
        <v>31680</v>
      </c>
      <c r="E10" s="93">
        <f>ROUND(Scenario_High_PL!F12*Assumptions!$F$124*Assumptions!$F$123,0)</f>
        <v>61560</v>
      </c>
      <c r="F10" s="93">
        <f>ROUND(Scenario_High_PL!G12*Assumptions!$F$124*Assumptions!$F$123,0)</f>
        <v>124320</v>
      </c>
      <c r="G10" s="93">
        <f>ROUND(Scenario_High_PL!F12*Assumptions!$F$124*Assumptions!$F$123,0)</f>
        <v>61560</v>
      </c>
    </row>
    <row r="11" spans="1:7" ht="18" customHeight="1">
      <c r="A11" s="68" t="s">
        <v>1161</v>
      </c>
      <c r="B11" s="92">
        <f>ROUND(0,0)</f>
        <v>0</v>
      </c>
      <c r="C11" s="92">
        <f>ROUND(Assumptions!$E$17*Assumptions!$F$125,0)</f>
        <v>75000</v>
      </c>
      <c r="D11" s="92">
        <f>ROUND(MAX(0,Assumptions!$E$113-Assumptions!$E$17)*Assumptions!$F$125,0)</f>
        <v>75000</v>
      </c>
      <c r="E11" s="93">
        <f>ROUND(MAX(0,Assumptions!$E$163-Assumptions!$E$113)*Assumptions!$F$125,0)</f>
        <v>112500</v>
      </c>
      <c r="F11" s="93">
        <f>ROUND(MAX(0,Assumptions!$E$164-Assumptions!$E$163)*Assumptions!$F$125,0)</f>
        <v>187500</v>
      </c>
      <c r="G11" s="93" t="s">
        <v>1162</v>
      </c>
    </row>
    <row r="12" spans="1:7" ht="18" customHeight="1">
      <c r="A12" s="68" t="s">
        <v>1163</v>
      </c>
      <c r="B12" s="92">
        <f>ROUND(0,0)</f>
        <v>0</v>
      </c>
      <c r="C12" s="92">
        <f>ROUND(Assumptions!$E$17*Assumptions!$F$126*12,0)</f>
        <v>90000</v>
      </c>
      <c r="D12" s="92">
        <f>ROUND(Assumptions!$E$113*Assumptions!$F$126*12,0)</f>
        <v>180000</v>
      </c>
      <c r="E12" s="93">
        <f>ROUND(Assumptions!$E$163*Assumptions!$F$126*12,0)</f>
        <v>315000</v>
      </c>
      <c r="F12" s="93">
        <f>ROUND(Assumptions!$E$164*Assumptions!$F$126*12,0)</f>
        <v>540000</v>
      </c>
      <c r="G12" s="93" t="s">
        <v>1164</v>
      </c>
    </row>
    <row r="13" spans="1:7" ht="18" customHeight="1">
      <c r="A13" s="69" t="s">
        <v>1165</v>
      </c>
      <c r="B13" s="71">
        <f>ROUND(Scenario_High_PL!C7*Assumptions!$F$127,0)</f>
        <v>1200</v>
      </c>
      <c r="C13" s="71">
        <f>ROUND(Scenario_High_PL!D7*Assumptions!$F$127,0)</f>
        <v>6600</v>
      </c>
      <c r="D13" s="71">
        <f>ROUND(Scenario_High_PL!E7*Assumptions!$F$127,0)</f>
        <v>24000</v>
      </c>
      <c r="E13" s="89">
        <f>ROUND(Scenario_High_PL!F7*Assumptions!$F$127,0)</f>
        <v>54000</v>
      </c>
      <c r="F13" s="89">
        <f>ROUND(Scenario_High_PL!G7*Assumptions!$F$127,0)</f>
        <v>120000</v>
      </c>
      <c r="G13" s="89">
        <f>ROUND(Scenario_High_PL!F7*Assumptions!$F$127,0)</f>
        <v>54000</v>
      </c>
    </row>
    <row r="14" spans="1:7" ht="18" customHeight="1">
      <c r="A14" s="69" t="s">
        <v>1149</v>
      </c>
      <c r="B14" s="71">
        <f>ROUND(Assumptions!$F$128*Assumptions!$F$129*Assumptions!$F$130*Scenario_High_PL!C9,0)</f>
        <v>0</v>
      </c>
      <c r="C14" s="71">
        <f>ROUND(Assumptions!$F$128*Assumptions!$F$129*Assumptions!$F$130*Scenario_High_PL!D9,0)</f>
        <v>0</v>
      </c>
      <c r="D14" s="71">
        <f>ROUND(Assumptions!$F$128*Assumptions!$F$129*Assumptions!$F$130*Scenario_High_PL!E9,0)</f>
        <v>0</v>
      </c>
      <c r="E14" s="89">
        <f>ROUND(Assumptions!$F$128*Assumptions!$F$129*Assumptions!$F$130*Scenario_High_PL!F9,0)</f>
        <v>0</v>
      </c>
      <c r="F14" s="89">
        <f>ROUND(Assumptions!$F$128*Assumptions!$F$129*Assumptions!$F$130*Scenario_High_PL!G9,0)</f>
        <v>0</v>
      </c>
      <c r="G14" s="89">
        <f>ROUND(Assumptions!$F$128*Assumptions!$F$129*Assumptions!$F$130*Scenario_High_PL!F9,0)</f>
        <v>0</v>
      </c>
    </row>
    <row r="15" spans="1:7" ht="18" customHeight="1">
      <c r="A15" s="72" t="s">
        <v>1166</v>
      </c>
      <c r="B15" s="73">
        <f>ROUND(SUM(B5:B14),0)</f>
        <v>14588</v>
      </c>
      <c r="C15" s="73">
        <f>ROUND(SUM(C5:C14),0)</f>
        <v>266706</v>
      </c>
      <c r="D15" s="73">
        <f>ROUND(SUM(D5:D14),0)</f>
        <v>532680</v>
      </c>
      <c r="E15" s="90">
        <f>ROUND(SUM(E5:E14),0)</f>
        <v>934560</v>
      </c>
      <c r="F15" s="90">
        <f>ROUND(SUM(F5:F14),0)</f>
        <v>1739820</v>
      </c>
      <c r="G15" s="90">
        <f>ROUND(SUM(E5:E14),0)</f>
        <v>934560</v>
      </c>
    </row>
    <row r="16" spans="1:7" ht="18" customHeight="1">
      <c r="A16" s="69"/>
      <c r="B16" s="71"/>
      <c r="C16" s="71"/>
      <c r="D16" s="71"/>
      <c r="E16" s="89"/>
      <c r="F16" s="89"/>
      <c r="G16" s="89"/>
    </row>
    <row r="17" spans="1:7" ht="18" customHeight="1">
      <c r="A17" s="118" t="s">
        <v>1167</v>
      </c>
      <c r="B17" s="124"/>
      <c r="C17" s="124"/>
      <c r="D17" s="124"/>
      <c r="E17" s="125"/>
      <c r="F17" s="125"/>
      <c r="G17" s="125"/>
    </row>
    <row r="18" spans="1:7" ht="18" customHeight="1">
      <c r="A18" s="69" t="s">
        <v>430</v>
      </c>
      <c r="B18" s="71">
        <f>ROUND(Scenario_High_PL!C7*Assumptions!$F$136*Assumptions!$F$137,0)</f>
        <v>1920</v>
      </c>
      <c r="C18" s="71">
        <f>ROUND(Scenario_High_PL!D7*Assumptions!$F$136*Assumptions!$F$137,0)</f>
        <v>10560</v>
      </c>
      <c r="D18" s="71">
        <f>ROUND(Scenario_High_PL!E7*Assumptions!$F$136*Assumptions!$F$137,0)</f>
        <v>38400</v>
      </c>
      <c r="E18" s="89">
        <f>ROUND(Scenario_High_PL!F7*Assumptions!$F$136*Assumptions!$F$137,0)</f>
        <v>86400</v>
      </c>
      <c r="F18" s="89">
        <f>ROUND(Scenario_High_PL!G7*Assumptions!$F$136*Assumptions!$F$137,0)</f>
        <v>192000</v>
      </c>
      <c r="G18" s="89">
        <f>ROUND(Scenario_High_PL!F7*Assumptions!$F$136*Assumptions!$F$137,0)</f>
        <v>86400</v>
      </c>
    </row>
    <row r="19" spans="1:7" ht="18" customHeight="1">
      <c r="A19" s="69" t="s">
        <v>435</v>
      </c>
      <c r="B19" s="71">
        <f>ROUND(Scenario_High_PL!C7*Assumptions!$F$138*Assumptions!$F$139,0)</f>
        <v>18000</v>
      </c>
      <c r="C19" s="71">
        <f>ROUND(Scenario_High_PL!D7*Assumptions!$F$138*Assumptions!$F$139,0)</f>
        <v>99000</v>
      </c>
      <c r="D19" s="71">
        <f>ROUND(Scenario_High_PL!E7*Assumptions!$F$138*Assumptions!$F$139,0)</f>
        <v>360000</v>
      </c>
      <c r="E19" s="89">
        <f>ROUND(Scenario_High_PL!F7*Assumptions!$F$138*Assumptions!$F$139,0)</f>
        <v>810000</v>
      </c>
      <c r="F19" s="89">
        <f>ROUND(Scenario_High_PL!G7*Assumptions!$F$138*Assumptions!$F$139,0)</f>
        <v>1800000</v>
      </c>
      <c r="G19" s="89">
        <f>ROUND(Scenario_High_PL!F7*Assumptions!$F$138*Assumptions!$F$139,0)</f>
        <v>810000</v>
      </c>
    </row>
    <row r="20" spans="1:7" ht="18" customHeight="1">
      <c r="A20" s="69" t="s">
        <v>1168</v>
      </c>
      <c r="B20" s="71">
        <f>ROUND(Scenario_High_PL!C18*Assumptions!$F$140,0)</f>
        <v>1847</v>
      </c>
      <c r="C20" s="71">
        <f>ROUND(Scenario_High_PL!D18*Assumptions!$F$140,0)</f>
        <v>12073</v>
      </c>
      <c r="D20" s="71">
        <f>ROUND(Scenario_High_PL!E18*Assumptions!$F$140,0)</f>
        <v>42568</v>
      </c>
      <c r="E20" s="89">
        <f>ROUND(Scenario_High_PL!F18*Assumptions!$F$140,0)</f>
        <v>109002</v>
      </c>
      <c r="F20" s="89">
        <f>ROUND(Scenario_High_PL!G18*Assumptions!$F$140,0)</f>
        <v>295666</v>
      </c>
      <c r="G20" s="89">
        <f>ROUND(Scenario_High_PL!F18*Assumptions!$F$140,0)</f>
        <v>109002</v>
      </c>
    </row>
    <row r="21" spans="1:7" ht="18" customHeight="1">
      <c r="A21" s="69" t="s">
        <v>446</v>
      </c>
      <c r="B21" s="71">
        <f>ROUND(Scenario_High_PL!C18*Assumptions!$F$144,0)</f>
        <v>9233</v>
      </c>
      <c r="C21" s="71">
        <f>ROUND(Scenario_High_PL!D18*Assumptions!$F$144,0)</f>
        <v>60367</v>
      </c>
      <c r="D21" s="71">
        <f>ROUND(Scenario_High_PL!E18*Assumptions!$F$144,0)</f>
        <v>212838</v>
      </c>
      <c r="E21" s="89">
        <f>ROUND(Scenario_High_PL!F18*Assumptions!$F$144,0)</f>
        <v>545008</v>
      </c>
      <c r="F21" s="89">
        <f>ROUND(Scenario_High_PL!G18*Assumptions!$F$144,0)</f>
        <v>1478328</v>
      </c>
      <c r="G21" s="89">
        <f>ROUND(Scenario_High_PL!F18*Assumptions!$F$144,0)</f>
        <v>545008</v>
      </c>
    </row>
    <row r="22" spans="1:7" ht="18" customHeight="1">
      <c r="A22" s="69" t="s">
        <v>448</v>
      </c>
      <c r="B22" s="71">
        <f>ROUND((B7+B10+B12)*Assumptions!$F$145,0)</f>
        <v>84</v>
      </c>
      <c r="C22" s="71">
        <f>ROUND((C7+C10+C12)*Assumptions!$F$145,0)</f>
        <v>1340</v>
      </c>
      <c r="D22" s="71">
        <f>ROUND((D7+D10+D12)*Assumptions!$F$145,0)</f>
        <v>3317</v>
      </c>
      <c r="E22" s="89">
        <f>ROUND((E7+E10+E12)*Assumptions!$F$145,0)</f>
        <v>6466</v>
      </c>
      <c r="F22" s="89">
        <f>ROUND((F7+F10+F12)*Assumptions!$F$145,0)</f>
        <v>12643</v>
      </c>
      <c r="G22" s="89">
        <f>ROUND((E7+E10+E12)*Assumptions!$F$145,0)</f>
        <v>6466</v>
      </c>
    </row>
    <row r="23" spans="1:7" ht="18" customHeight="1">
      <c r="A23" s="69" t="s">
        <v>1169</v>
      </c>
      <c r="B23" s="71">
        <f>ROUND(Scenario_High_Tiers!C5*Assumptions!$F$146*Assumptions!$F$147,0)</f>
        <v>450</v>
      </c>
      <c r="C23" s="71">
        <f>ROUND(Scenario_High_Tiers!G5*Assumptions!$F$146*Assumptions!$F$147,0)</f>
        <v>2228</v>
      </c>
      <c r="D23" s="71">
        <f>ROUND(Scenario_High_Tiers!K5*Assumptions!$F$146*Assumptions!$F$147,0)</f>
        <v>5400</v>
      </c>
      <c r="E23" s="89">
        <f>ROUND(Scenario_High_Tiers!O5*Assumptions!$F$146*Assumptions!$F$147,0)</f>
        <v>9315</v>
      </c>
      <c r="F23" s="89">
        <f>ROUND(Scenario_High_Tiers!S5*Assumptions!$F$146*Assumptions!$F$147,0)</f>
        <v>15300</v>
      </c>
      <c r="G23" s="89">
        <f>ROUND(Scenario_High_Tiers!O5*Assumptions!$F$146*Assumptions!$F$147,0)</f>
        <v>9315</v>
      </c>
    </row>
    <row r="24" spans="1:7" ht="18" customHeight="1">
      <c r="A24" s="74" t="s">
        <v>1170</v>
      </c>
      <c r="B24" s="75">
        <f>ROUND(SUM(B18:B23),0)</f>
        <v>31534</v>
      </c>
      <c r="C24" s="75">
        <f>ROUND(SUM(C18:C23),0)</f>
        <v>185568</v>
      </c>
      <c r="D24" s="75">
        <f>ROUND(SUM(D18:D23),0)</f>
        <v>662523</v>
      </c>
      <c r="E24" s="115">
        <f>ROUND(SUM(E18:E23),0)</f>
        <v>1566191</v>
      </c>
      <c r="F24" s="115">
        <f>ROUND(SUM(F18:F23),0)</f>
        <v>3793937</v>
      </c>
      <c r="G24" s="115">
        <f>ROUND(SUM(E18:E23),0)</f>
        <v>1566191</v>
      </c>
    </row>
    <row r="25" spans="1:7" ht="18" customHeight="1">
      <c r="A25" s="69"/>
      <c r="B25" s="71"/>
      <c r="C25" s="71"/>
      <c r="D25" s="71"/>
      <c r="E25" s="89"/>
      <c r="F25" s="89"/>
      <c r="G25" s="89"/>
    </row>
    <row r="26" spans="1:7" ht="18" customHeight="1">
      <c r="A26" s="118" t="s">
        <v>1171</v>
      </c>
      <c r="B26" s="124"/>
      <c r="C26" s="124"/>
      <c r="D26" s="124"/>
      <c r="E26" s="125"/>
      <c r="F26" s="125"/>
      <c r="G26" s="125"/>
    </row>
    <row r="27" spans="1:7" ht="18" customHeight="1">
      <c r="A27" s="76" t="s">
        <v>419</v>
      </c>
      <c r="B27" s="77">
        <f>ROUND(Assumptions!$F$132*1,0)</f>
        <v>15000</v>
      </c>
      <c r="C27" s="77">
        <f>ROUND(Assumptions!$F$132*1.25,0)</f>
        <v>18750</v>
      </c>
      <c r="D27" s="77">
        <f>ROUND(Assumptions!$F$132*1.5,0)</f>
        <v>22500</v>
      </c>
      <c r="E27" s="116">
        <f>ROUND(Assumptions!$F$132*1.75,0)</f>
        <v>26250</v>
      </c>
      <c r="F27" s="116">
        <f>ROUND(Assumptions!$F$132*2,0)</f>
        <v>30000</v>
      </c>
      <c r="G27" s="116">
        <f>ROUND(Assumptions!$F$132*1.75,0)</f>
        <v>26250</v>
      </c>
    </row>
    <row r="28" spans="1:7" ht="18" customHeight="1">
      <c r="A28" s="69" t="s">
        <v>421</v>
      </c>
      <c r="B28" s="71">
        <f>ROUND(Assumptions!$F$133*1,0)</f>
        <v>20000</v>
      </c>
      <c r="C28" s="71">
        <f>ROUND(Assumptions!$F$133*1.25,0)</f>
        <v>25000</v>
      </c>
      <c r="D28" s="71">
        <f>ROUND(Assumptions!$F$133*1.5,0)</f>
        <v>30000</v>
      </c>
      <c r="E28" s="89">
        <f>ROUND(Assumptions!$F$133*1.75,0)</f>
        <v>35000</v>
      </c>
      <c r="F28" s="89">
        <f>ROUND(Assumptions!$F$133*2,0)</f>
        <v>40000</v>
      </c>
      <c r="G28" s="89">
        <f>ROUND(Assumptions!$F$133*1.75,0)</f>
        <v>35000</v>
      </c>
    </row>
    <row r="29" spans="1:7" ht="18" customHeight="1">
      <c r="A29" s="69" t="s">
        <v>1172</v>
      </c>
      <c r="B29" s="71">
        <f>ROUND(Assumptions!$F$134+Assumptions!$F$135,0)</f>
        <v>55000</v>
      </c>
      <c r="C29" s="71">
        <f>ROUND(Assumptions!$F$135,0)</f>
        <v>15000</v>
      </c>
      <c r="D29" s="71">
        <f>ROUND(Assumptions!$F$135,0)</f>
        <v>15000</v>
      </c>
      <c r="E29" s="89">
        <f>ROUND(Assumptions!$F$135,0)</f>
        <v>15000</v>
      </c>
      <c r="F29" s="89">
        <f>ROUND(Assumptions!$F$135,0)</f>
        <v>15000</v>
      </c>
      <c r="G29" s="89">
        <f>ROUND(Assumptions!$F$135,0)</f>
        <v>15000</v>
      </c>
    </row>
    <row r="30" spans="1:7" ht="18" customHeight="1">
      <c r="A30" s="69" t="s">
        <v>442</v>
      </c>
      <c r="B30" s="71">
        <f>ROUND(Assumptions!$F$142*1,0)</f>
        <v>12000</v>
      </c>
      <c r="C30" s="71">
        <f>ROUND(Assumptions!$F$142*1.25,0)</f>
        <v>15000</v>
      </c>
      <c r="D30" s="71">
        <f>ROUND(Assumptions!$F$142*1.5,0)</f>
        <v>18000</v>
      </c>
      <c r="E30" s="89">
        <f>ROUND(Assumptions!$F$142*1.75,0)</f>
        <v>21000</v>
      </c>
      <c r="F30" s="89">
        <f>ROUND(Assumptions!$F$142*2,0)</f>
        <v>24000</v>
      </c>
      <c r="G30" s="89">
        <f>ROUND(Assumptions!$F$142*1.75,0)</f>
        <v>21000</v>
      </c>
    </row>
    <row r="31" spans="1:7" ht="18" customHeight="1">
      <c r="A31" s="69" t="s">
        <v>444</v>
      </c>
      <c r="B31" s="71">
        <f>ROUND(Assumptions!$F$143*1,0)</f>
        <v>18000</v>
      </c>
      <c r="C31" s="71">
        <f>ROUND(Assumptions!$F$143*1.25,0)</f>
        <v>22500</v>
      </c>
      <c r="D31" s="71">
        <f>ROUND(Assumptions!$F$143*1.5,0)</f>
        <v>27000</v>
      </c>
      <c r="E31" s="89">
        <f>ROUND(Assumptions!$F$143*1.75,0)</f>
        <v>31500</v>
      </c>
      <c r="F31" s="89">
        <f>ROUND(Assumptions!$F$143*2,0)</f>
        <v>36000</v>
      </c>
      <c r="G31" s="89">
        <f>ROUND(Assumptions!$F$143*1.75,0)</f>
        <v>31500</v>
      </c>
    </row>
    <row r="32" spans="1:7" ht="18" customHeight="1">
      <c r="A32" s="69" t="s">
        <v>440</v>
      </c>
      <c r="B32" s="71">
        <f>ROUND(Assumptions!$F$141,0)</f>
        <v>15000</v>
      </c>
      <c r="C32" s="71">
        <f>ROUND(Assumptions!$F$141,0)</f>
        <v>15000</v>
      </c>
      <c r="D32" s="71">
        <f>ROUND(Assumptions!$F$141,0)</f>
        <v>15000</v>
      </c>
      <c r="E32" s="89">
        <f>ROUND(Assumptions!$F$141,0)</f>
        <v>15000</v>
      </c>
      <c r="F32" s="89">
        <f>ROUND(Assumptions!$F$141,0)</f>
        <v>15000</v>
      </c>
      <c r="G32" s="89">
        <f>ROUND(Assumptions!$F$141,0)</f>
        <v>15000</v>
      </c>
    </row>
    <row r="33" spans="1:7" ht="18" customHeight="1">
      <c r="A33" s="69" t="s">
        <v>455</v>
      </c>
      <c r="B33" s="71">
        <f>ROUND(Assumptions!$F$148*1,0)</f>
        <v>30000</v>
      </c>
      <c r="C33" s="71">
        <f>ROUND(Assumptions!$F$148*1,0)</f>
        <v>30000</v>
      </c>
      <c r="D33" s="71">
        <f>ROUND(Assumptions!$F$148*1,0)</f>
        <v>30000</v>
      </c>
      <c r="E33" s="89">
        <f>ROUND(Assumptions!$F$148*1.25,0)</f>
        <v>37500</v>
      </c>
      <c r="F33" s="89">
        <f>ROUND(Assumptions!$F$148*1.5,0)</f>
        <v>45000</v>
      </c>
      <c r="G33" s="89">
        <f>ROUND(Assumptions!$F$148*1.25,0)</f>
        <v>37500</v>
      </c>
    </row>
    <row r="34" spans="1:7" ht="18" customHeight="1">
      <c r="A34" s="69" t="s">
        <v>465</v>
      </c>
      <c r="B34" s="71">
        <f>ROUND(Assumptions!$F$152,0)</f>
        <v>7500</v>
      </c>
      <c r="C34" s="71">
        <f t="shared" ref="C34:G35" si="0">ROUND(0,0)</f>
        <v>0</v>
      </c>
      <c r="D34" s="71">
        <f t="shared" si="0"/>
        <v>0</v>
      </c>
      <c r="E34" s="89">
        <f t="shared" si="0"/>
        <v>0</v>
      </c>
      <c r="F34" s="89">
        <f t="shared" si="0"/>
        <v>0</v>
      </c>
      <c r="G34" s="89">
        <f t="shared" si="0"/>
        <v>0</v>
      </c>
    </row>
    <row r="35" spans="1:7" ht="18" customHeight="1">
      <c r="A35" s="69" t="s">
        <v>467</v>
      </c>
      <c r="B35" s="71">
        <f>ROUND(Assumptions!$F$153,0)</f>
        <v>7500</v>
      </c>
      <c r="C35" s="71">
        <f t="shared" si="0"/>
        <v>0</v>
      </c>
      <c r="D35" s="71">
        <f t="shared" si="0"/>
        <v>0</v>
      </c>
      <c r="E35" s="89">
        <f t="shared" si="0"/>
        <v>0</v>
      </c>
      <c r="F35" s="89">
        <f t="shared" si="0"/>
        <v>0</v>
      </c>
      <c r="G35" s="89">
        <f t="shared" si="0"/>
        <v>0</v>
      </c>
    </row>
    <row r="36" spans="1:7" ht="18" customHeight="1">
      <c r="A36" s="74" t="s">
        <v>1173</v>
      </c>
      <c r="B36" s="75">
        <f>ROUND(SUM(B27:B35),0)</f>
        <v>180000</v>
      </c>
      <c r="C36" s="75">
        <f>ROUND(SUM(C27:C35),0)</f>
        <v>141250</v>
      </c>
      <c r="D36" s="75">
        <f>ROUND(SUM(D27:D35),0)</f>
        <v>157500</v>
      </c>
      <c r="E36" s="115">
        <f>ROUND(SUM(E27:E35),0)</f>
        <v>181250</v>
      </c>
      <c r="F36" s="115">
        <f>ROUND(SUM(F27:F35),0)</f>
        <v>205000</v>
      </c>
      <c r="G36" s="115">
        <f>ROUND(SUM(E27:E35),0)</f>
        <v>181250</v>
      </c>
    </row>
    <row r="37" spans="1:7" ht="18" customHeight="1">
      <c r="A37" s="69"/>
      <c r="B37" s="71"/>
      <c r="C37" s="71"/>
      <c r="D37" s="71"/>
      <c r="E37" s="89"/>
      <c r="F37" s="89"/>
      <c r="G37" s="89"/>
    </row>
    <row r="38" spans="1:7" ht="18" customHeight="1">
      <c r="A38" s="118" t="s">
        <v>1174</v>
      </c>
      <c r="B38" s="124"/>
      <c r="C38" s="124"/>
      <c r="D38" s="124"/>
      <c r="E38" s="125"/>
      <c r="F38" s="125"/>
      <c r="G38" s="125"/>
    </row>
    <row r="39" spans="1:7" ht="18" customHeight="1">
      <c r="A39" s="76" t="s">
        <v>1175</v>
      </c>
      <c r="B39" s="77">
        <f>ROUND(Assumptions!$F$149*Assumptions!$F$150,0)</f>
        <v>240000</v>
      </c>
      <c r="C39" s="77">
        <f>ROUND(0,0)</f>
        <v>0</v>
      </c>
      <c r="D39" s="77">
        <f>ROUND(0,0)</f>
        <v>0</v>
      </c>
      <c r="E39" s="116">
        <f>ROUND(0,0)</f>
        <v>0</v>
      </c>
      <c r="F39" s="116">
        <f>ROUND(0,0)</f>
        <v>0</v>
      </c>
      <c r="G39" s="116">
        <f>ROUND(0,0)</f>
        <v>0</v>
      </c>
    </row>
    <row r="40" spans="1:7" ht="18" customHeight="1">
      <c r="A40" s="69" t="s">
        <v>462</v>
      </c>
      <c r="B40" s="71">
        <f>ROUND(Assumptions!$F$151,0)</f>
        <v>0</v>
      </c>
      <c r="C40" s="71">
        <f>ROUND(Assumptions!$F$151,0)</f>
        <v>0</v>
      </c>
      <c r="D40" s="71">
        <f>ROUND(Assumptions!$F$151,0)</f>
        <v>0</v>
      </c>
      <c r="E40" s="89">
        <f>ROUND(Assumptions!$F$151,0)</f>
        <v>0</v>
      </c>
      <c r="F40" s="89">
        <f>ROUND(Assumptions!$F$151,0)</f>
        <v>0</v>
      </c>
      <c r="G40" s="89">
        <f>ROUND(Assumptions!$F$151,0)</f>
        <v>0</v>
      </c>
    </row>
    <row r="41" spans="1:7" ht="18" customHeight="1">
      <c r="A41" s="74" t="s">
        <v>1176</v>
      </c>
      <c r="B41" s="75">
        <f>ROUND(SUM(B39:B40),0)</f>
        <v>240000</v>
      </c>
      <c r="C41" s="75">
        <f>ROUND(SUM(C39:C40),0)</f>
        <v>0</v>
      </c>
      <c r="D41" s="75">
        <f>ROUND(SUM(D39:D40),0)</f>
        <v>0</v>
      </c>
      <c r="E41" s="115">
        <f>ROUND(SUM(E39:E40),0)</f>
        <v>0</v>
      </c>
      <c r="F41" s="115">
        <f>ROUND(SUM(F39:F40),0)</f>
        <v>0</v>
      </c>
      <c r="G41" s="115">
        <f>ROUND(SUM(E39:E40),0)</f>
        <v>0</v>
      </c>
    </row>
    <row r="42" spans="1:7" ht="18" customHeight="1">
      <c r="A42" s="69"/>
      <c r="B42" s="69"/>
      <c r="C42" s="69"/>
      <c r="D42" s="69"/>
      <c r="E42" s="88"/>
      <c r="F42" s="88"/>
      <c r="G42" s="88"/>
    </row>
    <row r="43" spans="1:7" ht="18" customHeight="1">
      <c r="A43" s="118" t="s">
        <v>1177</v>
      </c>
      <c r="B43" s="118"/>
      <c r="C43" s="118"/>
      <c r="D43" s="118"/>
      <c r="E43" s="119"/>
      <c r="F43" s="119"/>
      <c r="G43" s="119"/>
    </row>
    <row r="44" spans="1:7" ht="33" customHeight="1">
      <c r="A44" s="76" t="s">
        <v>1127</v>
      </c>
      <c r="B44" s="76" t="s">
        <v>1178</v>
      </c>
      <c r="C44" s="76" t="s">
        <v>1179</v>
      </c>
      <c r="D44" s="76" t="s">
        <v>1179</v>
      </c>
      <c r="E44" s="117" t="s">
        <v>1179</v>
      </c>
      <c r="F44" s="117" t="s">
        <v>1179</v>
      </c>
      <c r="G44" s="117" t="s">
        <v>1180</v>
      </c>
    </row>
    <row r="45" spans="1:7" ht="33" customHeight="1">
      <c r="A45" s="69" t="s">
        <v>1181</v>
      </c>
      <c r="B45" s="69" t="s">
        <v>1182</v>
      </c>
      <c r="C45" s="69" t="s">
        <v>1183</v>
      </c>
      <c r="D45" s="69" t="s">
        <v>1183</v>
      </c>
      <c r="E45" s="88" t="s">
        <v>1184</v>
      </c>
      <c r="F45" s="88"/>
      <c r="G45" s="88" t="s">
        <v>1184</v>
      </c>
    </row>
    <row r="46" spans="1:7" ht="33" customHeight="1">
      <c r="A46" s="69" t="s">
        <v>1185</v>
      </c>
      <c r="B46" s="69" t="s">
        <v>1186</v>
      </c>
      <c r="C46" s="69" t="s">
        <v>1183</v>
      </c>
      <c r="D46" s="69" t="s">
        <v>1183</v>
      </c>
      <c r="E46" s="88" t="s">
        <v>1187</v>
      </c>
      <c r="F46" s="88"/>
      <c r="G46" s="88" t="s">
        <v>1187</v>
      </c>
    </row>
    <row r="47" spans="1:7" ht="33" customHeight="1">
      <c r="A47" s="69" t="s">
        <v>1137</v>
      </c>
      <c r="B47" s="69" t="s">
        <v>1188</v>
      </c>
      <c r="C47" s="69" t="s">
        <v>77</v>
      </c>
      <c r="D47" s="69" t="s">
        <v>77</v>
      </c>
      <c r="E47" s="88" t="s">
        <v>1189</v>
      </c>
      <c r="F47" s="88"/>
      <c r="G47" s="88" t="s">
        <v>1189</v>
      </c>
    </row>
    <row r="48" spans="1:7" ht="33" customHeight="1">
      <c r="A48" s="69" t="s">
        <v>1190</v>
      </c>
      <c r="B48" s="69" t="s">
        <v>1191</v>
      </c>
      <c r="C48" s="69" t="s">
        <v>1192</v>
      </c>
      <c r="D48" s="69" t="s">
        <v>1192</v>
      </c>
      <c r="E48" s="88" t="s">
        <v>1193</v>
      </c>
      <c r="F48" s="88"/>
      <c r="G48" s="88" t="s">
        <v>1193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H74"/>
  <sheetViews>
    <sheetView workbookViewId="0"/>
  </sheetViews>
  <sheetFormatPr defaultColWidth="8.6328125" defaultRowHeight="14.5"/>
  <cols>
    <col min="1" max="1" width="2" customWidth="1"/>
    <col min="2" max="2" width="44" customWidth="1"/>
    <col min="3" max="7" width="16" customWidth="1"/>
    <col min="8" max="8" width="58" customWidth="1"/>
  </cols>
  <sheetData>
    <row r="2" spans="2:8" ht="17.25" customHeight="1">
      <c r="B2" s="2" t="s">
        <v>611</v>
      </c>
    </row>
    <row r="3" spans="2:8" ht="15" customHeight="1">
      <c r="B3" s="3" t="s">
        <v>612</v>
      </c>
    </row>
    <row r="5" spans="2:8" ht="15" customHeight="1">
      <c r="B5" s="5" t="s">
        <v>613</v>
      </c>
      <c r="C5" s="120" t="s">
        <v>614</v>
      </c>
      <c r="D5" s="120" t="s">
        <v>615</v>
      </c>
      <c r="E5" s="120" t="s">
        <v>616</v>
      </c>
      <c r="F5" s="121" t="s">
        <v>617</v>
      </c>
      <c r="G5" s="121" t="s">
        <v>618</v>
      </c>
      <c r="H5" s="121" t="s">
        <v>619</v>
      </c>
    </row>
    <row r="6" spans="2:8" ht="15" customHeight="1">
      <c r="B6" s="118" t="s">
        <v>620</v>
      </c>
      <c r="C6" s="118"/>
      <c r="D6" s="118"/>
      <c r="E6" s="118"/>
      <c r="F6" s="119"/>
      <c r="G6" s="119"/>
      <c r="H6" s="119"/>
    </row>
    <row r="7" spans="2:8" ht="21.75" customHeight="1">
      <c r="B7" s="7" t="s">
        <v>621</v>
      </c>
      <c r="C7" s="94">
        <f>Assumptions!$E$11</f>
        <v>400</v>
      </c>
      <c r="D7" s="94">
        <f>Assumptions!$E$12</f>
        <v>2200</v>
      </c>
      <c r="E7" s="94">
        <f>Assumptions!$E$13</f>
        <v>8000</v>
      </c>
      <c r="F7" s="95">
        <f>Assumptions!$E$155</f>
        <v>18000</v>
      </c>
      <c r="G7" s="95">
        <f>Assumptions!$E$156</f>
        <v>40000</v>
      </c>
      <c r="H7" s="95" t="s">
        <v>622</v>
      </c>
    </row>
    <row r="8" spans="2:8" ht="15" customHeight="1">
      <c r="B8" s="7" t="s">
        <v>623</v>
      </c>
      <c r="C8" s="203">
        <f>Assumptions!$F$14</f>
        <v>30000</v>
      </c>
      <c r="D8" s="203">
        <f>C8*(1+Assumptions!$F$15)</f>
        <v>40500</v>
      </c>
      <c r="E8" s="203">
        <f>D8*(1+Assumptions!$F$15)</f>
        <v>54675</v>
      </c>
      <c r="F8" s="205">
        <f>E8*(1+Assumptions!$F$15)</f>
        <v>73811.25</v>
      </c>
      <c r="G8" s="205">
        <f>F8*(1+Assumptions!$F$15)</f>
        <v>99645.1875</v>
      </c>
      <c r="H8" s="97" t="s">
        <v>624</v>
      </c>
    </row>
    <row r="9" spans="2:8" ht="21.75" customHeight="1">
      <c r="B9" s="7" t="s">
        <v>625</v>
      </c>
      <c r="C9" s="98">
        <f>C7*C8</f>
        <v>12000000</v>
      </c>
      <c r="D9" s="98">
        <f>D7*D8</f>
        <v>89100000</v>
      </c>
      <c r="E9" s="98">
        <f>E7*E8</f>
        <v>437400000</v>
      </c>
      <c r="F9" s="99">
        <f>F7*F8</f>
        <v>1328602500</v>
      </c>
      <c r="G9" s="99">
        <f>G7*G8</f>
        <v>3985807500</v>
      </c>
      <c r="H9" s="99" t="s">
        <v>626</v>
      </c>
    </row>
    <row r="10" spans="2:8" ht="15" customHeight="1">
      <c r="B10" s="7" t="s">
        <v>627</v>
      </c>
      <c r="C10" s="94">
        <f>Scenario_High_Tiers!E7</f>
        <v>2280</v>
      </c>
      <c r="D10" s="94">
        <f>Scenario_High_Tiers!I7</f>
        <v>10890</v>
      </c>
      <c r="E10" s="94">
        <f>Scenario_High_Tiers!M7</f>
        <v>33600</v>
      </c>
      <c r="F10" s="95">
        <f>Scenario_High_Tiers!Q7</f>
        <v>68580</v>
      </c>
      <c r="G10" s="95">
        <f>Scenario_High_Tiers!U7</f>
        <v>142800</v>
      </c>
      <c r="H10" s="95" t="s">
        <v>628</v>
      </c>
    </row>
    <row r="11" spans="2:8" ht="15" customHeight="1">
      <c r="B11" s="91" t="s">
        <v>629</v>
      </c>
      <c r="C11" s="100">
        <f>C7*Assumptions!$F$16*Assumptions!$F$62</f>
        <v>400</v>
      </c>
      <c r="D11" s="100">
        <f>D7*Assumptions!$F$16*Assumptions!$F$62</f>
        <v>2200</v>
      </c>
      <c r="E11" s="100">
        <f>E7*Assumptions!$F$16*Assumptions!$F$62</f>
        <v>8000</v>
      </c>
      <c r="F11" s="101">
        <f>F7*Assumptions!$F$16*Assumptions!$F$62</f>
        <v>18000</v>
      </c>
      <c r="G11" s="101">
        <f>G7*Assumptions!$F$16*Assumptions!$F$62</f>
        <v>40000</v>
      </c>
      <c r="H11" s="101" t="s">
        <v>630</v>
      </c>
    </row>
    <row r="12" spans="2:8" ht="15" customHeight="1">
      <c r="B12" s="7" t="s">
        <v>631</v>
      </c>
      <c r="C12" s="94">
        <f>Scenario_High_Tiers!E16</f>
        <v>40.799999999999997</v>
      </c>
      <c r="D12" s="94">
        <f>Scenario_High_Tiers!I16</f>
        <v>182.6</v>
      </c>
      <c r="E12" s="94">
        <f>Scenario_High_Tiers!M16</f>
        <v>528</v>
      </c>
      <c r="F12" s="95">
        <f>Scenario_High_Tiers!Q16</f>
        <v>1026</v>
      </c>
      <c r="G12" s="95">
        <f>Scenario_High_Tiers!U16</f>
        <v>2072</v>
      </c>
      <c r="H12" s="95" t="s">
        <v>632</v>
      </c>
    </row>
    <row r="13" spans="2:8" ht="15" customHeight="1">
      <c r="B13" s="118" t="s">
        <v>633</v>
      </c>
      <c r="C13" s="118"/>
      <c r="D13" s="118"/>
      <c r="E13" s="118"/>
      <c r="F13" s="119"/>
      <c r="G13" s="119"/>
      <c r="H13" s="119"/>
    </row>
    <row r="14" spans="2:8" ht="32.25" customHeight="1">
      <c r="B14" s="7" t="s">
        <v>634</v>
      </c>
      <c r="C14" s="96">
        <f>Scenario_High_Tiers!E12</f>
        <v>112600</v>
      </c>
      <c r="D14" s="96">
        <f>Scenario_High_Tiers!I12</f>
        <v>715027.5</v>
      </c>
      <c r="E14" s="96">
        <f>Scenario_High_Tiers!M12</f>
        <v>3149280</v>
      </c>
      <c r="F14" s="97">
        <f>Scenario_High_Tiers!Q12</f>
        <v>8974709.8874999993</v>
      </c>
      <c r="G14" s="97">
        <f>Scenario_High_Tiers!U12</f>
        <v>25967535.862500001</v>
      </c>
      <c r="H14" s="97" t="s">
        <v>635</v>
      </c>
    </row>
    <row r="15" spans="2:8" ht="15" customHeight="1">
      <c r="B15" s="7" t="s">
        <v>636</v>
      </c>
      <c r="C15" s="96">
        <f>Scenario_High_Tiers!E14</f>
        <v>45000</v>
      </c>
      <c r="D15" s="96">
        <f>Scenario_High_Tiers!I14</f>
        <v>179850</v>
      </c>
      <c r="E15" s="96">
        <f>Scenario_High_Tiers!M14</f>
        <v>466000</v>
      </c>
      <c r="F15" s="97">
        <f>Scenario_High_Tiers!Q14</f>
        <v>818100</v>
      </c>
      <c r="G15" s="97">
        <f>Scenario_High_Tiers!U14</f>
        <v>1552000</v>
      </c>
      <c r="H15" s="97" t="s">
        <v>637</v>
      </c>
    </row>
    <row r="16" spans="2:8" ht="15" customHeight="1">
      <c r="B16" s="7" t="s">
        <v>638</v>
      </c>
      <c r="C16" s="96">
        <f>Scenario_High_Tiers!E18</f>
        <v>12480</v>
      </c>
      <c r="D16" s="96">
        <f>Scenario_High_Tiers!I18</f>
        <v>45760</v>
      </c>
      <c r="E16" s="96">
        <f>Scenario_High_Tiers!M18</f>
        <v>108800</v>
      </c>
      <c r="F16" s="97">
        <f>Scenario_High_Tiers!Q18</f>
        <v>172800</v>
      </c>
      <c r="G16" s="97">
        <f>Scenario_High_Tiers!U18</f>
        <v>307200</v>
      </c>
      <c r="H16" s="97" t="s">
        <v>639</v>
      </c>
    </row>
    <row r="17" spans="2:8" ht="21.75" customHeight="1">
      <c r="B17" s="7" t="s">
        <v>640</v>
      </c>
      <c r="C17" s="98">
        <f>Scenario_High_AddOns!B15</f>
        <v>14588</v>
      </c>
      <c r="D17" s="96">
        <f>Scenario_High_AddOns!C15</f>
        <v>266706</v>
      </c>
      <c r="E17" s="96">
        <f>Scenario_High_AddOns!D15</f>
        <v>532680</v>
      </c>
      <c r="F17" s="97">
        <f>Scenario_High_AddOns!E15</f>
        <v>934560</v>
      </c>
      <c r="G17" s="97">
        <f>Scenario_High_AddOns!F15</f>
        <v>1739820</v>
      </c>
      <c r="H17" s="97" t="s">
        <v>641</v>
      </c>
    </row>
    <row r="18" spans="2:8" ht="15" customHeight="1">
      <c r="B18" s="17" t="s">
        <v>642</v>
      </c>
      <c r="C18" s="102">
        <f>SUM(C14:C17)</f>
        <v>184668</v>
      </c>
      <c r="D18" s="102">
        <f>SUM(D14:D17)</f>
        <v>1207343.5</v>
      </c>
      <c r="E18" s="102">
        <f>SUM(E14:E17)</f>
        <v>4256760</v>
      </c>
      <c r="F18" s="103">
        <f>SUM(F14:F17)</f>
        <v>10900169.887499999</v>
      </c>
      <c r="G18" s="103">
        <f>SUM(G14:G17)</f>
        <v>29566555.862500001</v>
      </c>
      <c r="H18" s="103">
        <f>SUM(F14:F17)</f>
        <v>10900169.887499999</v>
      </c>
    </row>
    <row r="19" spans="2:8" ht="15" customHeight="1">
      <c r="B19" s="118" t="s">
        <v>644</v>
      </c>
      <c r="C19" s="118"/>
      <c r="D19" s="118"/>
      <c r="E19" s="118"/>
      <c r="F19" s="119"/>
      <c r="G19" s="119"/>
      <c r="H19" s="119"/>
    </row>
    <row r="20" spans="2:8" ht="15" customHeight="1">
      <c r="B20" s="7" t="s">
        <v>645</v>
      </c>
      <c r="C20" s="96">
        <f>C10*Assumptions!$F$19/Assumptions!$F$8</f>
        <v>53.437499999999993</v>
      </c>
      <c r="D20" s="96">
        <f>D10*Assumptions!$F$19/Assumptions!$F$8</f>
        <v>255.234375</v>
      </c>
      <c r="E20" s="96">
        <f>E10*Assumptions!$F$19/Assumptions!$F$8</f>
        <v>787.5</v>
      </c>
      <c r="F20" s="97">
        <f>F10*Assumptions!$F$19/Assumptions!$F$8</f>
        <v>1607.34375</v>
      </c>
      <c r="G20" s="97">
        <f>G10*Assumptions!$F$19/Assumptions!$F$8</f>
        <v>3346.875</v>
      </c>
      <c r="H20" s="97" t="s">
        <v>646</v>
      </c>
    </row>
    <row r="21" spans="2:8" ht="21.75" customHeight="1">
      <c r="B21" s="7" t="s">
        <v>647</v>
      </c>
      <c r="C21" s="96">
        <f>C11*Assumptions!$F$20/Assumptions!$F$8</f>
        <v>1093.75</v>
      </c>
      <c r="D21" s="96">
        <f>D11*Assumptions!$F$20/Assumptions!$F$8</f>
        <v>6015.625</v>
      </c>
      <c r="E21" s="96">
        <f>E11*Assumptions!$F$20/Assumptions!$F$8</f>
        <v>21875</v>
      </c>
      <c r="F21" s="97">
        <f>F11*Assumptions!$F$20/Assumptions!$F$8</f>
        <v>49218.75</v>
      </c>
      <c r="G21" s="97">
        <f>G11*Assumptions!$F$20/Assumptions!$F$8</f>
        <v>109375</v>
      </c>
      <c r="H21" s="97" t="s">
        <v>648</v>
      </c>
    </row>
    <row r="22" spans="2:8" ht="15" customHeight="1">
      <c r="B22" s="7" t="s">
        <v>649</v>
      </c>
      <c r="C22" s="96">
        <f>C11*Assumptions!$F$21/Assumptions!$F$8</f>
        <v>421.875</v>
      </c>
      <c r="D22" s="96">
        <f>D11*Assumptions!$F$21/Assumptions!$F$8</f>
        <v>2320.3125</v>
      </c>
      <c r="E22" s="96">
        <f>E11*Assumptions!$F$21/Assumptions!$F$8</f>
        <v>8437.5</v>
      </c>
      <c r="F22" s="97">
        <f>F11*Assumptions!$F$21/Assumptions!$F$8</f>
        <v>18984.375</v>
      </c>
      <c r="G22" s="97">
        <f>G11*Assumptions!$F$21/Assumptions!$F$8</f>
        <v>42187.5</v>
      </c>
      <c r="H22" s="97" t="s">
        <v>650</v>
      </c>
    </row>
    <row r="23" spans="2:8" ht="15" customHeight="1">
      <c r="B23" s="7" t="s">
        <v>651</v>
      </c>
      <c r="C23" s="96">
        <f>Scenario_High_Tiers!E19+Scenario_High_Tiers!E20</f>
        <v>28320</v>
      </c>
      <c r="D23" s="96">
        <f>Scenario_High_Tiers!I19+Scenario_High_Tiers!I20</f>
        <v>95040</v>
      </c>
      <c r="E23" s="96">
        <f>Scenario_High_Tiers!M19+Scenario_High_Tiers!M20</f>
        <v>211200</v>
      </c>
      <c r="F23" s="97">
        <f>Scenario_High_Tiers!Q19+Scenario_High_Tiers!Q20</f>
        <v>302400</v>
      </c>
      <c r="G23" s="97">
        <f>Scenario_High_Tiers!U19+Scenario_High_Tiers!U20</f>
        <v>508800</v>
      </c>
      <c r="H23" s="97" t="s">
        <v>652</v>
      </c>
    </row>
    <row r="24" spans="2:8" ht="21.75" customHeight="1">
      <c r="B24" s="7" t="s">
        <v>653</v>
      </c>
      <c r="C24" s="96">
        <f>C7*Assumptions!$F$22/Assumptions!$F$8</f>
        <v>62.5</v>
      </c>
      <c r="D24" s="96">
        <f>D7*Assumptions!$F$22/Assumptions!$F$8</f>
        <v>343.75</v>
      </c>
      <c r="E24" s="96">
        <f>E7*Assumptions!$F$22/Assumptions!$F$8</f>
        <v>1250</v>
      </c>
      <c r="F24" s="97">
        <f>F7*Assumptions!$F$22/Assumptions!$F$8</f>
        <v>2812.5</v>
      </c>
      <c r="G24" s="97">
        <f>G7*Assumptions!$F$22/Assumptions!$F$8</f>
        <v>6250</v>
      </c>
      <c r="H24" s="97" t="s">
        <v>654</v>
      </c>
    </row>
    <row r="25" spans="2:8" ht="15" customHeight="1">
      <c r="B25" s="7" t="s">
        <v>655</v>
      </c>
      <c r="C25" s="96">
        <f>C7*Assumptions!$F$23/Assumptions!$F$8</f>
        <v>3.125</v>
      </c>
      <c r="D25" s="96">
        <f>D7*Assumptions!$F$23/Assumptions!$F$8</f>
        <v>17.1875</v>
      </c>
      <c r="E25" s="96">
        <f>E7*Assumptions!$F$23/Assumptions!$F$8</f>
        <v>62.5</v>
      </c>
      <c r="F25" s="97">
        <f>F7*Assumptions!$F$23/Assumptions!$F$8</f>
        <v>140.625</v>
      </c>
      <c r="G25" s="97">
        <f>G7*Assumptions!$F$23/Assumptions!$F$8</f>
        <v>312.5</v>
      </c>
      <c r="H25" s="97">
        <f>F7*Assumptions!$F$23/Assumptions!$F$8</f>
        <v>140.625</v>
      </c>
    </row>
    <row r="26" spans="2:8" ht="15" customHeight="1">
      <c r="B26" s="7" t="s">
        <v>657</v>
      </c>
      <c r="C26" s="96">
        <f>C7*Assumptions!$F$24/Assumptions!$F$8</f>
        <v>9.375</v>
      </c>
      <c r="D26" s="96">
        <f>D7*Assumptions!$F$24/Assumptions!$F$8</f>
        <v>51.5625</v>
      </c>
      <c r="E26" s="96">
        <f>E7*Assumptions!$F$24/Assumptions!$F$8</f>
        <v>187.5</v>
      </c>
      <c r="F26" s="97">
        <f>F7*Assumptions!$F$24/Assumptions!$F$8</f>
        <v>421.875</v>
      </c>
      <c r="G26" s="97">
        <f>G7*Assumptions!$F$24/Assumptions!$F$8</f>
        <v>937.5</v>
      </c>
      <c r="H26" s="97">
        <f>F7*Assumptions!$F$24/Assumptions!$F$8</f>
        <v>421.875</v>
      </c>
    </row>
    <row r="27" spans="2:8" ht="15" customHeight="1">
      <c r="B27" s="7" t="s">
        <v>659</v>
      </c>
      <c r="C27" s="96">
        <f>Scenario_High_Tiers!E21</f>
        <v>3040</v>
      </c>
      <c r="D27" s="96">
        <f>Scenario_High_Tiers!I21</f>
        <v>12320</v>
      </c>
      <c r="E27" s="96">
        <f>Scenario_High_Tiers!M21</f>
        <v>32800</v>
      </c>
      <c r="F27" s="97">
        <f>Scenario_High_Tiers!Q21</f>
        <v>59040</v>
      </c>
      <c r="G27" s="97">
        <f>Scenario_High_Tiers!U21</f>
        <v>114400</v>
      </c>
      <c r="H27" s="97" t="s">
        <v>660</v>
      </c>
    </row>
    <row r="28" spans="2:8" ht="15" customHeight="1">
      <c r="B28" s="7" t="s">
        <v>661</v>
      </c>
      <c r="C28" s="96">
        <f>Scenario_High_Tiers!E22+Scenario_High_AddOns!B24</f>
        <v>39822</v>
      </c>
      <c r="D28" s="96">
        <f>Scenario_High_Tiers!I22+Scenario_High_AddOns!C24</f>
        <v>215224</v>
      </c>
      <c r="E28" s="96">
        <f>Scenario_High_Tiers!M22+Scenario_High_AddOns!D24</f>
        <v>731803</v>
      </c>
      <c r="F28" s="97">
        <f>Scenario_High_Tiers!Q22+Scenario_High_AddOns!E24</f>
        <v>1673471</v>
      </c>
      <c r="G28" s="97">
        <f>Scenario_High_Tiers!U22+Scenario_High_AddOns!F24</f>
        <v>3982257</v>
      </c>
      <c r="H28" s="97" t="s">
        <v>662</v>
      </c>
    </row>
    <row r="29" spans="2:8" ht="15" customHeight="1">
      <c r="B29" s="17" t="s">
        <v>663</v>
      </c>
      <c r="C29" s="102">
        <f>SUM(C20:C28)</f>
        <v>72826.0625</v>
      </c>
      <c r="D29" s="102">
        <f>SUM(D20:D28)</f>
        <v>331587.671875</v>
      </c>
      <c r="E29" s="102">
        <f>SUM(E20:E28)</f>
        <v>1008403</v>
      </c>
      <c r="F29" s="103">
        <f>SUM(F20:F28)</f>
        <v>2108096.46875</v>
      </c>
      <c r="G29" s="103">
        <f>SUM(G20:G28)</f>
        <v>4767866.375</v>
      </c>
      <c r="H29" s="103">
        <f>SUM(F20:F28)</f>
        <v>2108096.46875</v>
      </c>
    </row>
    <row r="30" spans="2:8" ht="15" customHeight="1">
      <c r="B30" s="25" t="s">
        <v>665</v>
      </c>
      <c r="C30" s="104">
        <f>C18-C29</f>
        <v>111841.9375</v>
      </c>
      <c r="D30" s="104">
        <f>D18-D29</f>
        <v>875755.828125</v>
      </c>
      <c r="E30" s="104">
        <f>E18-E29</f>
        <v>3248357</v>
      </c>
      <c r="F30" s="105">
        <f>F18-F29</f>
        <v>8792073.4187499993</v>
      </c>
      <c r="G30" s="105">
        <f>G18-G29</f>
        <v>24798689.487500001</v>
      </c>
      <c r="H30" s="105">
        <f>F18-F29</f>
        <v>8792073.4187499993</v>
      </c>
    </row>
    <row r="31" spans="2:8" ht="15" customHeight="1">
      <c r="B31" s="7" t="s">
        <v>667</v>
      </c>
      <c r="C31" s="26">
        <f>IF(C18=0,0,C30/C18)</f>
        <v>0.60563788799358853</v>
      </c>
      <c r="D31" s="26">
        <f>IF(D18=0,0,D30/D18)</f>
        <v>0.72535763693182598</v>
      </c>
      <c r="E31" s="26">
        <f>IF(E18=0,0,E30/E18)</f>
        <v>0.76310550747516892</v>
      </c>
      <c r="F31" s="84">
        <f>IF(F18=0,0,F30/F18)</f>
        <v>0.80659966858245902</v>
      </c>
      <c r="G31" s="84">
        <f>IF(G18=0,0,G30/G18)</f>
        <v>0.83874123191172212</v>
      </c>
      <c r="H31" s="84">
        <f>IF(F18=0,0,F30/F18)</f>
        <v>0.80659966858245902</v>
      </c>
    </row>
    <row r="32" spans="2:8" ht="15" customHeight="1">
      <c r="B32" s="118" t="s">
        <v>669</v>
      </c>
      <c r="C32" s="118"/>
      <c r="D32" s="118"/>
      <c r="E32" s="118"/>
      <c r="F32" s="119"/>
      <c r="G32" s="119"/>
      <c r="H32" s="119"/>
    </row>
    <row r="33" spans="2:8" ht="15" customHeight="1">
      <c r="B33" s="7" t="s">
        <v>223</v>
      </c>
      <c r="C33" s="94">
        <f>Assumptions!$F$39</f>
        <v>2</v>
      </c>
      <c r="D33" s="94">
        <f>Assumptions!$F$39</f>
        <v>2</v>
      </c>
      <c r="E33" s="94">
        <f>Assumptions!$F$39</f>
        <v>2</v>
      </c>
      <c r="F33" s="95">
        <f>Assumptions!$F$39</f>
        <v>2</v>
      </c>
      <c r="G33" s="95">
        <f>Assumptions!$F$39</f>
        <v>2</v>
      </c>
      <c r="H33" s="95">
        <f>Assumptions!$F$39</f>
        <v>2</v>
      </c>
    </row>
    <row r="34" spans="2:8" ht="15" customHeight="1">
      <c r="B34" s="7" t="s">
        <v>671</v>
      </c>
      <c r="C34" s="94">
        <f>Assumptions!$F$40+0</f>
        <v>2</v>
      </c>
      <c r="D34" s="94">
        <f>Assumptions!$F$40+1</f>
        <v>3</v>
      </c>
      <c r="E34" s="94">
        <f>Assumptions!$F$40+2</f>
        <v>4</v>
      </c>
      <c r="F34" s="95">
        <f>Assumptions!$F$40+3</f>
        <v>5</v>
      </c>
      <c r="G34" s="95">
        <f>Assumptions!$F$40+4</f>
        <v>6</v>
      </c>
      <c r="H34" s="95" t="s">
        <v>672</v>
      </c>
    </row>
    <row r="35" spans="2:8" ht="15" customHeight="1">
      <c r="B35" s="7" t="s">
        <v>673</v>
      </c>
      <c r="C35" s="94">
        <f>Assumptions!$F$41+0</f>
        <v>1</v>
      </c>
      <c r="D35" s="94">
        <f>Assumptions!$F$41+1</f>
        <v>2</v>
      </c>
      <c r="E35" s="94">
        <f>Assumptions!$F$41+2</f>
        <v>3</v>
      </c>
      <c r="F35" s="95">
        <f>Assumptions!$F$41+3</f>
        <v>4</v>
      </c>
      <c r="G35" s="95">
        <f>Assumptions!$F$41+4</f>
        <v>5</v>
      </c>
      <c r="H35" s="95" t="s">
        <v>674</v>
      </c>
    </row>
    <row r="36" spans="2:8" ht="15" customHeight="1">
      <c r="B36" s="7" t="s">
        <v>675</v>
      </c>
      <c r="C36" s="94">
        <f>Assumptions!$F$42+0</f>
        <v>1</v>
      </c>
      <c r="D36" s="94">
        <f>Assumptions!$F$42+1</f>
        <v>2</v>
      </c>
      <c r="E36" s="94">
        <f>Assumptions!$F$42+2</f>
        <v>3</v>
      </c>
      <c r="F36" s="95">
        <f>Assumptions!$F$42+3</f>
        <v>4</v>
      </c>
      <c r="G36" s="95">
        <f>Assumptions!$F$42+4</f>
        <v>5</v>
      </c>
      <c r="H36" s="95" t="s">
        <v>674</v>
      </c>
    </row>
    <row r="37" spans="2:8" ht="15" customHeight="1">
      <c r="B37" s="25" t="s">
        <v>676</v>
      </c>
      <c r="C37" s="106">
        <f>C33+C34+C35+C36</f>
        <v>6</v>
      </c>
      <c r="D37" s="106">
        <f>D33+D34+D35+D36</f>
        <v>9</v>
      </c>
      <c r="E37" s="106">
        <f>E33+E34+E35+E36</f>
        <v>12</v>
      </c>
      <c r="F37" s="107">
        <f>F33+F34+F35+F36</f>
        <v>15</v>
      </c>
      <c r="G37" s="107">
        <f>G33+G34+G35+G36</f>
        <v>18</v>
      </c>
      <c r="H37" s="107">
        <f>F33+F34+F35+F36</f>
        <v>15</v>
      </c>
    </row>
    <row r="38" spans="2:8" ht="15" customHeight="1">
      <c r="B38" s="7" t="s">
        <v>678</v>
      </c>
      <c r="C38" s="96">
        <f>C33*Assumptions!$F$44+C34*Assumptions!$F$45+C35*Assumptions!$F$46+C36*Assumptions!$F$47</f>
        <v>340000</v>
      </c>
      <c r="D38" s="96">
        <f>D33*Assumptions!$F$44+D34*Assumptions!$F$45+D35*Assumptions!$F$46+D36*Assumptions!$F$47</f>
        <v>520000</v>
      </c>
      <c r="E38" s="96">
        <f>E33*Assumptions!$F$44+E34*Assumptions!$F$45+E35*Assumptions!$F$46+E36*Assumptions!$F$47</f>
        <v>700000</v>
      </c>
      <c r="F38" s="97">
        <f>F33*Assumptions!$F$44+F34*Assumptions!$F$45+F35*Assumptions!$F$46+F36*Assumptions!$F$47</f>
        <v>880000</v>
      </c>
      <c r="G38" s="97">
        <f>G33*Assumptions!$F$44+G34*Assumptions!$F$45+G35*Assumptions!$F$46+G36*Assumptions!$F$47</f>
        <v>1060000</v>
      </c>
      <c r="H38" s="97" t="s">
        <v>679</v>
      </c>
    </row>
    <row r="39" spans="2:8" ht="21.75" customHeight="1">
      <c r="B39" s="7" t="s">
        <v>680</v>
      </c>
      <c r="C39" s="96">
        <f>MAX(0,(C38-Assumptions!$F$49*C37)*Assumptions!$F$48-Assumptions!$F$60)</f>
        <v>36000</v>
      </c>
      <c r="D39" s="96">
        <f>MAX(0,(D38-Assumptions!$F$49*D37)*Assumptions!$F$48-Assumptions!$F$60)</f>
        <v>60750</v>
      </c>
      <c r="E39" s="96">
        <f>MAX(0,(E38-Assumptions!$F$49*E37)*Assumptions!$F$48-Assumptions!$F$60)</f>
        <v>85500</v>
      </c>
      <c r="F39" s="97">
        <f>MAX(0,(F38-Assumptions!$F$49*F37)*Assumptions!$F$48-Assumptions!$F$60)</f>
        <v>110250</v>
      </c>
      <c r="G39" s="97">
        <f>MAX(0,(G38-Assumptions!$F$49*G37)*Assumptions!$F$48-Assumptions!$F$60)</f>
        <v>135000</v>
      </c>
      <c r="H39" s="97" t="s">
        <v>681</v>
      </c>
    </row>
    <row r="40" spans="2:8" ht="15" customHeight="1">
      <c r="B40" s="7" t="s">
        <v>682</v>
      </c>
      <c r="C40" s="96">
        <f>C38*Assumptions!$F$50</f>
        <v>13600</v>
      </c>
      <c r="D40" s="96">
        <f>D38*Assumptions!$F$50</f>
        <v>20800</v>
      </c>
      <c r="E40" s="96">
        <f>E38*Assumptions!$F$50</f>
        <v>28000</v>
      </c>
      <c r="F40" s="97">
        <f>F38*Assumptions!$F$50</f>
        <v>35200</v>
      </c>
      <c r="G40" s="97">
        <f>G38*Assumptions!$F$50</f>
        <v>42400</v>
      </c>
      <c r="H40" s="97">
        <f>F38*Assumptions!$F$50</f>
        <v>35200</v>
      </c>
    </row>
    <row r="41" spans="2:8" ht="15" customHeight="1">
      <c r="B41" s="7" t="s">
        <v>249</v>
      </c>
      <c r="C41" s="96">
        <f>C38*Assumptions!$F$51</f>
        <v>10200</v>
      </c>
      <c r="D41" s="96">
        <f>D38*Assumptions!$F$51</f>
        <v>15600</v>
      </c>
      <c r="E41" s="96">
        <f>E38*Assumptions!$F$51</f>
        <v>21000</v>
      </c>
      <c r="F41" s="97">
        <f>F38*Assumptions!$F$51</f>
        <v>26400</v>
      </c>
      <c r="G41" s="97">
        <f>G38*Assumptions!$F$51</f>
        <v>31800</v>
      </c>
      <c r="H41" s="97">
        <f>F38*Assumptions!$F$51</f>
        <v>26400</v>
      </c>
    </row>
    <row r="42" spans="2:8" ht="15" customHeight="1">
      <c r="B42" s="17" t="s">
        <v>685</v>
      </c>
      <c r="C42" s="102">
        <f>C38+C39+C40+C41</f>
        <v>399800</v>
      </c>
      <c r="D42" s="102">
        <f>D38+D39+D40+D41</f>
        <v>617150</v>
      </c>
      <c r="E42" s="102">
        <f>E38+E39+E40+E41</f>
        <v>834500</v>
      </c>
      <c r="F42" s="103">
        <f>F38+F39+F40+F41</f>
        <v>1051850</v>
      </c>
      <c r="G42" s="103">
        <f>G38+G39+G40+G41</f>
        <v>1269200</v>
      </c>
      <c r="H42" s="103">
        <f>F38+F39+F40+F41</f>
        <v>1051850</v>
      </c>
    </row>
    <row r="43" spans="2:8" ht="15" customHeight="1">
      <c r="B43" s="118" t="s">
        <v>687</v>
      </c>
      <c r="C43" s="118"/>
      <c r="D43" s="118"/>
      <c r="E43" s="118"/>
      <c r="F43" s="119"/>
      <c r="G43" s="119"/>
      <c r="H43" s="119"/>
    </row>
    <row r="44" spans="2:8" ht="15" customHeight="1">
      <c r="B44" s="7" t="s">
        <v>197</v>
      </c>
      <c r="C44" s="96">
        <f>Assumptions!$F$26*12*1</f>
        <v>3000</v>
      </c>
      <c r="D44" s="96">
        <f>Assumptions!$F$26*12*1.5</f>
        <v>4500</v>
      </c>
      <c r="E44" s="96">
        <f>Assumptions!$F$26*12*2.5</f>
        <v>7500</v>
      </c>
      <c r="F44" s="97">
        <f>Assumptions!$F$26*12*4</f>
        <v>12000</v>
      </c>
      <c r="G44" s="97">
        <f>Assumptions!$F$26*12*6</f>
        <v>18000</v>
      </c>
      <c r="H44" s="97" t="s">
        <v>688</v>
      </c>
    </row>
    <row r="45" spans="2:8" ht="15" customHeight="1">
      <c r="B45" s="7" t="s">
        <v>200</v>
      </c>
      <c r="C45" s="96">
        <f>Assumptions!$F$27*12*1</f>
        <v>1440</v>
      </c>
      <c r="D45" s="96">
        <f>Assumptions!$F$27*12*1.5</f>
        <v>2160</v>
      </c>
      <c r="E45" s="96">
        <f>Assumptions!$F$27*12*2.5</f>
        <v>3600</v>
      </c>
      <c r="F45" s="97">
        <f>Assumptions!$F$27*12*4</f>
        <v>5760</v>
      </c>
      <c r="G45" s="97">
        <f>Assumptions!$F$27*12*6</f>
        <v>8640</v>
      </c>
      <c r="H45" s="97" t="s">
        <v>688</v>
      </c>
    </row>
    <row r="46" spans="2:8" ht="15" customHeight="1">
      <c r="B46" s="7" t="s">
        <v>202</v>
      </c>
      <c r="C46" s="96">
        <f>Assumptions!$F$28*12*1</f>
        <v>1800</v>
      </c>
      <c r="D46" s="96">
        <f>Assumptions!$F$28*12*1.5</f>
        <v>2700</v>
      </c>
      <c r="E46" s="96">
        <f>Assumptions!$F$28*12*2.5</f>
        <v>4500</v>
      </c>
      <c r="F46" s="97">
        <f>Assumptions!$F$28*12*4</f>
        <v>7200</v>
      </c>
      <c r="G46" s="97">
        <f>Assumptions!$F$28*12*6</f>
        <v>10800</v>
      </c>
      <c r="H46" s="97" t="s">
        <v>688</v>
      </c>
    </row>
    <row r="47" spans="2:8" ht="15" customHeight="1">
      <c r="B47" s="7" t="s">
        <v>204</v>
      </c>
      <c r="C47" s="96">
        <f>Assumptions!$F$29*12*C37/6</f>
        <v>720</v>
      </c>
      <c r="D47" s="96">
        <f>Assumptions!$F$29*12*D37/6</f>
        <v>1080</v>
      </c>
      <c r="E47" s="96">
        <f>Assumptions!$F$29*12*E37/6</f>
        <v>1440</v>
      </c>
      <c r="F47" s="97">
        <f>Assumptions!$F$29*12*F37/6</f>
        <v>1800</v>
      </c>
      <c r="G47" s="97">
        <f>Assumptions!$F$29*12*G37/6</f>
        <v>2160</v>
      </c>
      <c r="H47" s="97" t="s">
        <v>689</v>
      </c>
    </row>
    <row r="48" spans="2:8" ht="15" customHeight="1">
      <c r="B48" s="7" t="s">
        <v>206</v>
      </c>
      <c r="C48" s="96">
        <f>Assumptions!$F$30*12*C37/6</f>
        <v>1080</v>
      </c>
      <c r="D48" s="96">
        <f>Assumptions!$F$30*12*D37/6</f>
        <v>1620</v>
      </c>
      <c r="E48" s="96">
        <f>Assumptions!$F$30*12*E37/6</f>
        <v>2160</v>
      </c>
      <c r="F48" s="97">
        <f>Assumptions!$F$30*12*F37/6</f>
        <v>2700</v>
      </c>
      <c r="G48" s="97">
        <f>Assumptions!$F$30*12*G37/6</f>
        <v>3240</v>
      </c>
      <c r="H48" s="97" t="s">
        <v>689</v>
      </c>
    </row>
    <row r="49" spans="2:8" ht="15" customHeight="1">
      <c r="B49" s="7" t="s">
        <v>208</v>
      </c>
      <c r="C49" s="96">
        <f>Assumptions!$F$31*12*MAX(1,C36)</f>
        <v>960</v>
      </c>
      <c r="D49" s="96">
        <f>Assumptions!$F$31*12*MAX(1,D36)</f>
        <v>1920</v>
      </c>
      <c r="E49" s="96">
        <f>Assumptions!$F$31*12*MAX(1,E36)</f>
        <v>2880</v>
      </c>
      <c r="F49" s="97">
        <f>Assumptions!$F$31*12*MAX(1,F36)</f>
        <v>3840</v>
      </c>
      <c r="G49" s="97">
        <f>Assumptions!$F$31*12*MAX(1,G36)</f>
        <v>4800</v>
      </c>
      <c r="H49" s="97" t="s">
        <v>690</v>
      </c>
    </row>
    <row r="50" spans="2:8" ht="15" customHeight="1">
      <c r="B50" s="7" t="s">
        <v>210</v>
      </c>
      <c r="C50" s="96">
        <f>Assumptions!$F$32*12*1</f>
        <v>4200</v>
      </c>
      <c r="D50" s="96">
        <f>Assumptions!$F$32*12*1.25</f>
        <v>5250</v>
      </c>
      <c r="E50" s="96">
        <f>Assumptions!$F$32*12*1.5</f>
        <v>6300</v>
      </c>
      <c r="F50" s="97">
        <f>Assumptions!$F$32*12*1.75</f>
        <v>7350</v>
      </c>
      <c r="G50" s="97">
        <f>Assumptions!$F$32*12*2</f>
        <v>8400</v>
      </c>
      <c r="H50" s="97" t="s">
        <v>688</v>
      </c>
    </row>
    <row r="51" spans="2:8" ht="15" customHeight="1">
      <c r="B51" s="7" t="s">
        <v>212</v>
      </c>
      <c r="C51" s="96">
        <f>Assumptions!$F$33*12*1</f>
        <v>7200</v>
      </c>
      <c r="D51" s="96">
        <f>Assumptions!$F$33*12*1.5</f>
        <v>10800</v>
      </c>
      <c r="E51" s="96">
        <f>Assumptions!$F$33*12*2</f>
        <v>14400</v>
      </c>
      <c r="F51" s="97">
        <f>Assumptions!$F$33*12*2.5</f>
        <v>18000</v>
      </c>
      <c r="G51" s="97">
        <f>Assumptions!$F$33*12*3</f>
        <v>21600</v>
      </c>
      <c r="H51" s="97" t="s">
        <v>691</v>
      </c>
    </row>
    <row r="52" spans="2:8" ht="15" customHeight="1">
      <c r="B52" s="7" t="s">
        <v>692</v>
      </c>
      <c r="C52" s="96">
        <f>Assumptions!$F$34*12*1+Scenario_High_AddOns!B36</f>
        <v>194400</v>
      </c>
      <c r="D52" s="96">
        <f>Assumptions!$F$34*12*1.5+Scenario_High_AddOns!C36</f>
        <v>162850</v>
      </c>
      <c r="E52" s="96">
        <f>Assumptions!$F$34*12*2+Scenario_High_AddOns!D36</f>
        <v>186300</v>
      </c>
      <c r="F52" s="97">
        <f>Assumptions!$F$34*12*2.5+Scenario_High_AddOns!E36</f>
        <v>217250</v>
      </c>
      <c r="G52" s="97">
        <f>Assumptions!$F$34*12*3+Scenario_High_AddOns!F36</f>
        <v>248200</v>
      </c>
      <c r="H52" s="97" t="s">
        <v>693</v>
      </c>
    </row>
    <row r="53" spans="2:8" ht="15" customHeight="1">
      <c r="B53" s="7" t="s">
        <v>216</v>
      </c>
      <c r="C53" s="96">
        <f>Assumptions!$F$35*12*1</f>
        <v>18000</v>
      </c>
      <c r="D53" s="96">
        <f>Assumptions!$F$35*12*2</f>
        <v>36000</v>
      </c>
      <c r="E53" s="96">
        <f>Assumptions!$F$35*12*3</f>
        <v>54000</v>
      </c>
      <c r="F53" s="97">
        <f>Assumptions!$F$35*12*4</f>
        <v>72000</v>
      </c>
      <c r="G53" s="97">
        <f>Assumptions!$F$35*12*5</f>
        <v>90000</v>
      </c>
      <c r="H53" s="97" t="s">
        <v>690</v>
      </c>
    </row>
    <row r="54" spans="2:8" ht="15" customHeight="1">
      <c r="B54" s="7" t="s">
        <v>218</v>
      </c>
      <c r="C54" s="96">
        <f>Assumptions!$F$36*12*C37/6</f>
        <v>4800</v>
      </c>
      <c r="D54" s="96">
        <f>Assumptions!$F$36*12*D37/6</f>
        <v>7200</v>
      </c>
      <c r="E54" s="96">
        <f>Assumptions!$F$36*12*E37/6</f>
        <v>9600</v>
      </c>
      <c r="F54" s="97">
        <f>Assumptions!$F$36*12*F37/6</f>
        <v>12000</v>
      </c>
      <c r="G54" s="97">
        <f>Assumptions!$F$36*12*G37/6</f>
        <v>14400</v>
      </c>
      <c r="H54" s="97" t="s">
        <v>689</v>
      </c>
    </row>
    <row r="55" spans="2:8" ht="15" customHeight="1">
      <c r="B55" s="7" t="s">
        <v>220</v>
      </c>
      <c r="C55" s="96">
        <f>0</f>
        <v>0</v>
      </c>
      <c r="D55" s="96">
        <f>Assumptions!$F$37*12*1</f>
        <v>8400</v>
      </c>
      <c r="E55" s="96">
        <f>Assumptions!$F$37*12*1</f>
        <v>8400</v>
      </c>
      <c r="F55" s="97">
        <f>Assumptions!$F$37*12*1.25</f>
        <v>10500</v>
      </c>
      <c r="G55" s="97">
        <f>Assumptions!$F$37*12*1.5</f>
        <v>12600</v>
      </c>
      <c r="H55" s="97" t="s">
        <v>694</v>
      </c>
    </row>
    <row r="56" spans="2:8" ht="15" customHeight="1">
      <c r="B56" s="17" t="s">
        <v>695</v>
      </c>
      <c r="C56" s="102">
        <f>SUM(C44:C55)</f>
        <v>237600</v>
      </c>
      <c r="D56" s="102">
        <f>SUM(D44:D55)</f>
        <v>244480</v>
      </c>
      <c r="E56" s="102">
        <f>SUM(E44:E55)</f>
        <v>301080</v>
      </c>
      <c r="F56" s="103">
        <f>SUM(F44:F55)</f>
        <v>370400</v>
      </c>
      <c r="G56" s="103">
        <f>SUM(G44:G55)</f>
        <v>442840</v>
      </c>
      <c r="H56" s="103">
        <f>SUM(F44:F55)</f>
        <v>370400</v>
      </c>
    </row>
    <row r="57" spans="2:8" ht="15" customHeight="1">
      <c r="B57" s="118" t="s">
        <v>697</v>
      </c>
      <c r="C57" s="118"/>
      <c r="D57" s="118"/>
      <c r="E57" s="118"/>
      <c r="F57" s="119"/>
      <c r="G57" s="119"/>
      <c r="H57" s="119"/>
    </row>
    <row r="58" spans="2:8" ht="32.25" customHeight="1">
      <c r="B58" s="7" t="s">
        <v>698</v>
      </c>
      <c r="C58" s="96">
        <f>Startup_6mo!F44</f>
        <v>241112.45</v>
      </c>
      <c r="D58" s="98">
        <f>0</f>
        <v>0</v>
      </c>
      <c r="E58" s="98">
        <f>0</f>
        <v>0</v>
      </c>
      <c r="F58" s="99">
        <f>0</f>
        <v>0</v>
      </c>
      <c r="G58" s="99">
        <f>0</f>
        <v>0</v>
      </c>
      <c r="H58" s="99" t="s">
        <v>699</v>
      </c>
    </row>
    <row r="59" spans="2:8" ht="15" customHeight="1">
      <c r="B59" s="118" t="s">
        <v>700</v>
      </c>
      <c r="C59" s="118"/>
      <c r="D59" s="118"/>
      <c r="E59" s="118"/>
      <c r="F59" s="119"/>
      <c r="G59" s="119"/>
      <c r="H59" s="119"/>
    </row>
    <row r="60" spans="2:8" ht="21.75" customHeight="1">
      <c r="B60" s="25" t="s">
        <v>701</v>
      </c>
      <c r="C60" s="104">
        <f>C42+C56+C58</f>
        <v>878512.45</v>
      </c>
      <c r="D60" s="104">
        <f>D42+D56+D58</f>
        <v>861630</v>
      </c>
      <c r="E60" s="104">
        <f>E42+E56+E58</f>
        <v>1135580</v>
      </c>
      <c r="F60" s="105">
        <f>F42+F56+F58</f>
        <v>1422250</v>
      </c>
      <c r="G60" s="105">
        <f>G42+G56+G58</f>
        <v>1712040</v>
      </c>
      <c r="H60" s="105" t="s">
        <v>702</v>
      </c>
    </row>
    <row r="61" spans="2:8" ht="21.75" customHeight="1">
      <c r="B61" s="25" t="s">
        <v>703</v>
      </c>
      <c r="C61" s="104">
        <f>C30-C42-C56</f>
        <v>-525558.0625</v>
      </c>
      <c r="D61" s="104">
        <f>D30-D42-D56</f>
        <v>14125.828125</v>
      </c>
      <c r="E61" s="104">
        <f>E30-E42-E56</f>
        <v>2112777</v>
      </c>
      <c r="F61" s="105">
        <f>F30-F42-F56</f>
        <v>7369823.4187499993</v>
      </c>
      <c r="G61" s="105">
        <f>G30-G42-G56</f>
        <v>23086649.487500001</v>
      </c>
      <c r="H61" s="105" t="s">
        <v>704</v>
      </c>
    </row>
    <row r="62" spans="2:8" ht="15" customHeight="1">
      <c r="B62" s="27" t="s">
        <v>705</v>
      </c>
      <c r="C62" s="108">
        <f>C30-C60</f>
        <v>-766670.51249999995</v>
      </c>
      <c r="D62" s="108">
        <f>D30-D60</f>
        <v>14125.828125</v>
      </c>
      <c r="E62" s="108">
        <f>E30-E60</f>
        <v>2112777</v>
      </c>
      <c r="F62" s="109">
        <f>F30-F60</f>
        <v>7369823.4187499993</v>
      </c>
      <c r="G62" s="109">
        <f>G30-G60</f>
        <v>23086649.487500001</v>
      </c>
      <c r="H62" s="109">
        <f>F30-F60</f>
        <v>7369823.4187499993</v>
      </c>
    </row>
    <row r="63" spans="2:8" ht="15" customHeight="1">
      <c r="B63" s="25" t="s">
        <v>707</v>
      </c>
      <c r="C63" s="104">
        <f>C62</f>
        <v>-766670.51249999995</v>
      </c>
      <c r="D63" s="104">
        <f>C63+D62</f>
        <v>-752544.68437499995</v>
      </c>
      <c r="E63" s="104">
        <f>D63+E62</f>
        <v>1360232.315625</v>
      </c>
      <c r="F63" s="105">
        <f>E63+F62</f>
        <v>8730055.734375</v>
      </c>
      <c r="G63" s="105">
        <f>F63+G62</f>
        <v>31816705.221875001</v>
      </c>
      <c r="H63" s="105" t="s">
        <v>708</v>
      </c>
    </row>
    <row r="64" spans="2:8" ht="32.25" customHeight="1">
      <c r="B64" s="7" t="s">
        <v>709</v>
      </c>
      <c r="C64" s="98">
        <f>-MIN(0,C63)*(1+Assumptions!$F$58)</f>
        <v>996671.66625000001</v>
      </c>
      <c r="D64" s="98">
        <f>-MIN(0,C63,D63)*(1+Assumptions!$F$58)</f>
        <v>996671.66625000001</v>
      </c>
      <c r="E64" s="98">
        <f>-MIN(0,C63,D63,E63)*(1+Assumptions!$F$58)</f>
        <v>996671.66625000001</v>
      </c>
      <c r="F64" s="99">
        <f>-MIN(0,C63,D63,E63,F63)*(1+Assumptions!$F$58)</f>
        <v>996671.66625000001</v>
      </c>
      <c r="G64" s="99">
        <f>-MIN(0,C63,D63,E63,F63,G63)*(1+Assumptions!$F$58)</f>
        <v>996671.66625000001</v>
      </c>
      <c r="H64" s="99" t="s">
        <v>710</v>
      </c>
    </row>
    <row r="65" spans="2:8">
      <c r="B65" s="66" t="s">
        <v>711</v>
      </c>
      <c r="C65" s="67">
        <f>ROUND(Scenario_High_AddOns!B41,0)</f>
        <v>240000</v>
      </c>
      <c r="D65" s="67">
        <f>ROUND(Scenario_High_AddOns!C41,0)</f>
        <v>0</v>
      </c>
      <c r="E65" s="67">
        <f>ROUND(Scenario_High_AddOns!D41,0)</f>
        <v>0</v>
      </c>
      <c r="F65" s="110">
        <f>ROUND(Scenario_High_AddOns!E41,0)</f>
        <v>0</v>
      </c>
      <c r="G65" s="110">
        <f>ROUND(Scenario_High_AddOns!F41,0)</f>
        <v>0</v>
      </c>
      <c r="H65" s="110" t="s">
        <v>712</v>
      </c>
    </row>
    <row r="66" spans="2:8">
      <c r="B66" s="66" t="s">
        <v>713</v>
      </c>
      <c r="C66" s="67">
        <f>ROUND(C64+C65,0)</f>
        <v>1236672</v>
      </c>
      <c r="D66" s="67">
        <f>ROUND(D64+D65,0)</f>
        <v>996672</v>
      </c>
      <c r="E66" s="67">
        <f>ROUND(E64+E65,0)</f>
        <v>996672</v>
      </c>
      <c r="F66" s="110">
        <f>ROUND(F64+F65,0)</f>
        <v>996672</v>
      </c>
      <c r="G66" s="110">
        <f>ROUND(G64+G65,0)</f>
        <v>996672</v>
      </c>
      <c r="H66" s="110" t="s">
        <v>714</v>
      </c>
    </row>
    <row r="67" spans="2:8">
      <c r="B67" s="118" t="s">
        <v>715</v>
      </c>
      <c r="C67" s="118"/>
      <c r="D67" s="118"/>
      <c r="E67" s="118"/>
      <c r="F67" s="119"/>
      <c r="G67" s="119"/>
      <c r="H67" s="119"/>
    </row>
    <row r="68" spans="2:8">
      <c r="B68" s="56" t="s">
        <v>613</v>
      </c>
      <c r="C68" s="122" t="s">
        <v>614</v>
      </c>
      <c r="D68" s="122" t="s">
        <v>615</v>
      </c>
      <c r="E68" s="122" t="s">
        <v>616</v>
      </c>
      <c r="F68" s="123" t="s">
        <v>617</v>
      </c>
      <c r="G68" s="123" t="s">
        <v>618</v>
      </c>
      <c r="H68" s="123" t="s">
        <v>619</v>
      </c>
    </row>
    <row r="69" spans="2:8">
      <c r="B69" t="s">
        <v>716</v>
      </c>
      <c r="C69" s="63">
        <f>Assumptions!$E$110</f>
        <v>5</v>
      </c>
      <c r="D69" s="63">
        <f>Assumptions!$E$111</f>
        <v>6</v>
      </c>
      <c r="E69" s="63">
        <f>Assumptions!$E$112</f>
        <v>10</v>
      </c>
      <c r="F69" s="86">
        <f>Assumptions!$E$165</f>
        <v>12</v>
      </c>
      <c r="G69" s="86">
        <f>Assumptions!$E$166</f>
        <v>15</v>
      </c>
      <c r="H69" s="86" t="s">
        <v>717</v>
      </c>
    </row>
    <row r="70" spans="2:8">
      <c r="B70" t="s">
        <v>718</v>
      </c>
      <c r="C70" s="63">
        <f>IF(C69=0,0,C7/C69)</f>
        <v>80</v>
      </c>
      <c r="D70" s="63">
        <f>IF(D69=0,0,D7/D69)</f>
        <v>366.66666666666669</v>
      </c>
      <c r="E70" s="63">
        <f>IF(E69=0,0,E7/E69)</f>
        <v>800</v>
      </c>
      <c r="F70" s="86">
        <f>IF(F69=0,0,F7/F69)</f>
        <v>1500</v>
      </c>
      <c r="G70" s="86">
        <f>IF(G69=0,0,G7/G69)</f>
        <v>2666.6666666666665</v>
      </c>
      <c r="H70" s="86" t="s">
        <v>719</v>
      </c>
    </row>
    <row r="71" spans="2:8">
      <c r="B71" t="s">
        <v>720</v>
      </c>
      <c r="C71" s="111">
        <f>IF(C7=0,0,C18/C7)</f>
        <v>461.67</v>
      </c>
      <c r="D71" s="111">
        <f>IF(D7=0,0,D18/D7)</f>
        <v>548.79250000000002</v>
      </c>
      <c r="E71" s="111">
        <f>IF(E7=0,0,E18/E7)</f>
        <v>532.09500000000003</v>
      </c>
      <c r="F71" s="112">
        <f>IF(F7=0,0,F18/F7)</f>
        <v>605.56499374999999</v>
      </c>
      <c r="G71" s="112">
        <f>IF(G7=0,0,G18/G7)</f>
        <v>739.16389656249999</v>
      </c>
      <c r="H71" s="112" t="s">
        <v>721</v>
      </c>
    </row>
    <row r="72" spans="2:8">
      <c r="B72" t="s">
        <v>722</v>
      </c>
      <c r="C72" s="111">
        <f>IF(C70=0,0,C18/C70)</f>
        <v>2308.35</v>
      </c>
      <c r="D72" s="111">
        <f>IF(D70=0,0,D18/D70)</f>
        <v>3292.7549999999997</v>
      </c>
      <c r="E72" s="111">
        <f>IF(E70=0,0,E18/E70)</f>
        <v>5320.95</v>
      </c>
      <c r="F72" s="112">
        <f>IF(F70=0,0,F18/F70)</f>
        <v>7266.7799249999998</v>
      </c>
      <c r="G72" s="112">
        <f>IF(G70=0,0,G18/G70)</f>
        <v>11087.458448437501</v>
      </c>
      <c r="H72" s="112" t="s">
        <v>723</v>
      </c>
    </row>
    <row r="73" spans="2:8">
      <c r="B73" t="s">
        <v>724</v>
      </c>
      <c r="C73" t="str">
        <f>IF(C18&gt;Assumptions!$F$61,"Register / confirm VAT treatment","Below threshold")</f>
        <v>Register / confirm VAT treatment</v>
      </c>
      <c r="D73" t="str">
        <f>IF(D18&gt;Assumptions!$F$61,"Register / confirm VAT treatment","Below threshold")</f>
        <v>Register / confirm VAT treatment</v>
      </c>
      <c r="E73" t="str">
        <f>IF(E18&gt;Assumptions!$F$61,"Register / confirm VAT treatment","Below threshold")</f>
        <v>Register / confirm VAT treatment</v>
      </c>
      <c r="F73" s="83" t="str">
        <f>IF(F18&gt;Assumptions!$F$61,"Register / confirm VAT treatment","Below threshold")</f>
        <v>Register / confirm VAT treatment</v>
      </c>
      <c r="G73" s="83" t="str">
        <f>IF(G18&gt;Assumptions!$F$61,"Register / confirm VAT treatment","Below threshold")</f>
        <v>Register / confirm VAT treatment</v>
      </c>
      <c r="H73" s="83" t="s">
        <v>725</v>
      </c>
    </row>
    <row r="74" spans="2:8">
      <c r="B74" t="s">
        <v>726</v>
      </c>
      <c r="C74" t="str">
        <f>IF(AND(C31&gt;0.9,C23&gt;0),"Review COGS: margin may be optimistic","OK")</f>
        <v>OK</v>
      </c>
      <c r="D74" t="str">
        <f>IF(AND(D31&gt;0.9,D23&gt;0),"Review COGS: margin may be optimistic","OK")</f>
        <v>OK</v>
      </c>
      <c r="E74" t="str">
        <f>IF(AND(E31&gt;0.9,E23&gt;0),"Review COGS: margin may be optimistic","OK")</f>
        <v>OK</v>
      </c>
      <c r="F74" s="83" t="str">
        <f>IF(AND(F31&gt;0.9,F23&gt;0),"Review COGS: margin may be optimistic","OK")</f>
        <v>OK</v>
      </c>
      <c r="G74" s="83" t="str">
        <f>IF(AND(G31&gt;0.9,G23&gt;0),"Review COGS: margin may be optimistic","OK")</f>
        <v>OK</v>
      </c>
      <c r="H74" s="83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Dashboard</vt:lpstr>
      <vt:lpstr>Assumptions</vt:lpstr>
      <vt:lpstr>Startup_6mo</vt:lpstr>
      <vt:lpstr>Cash_Flow_Statement</vt:lpstr>
      <vt:lpstr>P&amp;L_5yr</vt:lpstr>
      <vt:lpstr>Tier_Economics</vt:lpstr>
      <vt:lpstr>Driver_Tables</vt:lpstr>
      <vt:lpstr>Sensitivity</vt:lpstr>
      <vt:lpstr>Risk_Register</vt:lpstr>
      <vt:lpstr>Revenue_Risk_AddOns</vt:lpstr>
      <vt:lpstr>Scenario_Low_Tiers</vt:lpstr>
      <vt:lpstr>Scenario_Low_AddOns</vt:lpstr>
      <vt:lpstr>Scenario_Low_PL</vt:lpstr>
      <vt:lpstr>Scenario_Base_Tiers</vt:lpstr>
      <vt:lpstr>Scenario_Base_AddOns</vt:lpstr>
      <vt:lpstr>Scenario_Base_PL</vt:lpstr>
      <vt:lpstr>Scenario_High_Tiers</vt:lpstr>
      <vt:lpstr>Scenario_High_AddOns</vt:lpstr>
      <vt:lpstr>Scenario_High_PL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Beckman, Conrad</cp:lastModifiedBy>
  <dcterms:created xsi:type="dcterms:W3CDTF">2026-06-06T19:27:58Z</dcterms:created>
  <dcterms:modified xsi:type="dcterms:W3CDTF">2026-06-07T17:13:37Z</dcterms:modified>
</cp:coreProperties>
</file>