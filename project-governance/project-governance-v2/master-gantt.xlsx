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Gantt" sheetId="1" state="visible" r:id="rId1"/>
    <sheet xmlns:r="http://schemas.openxmlformats.org/officeDocument/2006/relationships" name="Task Register" sheetId="2" state="visible" r:id="rId2"/>
    <sheet xmlns:r="http://schemas.openxmlformats.org/officeDocument/2006/relationships" name="Milestones &amp; Controls" sheetId="3" state="visible" r:id="rId3"/>
  </sheets>
  <definedNames>
    <definedName name="_xlnm._FilterDatabase" localSheetId="0" hidden="1">'Master Gantt'!$A$10:$CB$62</definedName>
    <definedName name="_xlnm.Print_Titles" localSheetId="0">'Master Gantt'!$1:$10</definedName>
    <definedName name="_xlnm.Print_Area" localSheetId="0">'Master Gantt'!$A$1:$CB$62</definedName>
    <definedName name="_xlnm._FilterDatabase" localSheetId="1" hidden="1">'Task Register'!$A$8:$R$60</definedName>
    <definedName name="_xlnm.Print_Titles" localSheetId="1">'Task Register'!$1:$8</definedName>
    <definedName name="_xlnm.Print_Area" localSheetId="1">'Task Register'!$A$1:$R$60</definedName>
    <definedName name="_xlnm.Print_Titles" localSheetId="2">'Milestones &amp; Controls'!$1:$5</definedName>
    <definedName name="_xlnm.Print_Area" localSheetId="2">'Milestones &amp; Controls'!$A$1:$H$43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d"/>
    <numFmt numFmtId="167" formatCode="dd mmm"/>
  </numFmts>
  <fonts count="17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name val="Aptos"/>
      <i val="1"/>
      <color rgb="00D9E2EC"/>
      <sz val="10"/>
    </font>
    <font>
      <name val="Aptos"/>
      <b val="1"/>
      <color rgb="00FFFFFF"/>
      <sz val="9"/>
    </font>
    <font>
      <name val="Aptos Display"/>
      <b val="1"/>
      <color rgb="00243B53"/>
      <sz val="20"/>
    </font>
    <font>
      <name val="Aptos"/>
      <color rgb="00243B53"/>
      <sz val="9"/>
    </font>
    <font>
      <name val="Aptos"/>
      <i val="1"/>
      <color rgb="00627D98"/>
      <sz val="9"/>
    </font>
    <font>
      <name val="Aptos"/>
      <b val="1"/>
      <color rgb="00C62828"/>
      <sz val="10"/>
    </font>
    <font>
      <name val="Aptos"/>
      <b val="1"/>
      <color rgb="007F1D1D"/>
      <sz val="8"/>
    </font>
    <font>
      <name val="Aptos"/>
      <color rgb="00FFFFFF"/>
      <sz val="8"/>
    </font>
    <font>
      <name val="Aptos"/>
      <color rgb="00243B53"/>
      <sz val="8.5"/>
    </font>
    <font>
      <name val="Aptos"/>
      <b val="1"/>
      <color rgb="00D97706"/>
      <sz val="10"/>
    </font>
    <font>
      <name val="Aptos"/>
      <i val="1"/>
      <color rgb="00627D98"/>
      <sz val="8.5"/>
    </font>
    <font>
      <name val="Aptos"/>
      <b val="1"/>
      <color rgb="00FFFFFF"/>
      <sz val="11"/>
    </font>
    <font>
      <name val="Aptos"/>
      <b val="1"/>
      <color rgb="00C62828"/>
      <sz val="12"/>
    </font>
    <font>
      <name val="Aptos"/>
      <b val="1"/>
      <color rgb="0000A6A6"/>
    </font>
    <font>
      <name val="Aptos"/>
      <b val="1"/>
      <color rgb="00FFFFFF"/>
      <sz val="10"/>
    </font>
  </fonts>
  <fills count="23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243B53"/>
      </patternFill>
    </fill>
    <fill>
      <patternFill patternType="solid">
        <fgColor rgb="00F8FAFC"/>
      </patternFill>
    </fill>
    <fill>
      <patternFill patternType="solid">
        <fgColor rgb="0000A6A6"/>
      </patternFill>
    </fill>
    <fill>
      <patternFill patternType="solid">
        <fgColor rgb="002E7D32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8A94A3"/>
      </patternFill>
    </fill>
    <fill>
      <patternFill patternType="solid">
        <fgColor rgb="007E57C2"/>
      </patternFill>
    </fill>
    <fill>
      <patternFill patternType="solid">
        <fgColor rgb="00EEF1F4"/>
      </patternFill>
    </fill>
    <fill>
      <patternFill patternType="solid">
        <fgColor rgb="00F4B942"/>
      </patternFill>
    </fill>
    <fill>
      <patternFill patternType="solid">
        <fgColor rgb="00F5F7FA"/>
      </patternFill>
    </fill>
    <fill>
      <patternFill patternType="solid">
        <fgColor rgb="00FFF4CC"/>
      </patternFill>
    </fill>
    <fill>
      <patternFill patternType="solid">
        <fgColor rgb="00F8D7DA"/>
      </patternFill>
    </fill>
    <fill>
      <patternFill patternType="solid">
        <fgColor rgb="00C62828"/>
      </patternFill>
    </fill>
    <fill>
      <patternFill patternType="solid">
        <fgColor rgb="00FDECEC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1ECFA"/>
      </patternFill>
    </fill>
    <fill>
      <patternFill patternType="solid">
        <fgColor rgb="00ECEFF1"/>
      </patternFill>
    </fill>
  </fills>
  <borders count="8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medium">
        <color rgb="00102A43"/>
      </bottom>
    </border>
    <border>
      <bottom style="hair">
        <color rgb="00CBD5E1"/>
      </bottom>
    </border>
    <border>
      <bottom style="thin">
        <color rgb="00CBD5E1"/>
      </bottom>
    </border>
    <border>
      <right style="hair">
        <color rgb="00CBD5E1"/>
      </right>
      <bottom style="medium">
        <color rgb="00102A43"/>
      </bottom>
    </border>
    <border>
      <right style="hair">
        <color rgb="00E2E8F0"/>
      </right>
      <bottom style="hair">
        <color rgb="00E2E8F0"/>
      </bottom>
    </border>
    <border>
      <left style="medium">
        <color rgb="00C62828"/>
      </left>
      <right style="hair">
        <color rgb="00E2E8F0"/>
      </right>
      <bottom style="hair">
        <color rgb="00E2E8F0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2" applyAlignment="1" pivotButton="0" quotePrefix="0" xfId="0">
      <alignment horizontal="center" vertical="center" wrapText="1"/>
    </xf>
    <xf numFmtId="166" fontId="8" fillId="12" borderId="5" applyAlignment="1" pivotButton="0" quotePrefix="0" xfId="0">
      <alignment horizontal="center" vertical="center"/>
    </xf>
    <xf numFmtId="166" fontId="9" fillId="2" borderId="5" applyAlignment="1" pivotButton="0" quotePrefix="0" xfId="0">
      <alignment horizontal="center" vertical="center"/>
    </xf>
    <xf numFmtId="0" fontId="10" fillId="0" borderId="3" applyAlignment="1" pivotButton="0" quotePrefix="0" xfId="0">
      <alignment vertical="top"/>
    </xf>
    <xf numFmtId="0" fontId="10" fillId="0" borderId="3" applyAlignment="1" pivotButton="0" quotePrefix="0" xfId="0">
      <alignment vertical="top" wrapText="1"/>
    </xf>
    <xf numFmtId="167" fontId="10" fillId="0" borderId="3" applyAlignment="1" pivotButton="0" quotePrefix="0" xfId="0">
      <alignment horizontal="center" vertical="top"/>
    </xf>
    <xf numFmtId="1" fontId="10" fillId="0" borderId="3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0" fillId="6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13" borderId="6" applyAlignment="1" pivotButton="0" quotePrefix="0" xfId="0">
      <alignment horizontal="center" vertical="center"/>
    </xf>
    <xf numFmtId="0" fontId="0" fillId="14" borderId="7" applyAlignment="1" pivotButton="0" quotePrefix="0" xfId="0">
      <alignment horizontal="center" vertical="center"/>
    </xf>
    <xf numFmtId="0" fontId="10" fillId="4" borderId="3" applyAlignment="1" pivotButton="0" quotePrefix="0" xfId="0">
      <alignment vertical="top"/>
    </xf>
    <xf numFmtId="0" fontId="10" fillId="4" borderId="3" applyAlignment="1" pivotButton="0" quotePrefix="0" xfId="0">
      <alignment vertical="top" wrapText="1"/>
    </xf>
    <xf numFmtId="167" fontId="10" fillId="4" borderId="3" applyAlignment="1" pivotButton="0" quotePrefix="0" xfId="0">
      <alignment horizontal="center" vertical="top"/>
    </xf>
    <xf numFmtId="1" fontId="10" fillId="4" borderId="3" applyAlignment="1" pivotButton="0" quotePrefix="0" xfId="0">
      <alignment horizontal="center"/>
    </xf>
    <xf numFmtId="0" fontId="10" fillId="4" borderId="3" applyAlignment="1" pivotButton="0" quotePrefix="0" xfId="0">
      <alignment horizontal="center"/>
    </xf>
    <xf numFmtId="0" fontId="7" fillId="15" borderId="3" applyAlignment="1" pivotButton="0" quotePrefix="0" xfId="0">
      <alignment vertical="top"/>
    </xf>
    <xf numFmtId="0" fontId="0" fillId="7" borderId="6" applyAlignment="1" pivotButton="0" quotePrefix="0" xfId="0">
      <alignment horizontal="center" vertical="center"/>
    </xf>
    <xf numFmtId="0" fontId="0" fillId="8" borderId="6" applyAlignment="1" pivotButton="0" quotePrefix="0" xfId="0">
      <alignment horizontal="center" vertical="center"/>
    </xf>
    <xf numFmtId="0" fontId="0" fillId="10" borderId="6" applyAlignment="1" pivotButton="0" quotePrefix="0" xfId="0">
      <alignment horizontal="center" vertical="center"/>
    </xf>
    <xf numFmtId="0" fontId="11" fillId="4" borderId="3" applyAlignment="1" pivotButton="0" quotePrefix="0" xfId="0">
      <alignment vertical="top"/>
    </xf>
    <xf numFmtId="0" fontId="11" fillId="0" borderId="3" applyAlignment="1" pivotButton="0" quotePrefix="0" xfId="0">
      <alignment vertical="top"/>
    </xf>
    <xf numFmtId="0" fontId="12" fillId="11" borderId="3" applyAlignment="1" pivotButton="0" quotePrefix="0" xfId="0">
      <alignment vertical="top"/>
    </xf>
    <xf numFmtId="0" fontId="12" fillId="11" borderId="3" applyAlignment="1" pivotButton="0" quotePrefix="0" xfId="0">
      <alignment vertical="top" wrapText="1"/>
    </xf>
    <xf numFmtId="167" fontId="12" fillId="11" borderId="3" applyAlignment="1" pivotButton="0" quotePrefix="0" xfId="0">
      <alignment horizontal="center" vertical="top"/>
    </xf>
    <xf numFmtId="1" fontId="12" fillId="11" borderId="3" applyAlignment="1" pivotButton="0" quotePrefix="0" xfId="0">
      <alignment horizontal="center"/>
    </xf>
    <xf numFmtId="0" fontId="12" fillId="11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0" borderId="3" applyAlignment="1" pivotButton="0" quotePrefix="0" xfId="0">
      <alignment vertical="top"/>
    </xf>
    <xf numFmtId="0" fontId="5" fillId="0" borderId="3" applyAlignment="1" pivotButton="0" quotePrefix="0" xfId="0">
      <alignment vertical="top" wrapText="1"/>
    </xf>
    <xf numFmtId="165" fontId="5" fillId="0" borderId="3" applyAlignment="1" pivotButton="0" quotePrefix="0" xfId="0">
      <alignment horizontal="center" vertical="top"/>
    </xf>
    <xf numFmtId="1" fontId="5" fillId="0" borderId="3" applyAlignment="1" pivotButton="0" quotePrefix="0" xfId="0">
      <alignment vertical="top"/>
    </xf>
    <xf numFmtId="0" fontId="3" fillId="6" borderId="3" applyAlignment="1" pivotButton="0" quotePrefix="0" xfId="0">
      <alignment horizontal="center"/>
    </xf>
    <xf numFmtId="9" fontId="5" fillId="0" borderId="3" applyAlignment="1" pivotButton="0" quotePrefix="0" xfId="0">
      <alignment vertical="top"/>
    </xf>
    <xf numFmtId="0" fontId="5" fillId="0" borderId="3" applyAlignment="1" pivotButton="0" quotePrefix="0" xfId="0">
      <alignment horizontal="center" wrapText="1"/>
    </xf>
    <xf numFmtId="0" fontId="5" fillId="0" borderId="3" applyAlignment="1" pivotButton="0" quotePrefix="0" xfId="0">
      <alignment horizontal="center"/>
    </xf>
    <xf numFmtId="0" fontId="5" fillId="4" borderId="3" applyAlignment="1" pivotButton="0" quotePrefix="0" xfId="0">
      <alignment vertical="top"/>
    </xf>
    <xf numFmtId="0" fontId="5" fillId="4" borderId="3" applyAlignment="1" pivotButton="0" quotePrefix="0" xfId="0">
      <alignment vertical="top" wrapText="1"/>
    </xf>
    <xf numFmtId="165" fontId="5" fillId="4" borderId="3" applyAlignment="1" pivotButton="0" quotePrefix="0" xfId="0">
      <alignment horizontal="center" vertical="top"/>
    </xf>
    <xf numFmtId="1" fontId="5" fillId="4" borderId="3" applyAlignment="1" pivotButton="0" quotePrefix="0" xfId="0">
      <alignment vertical="top"/>
    </xf>
    <xf numFmtId="9" fontId="5" fillId="4" borderId="3" applyAlignment="1" pivotButton="0" quotePrefix="0" xfId="0">
      <alignment vertical="top"/>
    </xf>
    <xf numFmtId="0" fontId="5" fillId="4" borderId="3" applyAlignment="1" pivotButton="0" quotePrefix="0" xfId="0">
      <alignment horizontal="center" wrapText="1"/>
    </xf>
    <xf numFmtId="0" fontId="5" fillId="4" borderId="3" applyAlignment="1" pivotButton="0" quotePrefix="0" xfId="0">
      <alignment horizontal="center"/>
    </xf>
    <xf numFmtId="0" fontId="3" fillId="7" borderId="3" applyAlignment="1" pivotButton="0" quotePrefix="0" xfId="0">
      <alignment horizontal="center"/>
    </xf>
    <xf numFmtId="0" fontId="3" fillId="8" borderId="3" applyAlignment="1" pivotButton="0" quotePrefix="0" xfId="0">
      <alignment horizontal="center"/>
    </xf>
    <xf numFmtId="0" fontId="3" fillId="10" borderId="3" applyAlignment="1" pivotButton="0" quotePrefix="0" xfId="0">
      <alignment horizontal="center"/>
    </xf>
    <xf numFmtId="0" fontId="6" fillId="11" borderId="3" applyAlignment="1" pivotButton="0" quotePrefix="0" xfId="0">
      <alignment vertical="top"/>
    </xf>
    <xf numFmtId="0" fontId="6" fillId="11" borderId="3" applyAlignment="1" pivotButton="0" quotePrefix="0" xfId="0">
      <alignment vertical="top" wrapText="1"/>
    </xf>
    <xf numFmtId="165" fontId="6" fillId="11" borderId="3" applyAlignment="1" pivotButton="0" quotePrefix="0" xfId="0">
      <alignment horizontal="center" vertical="top"/>
    </xf>
    <xf numFmtId="1" fontId="6" fillId="11" borderId="3" applyAlignment="1" pivotButton="0" quotePrefix="0" xfId="0">
      <alignment vertical="top"/>
    </xf>
    <xf numFmtId="0" fontId="6" fillId="11" borderId="3" applyAlignment="1" pivotButton="0" quotePrefix="0" xfId="0">
      <alignment horizontal="center"/>
    </xf>
    <xf numFmtId="9" fontId="6" fillId="11" borderId="3" applyAlignment="1" pivotButton="0" quotePrefix="0" xfId="0">
      <alignment vertical="top"/>
    </xf>
    <xf numFmtId="0" fontId="6" fillId="11" borderId="3" applyAlignment="1" pivotButton="0" quotePrefix="0" xfId="0">
      <alignment horizontal="center" wrapText="1"/>
    </xf>
    <xf numFmtId="0" fontId="13" fillId="5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165" fontId="5" fillId="4" borderId="4" applyAlignment="1" pivotButton="0" quotePrefix="0" xfId="0">
      <alignment horizontal="center" vertical="top"/>
    </xf>
    <xf numFmtId="0" fontId="5" fillId="4" borderId="4" applyAlignment="1" pivotButton="0" quotePrefix="0" xfId="0">
      <alignment vertical="top" wrapText="1"/>
    </xf>
    <xf numFmtId="0" fontId="5" fillId="4" borderId="4" applyAlignment="1" pivotButton="0" quotePrefix="0" xfId="0">
      <alignment vertical="top"/>
    </xf>
    <xf numFmtId="0" fontId="5" fillId="4" borderId="4" applyAlignment="1" pivotButton="0" quotePrefix="0" xfId="0">
      <alignment horizontal="center" wrapText="1"/>
    </xf>
    <xf numFmtId="0" fontId="14" fillId="4" borderId="4" applyAlignment="1" pivotButton="0" quotePrefix="0" xfId="0">
      <alignment horizontal="center"/>
    </xf>
    <xf numFmtId="165" fontId="5" fillId="0" borderId="4" applyAlignment="1" pivotButton="0" quotePrefix="0" xfId="0">
      <alignment horizontal="center" vertical="top"/>
    </xf>
    <xf numFmtId="0" fontId="5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/>
    </xf>
    <xf numFmtId="0" fontId="5" fillId="0" borderId="4" applyAlignment="1" pivotButton="0" quotePrefix="0" xfId="0">
      <alignment horizontal="center" wrapText="1"/>
    </xf>
    <xf numFmtId="0" fontId="14" fillId="0" borderId="4" applyAlignment="1" pivotButton="0" quotePrefix="0" xfId="0">
      <alignment horizontal="center"/>
    </xf>
    <xf numFmtId="0" fontId="13" fillId="16" borderId="0" pivotButton="0" quotePrefix="0" xfId="0"/>
    <xf numFmtId="0" fontId="5" fillId="17" borderId="4" applyAlignment="1" pivotButton="0" quotePrefix="0" xfId="0">
      <alignment vertical="top" wrapText="1"/>
    </xf>
    <xf numFmtId="0" fontId="5" fillId="18" borderId="4" applyAlignment="1" pivotButton="0" quotePrefix="0" xfId="0">
      <alignment vertical="top" wrapText="1"/>
    </xf>
    <xf numFmtId="0" fontId="13" fillId="5" borderId="0" pivotButton="0" quotePrefix="0" xfId="0"/>
    <xf numFmtId="0" fontId="1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 wrapText="1"/>
    </xf>
    <xf numFmtId="0" fontId="16" fillId="2" borderId="0" pivotButton="0" quotePrefix="0" xfId="0"/>
    <xf numFmtId="0" fontId="5" fillId="18" borderId="4" pivotButton="0" quotePrefix="0" xfId="0"/>
    <xf numFmtId="9" fontId="5" fillId="18" borderId="4" pivotButton="0" quotePrefix="0" xfId="0"/>
    <xf numFmtId="0" fontId="3" fillId="6" borderId="0" pivotButton="0" quotePrefix="0" xfId="0"/>
    <xf numFmtId="0" fontId="5" fillId="0" borderId="0" pivotButton="0" quotePrefix="0" xfId="0"/>
    <xf numFmtId="0" fontId="5" fillId="19" borderId="4" pivotButton="0" quotePrefix="0" xfId="0"/>
    <xf numFmtId="9" fontId="5" fillId="19" borderId="4" pivotButton="0" quotePrefix="0" xfId="0"/>
    <xf numFmtId="0" fontId="3" fillId="7" borderId="0" pivotButton="0" quotePrefix="0" xfId="0"/>
    <xf numFmtId="0" fontId="5" fillId="20" borderId="4" pivotButton="0" quotePrefix="0" xfId="0"/>
    <xf numFmtId="9" fontId="5" fillId="20" borderId="4" pivotButton="0" quotePrefix="0" xfId="0"/>
    <xf numFmtId="0" fontId="3" fillId="8" borderId="0" pivotButton="0" quotePrefix="0" xfId="0"/>
    <xf numFmtId="0" fontId="5" fillId="21" borderId="4" pivotButton="0" quotePrefix="0" xfId="0"/>
    <xf numFmtId="9" fontId="5" fillId="21" borderId="4" pivotButton="0" quotePrefix="0" xfId="0"/>
    <xf numFmtId="0" fontId="3" fillId="10" borderId="0" pivotButton="0" quotePrefix="0" xfId="0"/>
    <xf numFmtId="0" fontId="5" fillId="22" borderId="4" pivotButton="0" quotePrefix="0" xfId="0"/>
    <xf numFmtId="9" fontId="5" fillId="22" borderId="4" pivotButton="0" quotePrefix="0" xfId="0"/>
    <xf numFmtId="0" fontId="3" fillId="9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2E7D32"/>
        </patternFill>
      </fill>
    </dxf>
    <dxf>
      <fill>
        <patternFill patternType="solid">
          <fgColor rgb="00F9A825"/>
        </patternFill>
      </fill>
    </dxf>
    <dxf>
      <fill>
        <patternFill patternType="solid">
          <fgColor rgb="001565C0"/>
        </patternFill>
      </fill>
    </dxf>
    <dxf>
      <fill>
        <patternFill patternType="solid">
          <fgColor rgb="007E57C2"/>
        </patternFill>
      </fill>
    </dxf>
    <dxf>
      <fill>
        <patternFill patternType="solid">
          <fgColor rgb="008A94A3"/>
        </patternFill>
      </fill>
    </dxf>
    <dxf>
      <fill>
        <patternFill patternType="solid">
          <fgColor rgb="00E8F5E9"/>
        </patternFill>
      </fill>
    </dxf>
    <dxf>
      <fill>
        <patternFill patternType="solid">
          <fgColor rgb="00FFF8E1"/>
        </patternFill>
      </fill>
    </dxf>
    <dxf>
      <fill>
        <patternFill patternType="solid">
          <fgColor rgb="00E3F2FD"/>
        </patternFill>
      </fill>
    </dxf>
    <dxf>
      <fill>
        <patternFill patternType="solid">
          <fgColor rgb="00F1ECFA"/>
        </patternFill>
      </fill>
    </dxf>
    <dxf>
      <fill>
        <patternFill patternType="solid">
          <fgColor rgb="00ECEFF1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0006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User</author>
  </authors>
  <commentList>
    <comment ref="M8" authorId="0" shapeId="0">
      <text>
        <t>Milestone: Proposal handoff — 08 June 2026</t>
      </text>
    </comment>
    <comment ref="BR8" authorId="0" shapeId="0">
      <text>
        <t>Milestone: Base Sepolia evidence — 04 August 2026</t>
      </text>
    </comment>
    <comment ref="BY8" authorId="0" shapeId="0">
      <text>
        <t>Milestone: Scope / route freeze — 11 August 2026</t>
      </text>
    </comment>
    <comment ref="BZ8" authorId="0" shapeId="0">
      <text>
        <t>Milestone: Acceptance / claim freeze — 12 August 2026</t>
      </text>
    </comment>
    <comment ref="CB8" authorId="0" shapeId="0">
      <text>
        <t>Milestone: Main group submission — 14 August 2026</t>
      </text>
    </comment>
    <comment ref="M10" authorId="0" shapeId="0">
      <text>
        <t>Monday, 08 June 2026 — Proposal handoff</t>
      </text>
    </comment>
    <comment ref="N10" authorId="0" shapeId="0">
      <text>
        <t>Tuesday, 09 June 2026</t>
      </text>
    </comment>
    <comment ref="O10" authorId="0" shapeId="0">
      <text>
        <t>Wednesday, 10 June 2026</t>
      </text>
    </comment>
    <comment ref="P10" authorId="0" shapeId="0">
      <text>
        <t>Thursday, 11 June 2026</t>
      </text>
    </comment>
    <comment ref="Q10" authorId="0" shapeId="0">
      <text>
        <t>Friday, 12 June 2026</t>
      </text>
    </comment>
    <comment ref="R10" authorId="0" shapeId="0">
      <text>
        <t>Saturday, 13 June 2026</t>
      </text>
    </comment>
    <comment ref="S10" authorId="0" shapeId="0">
      <text>
        <t>Sunday, 14 June 2026</t>
      </text>
    </comment>
    <comment ref="T10" authorId="0" shapeId="0">
      <text>
        <t>Monday, 15 June 2026</t>
      </text>
    </comment>
    <comment ref="U10" authorId="0" shapeId="0">
      <text>
        <t>Tuesday, 16 June 2026</t>
      </text>
    </comment>
    <comment ref="V10" authorId="0" shapeId="0">
      <text>
        <t>Wednesday, 17 June 2026</t>
      </text>
    </comment>
    <comment ref="W10" authorId="0" shapeId="0">
      <text>
        <t>Thursday, 18 June 2026</t>
      </text>
    </comment>
    <comment ref="X10" authorId="0" shapeId="0">
      <text>
        <t>Friday, 19 June 2026</t>
      </text>
    </comment>
    <comment ref="Y10" authorId="0" shapeId="0">
      <text>
        <t>Saturday, 20 June 2026</t>
      </text>
    </comment>
    <comment ref="Z10" authorId="0" shapeId="0">
      <text>
        <t>Sunday, 21 June 2026</t>
      </text>
    </comment>
    <comment ref="AA10" authorId="0" shapeId="0">
      <text>
        <t>Monday, 22 June 2026</t>
      </text>
    </comment>
    <comment ref="AB10" authorId="0" shapeId="0">
      <text>
        <t>Tuesday, 23 June 2026</t>
      </text>
    </comment>
    <comment ref="AC10" authorId="0" shapeId="0">
      <text>
        <t>Wednesday, 24 June 2026</t>
      </text>
    </comment>
    <comment ref="AD10" authorId="0" shapeId="0">
      <text>
        <t>Thursday, 25 June 2026</t>
      </text>
    </comment>
    <comment ref="AE10" authorId="0" shapeId="0">
      <text>
        <t>Friday, 26 June 2026</t>
      </text>
    </comment>
    <comment ref="AF10" authorId="0" shapeId="0">
      <text>
        <t>Saturday, 27 June 2026</t>
      </text>
    </comment>
    <comment ref="AG10" authorId="0" shapeId="0">
      <text>
        <t>Sunday, 28 June 2026</t>
      </text>
    </comment>
    <comment ref="AH10" authorId="0" shapeId="0">
      <text>
        <t>Monday, 29 June 2026</t>
      </text>
    </comment>
    <comment ref="AI10" authorId="0" shapeId="0">
      <text>
        <t>Tuesday, 30 June 2026</t>
      </text>
    </comment>
    <comment ref="AJ10" authorId="0" shapeId="0">
      <text>
        <t>Wednesday, 01 July 2026</t>
      </text>
    </comment>
    <comment ref="AK10" authorId="0" shapeId="0">
      <text>
        <t>Thursday, 02 July 2026</t>
      </text>
    </comment>
    <comment ref="AL10" authorId="0" shapeId="0">
      <text>
        <t>Friday, 03 July 2026</t>
      </text>
    </comment>
    <comment ref="AM10" authorId="0" shapeId="0">
      <text>
        <t>Saturday, 04 July 2026</t>
      </text>
    </comment>
    <comment ref="AN10" authorId="0" shapeId="0">
      <text>
        <t>Sunday, 05 July 2026</t>
      </text>
    </comment>
    <comment ref="AO10" authorId="0" shapeId="0">
      <text>
        <t>Monday, 06 July 2026</t>
      </text>
    </comment>
    <comment ref="AP10" authorId="0" shapeId="0">
      <text>
        <t>Tuesday, 07 July 2026</t>
      </text>
    </comment>
    <comment ref="AQ10" authorId="0" shapeId="0">
      <text>
        <t>Wednesday, 08 July 2026</t>
      </text>
    </comment>
    <comment ref="AR10" authorId="0" shapeId="0">
      <text>
        <t>Thursday, 09 July 2026</t>
      </text>
    </comment>
    <comment ref="AS10" authorId="0" shapeId="0">
      <text>
        <t>Friday, 10 July 2026</t>
      </text>
    </comment>
    <comment ref="AT10" authorId="0" shapeId="0">
      <text>
        <t>Saturday, 11 July 2026</t>
      </text>
    </comment>
    <comment ref="AU10" authorId="0" shapeId="0">
      <text>
        <t>Sunday, 12 July 2026</t>
      </text>
    </comment>
    <comment ref="AV10" authorId="0" shapeId="0">
      <text>
        <t>Monday, 13 July 2026</t>
      </text>
    </comment>
    <comment ref="AW10" authorId="0" shapeId="0">
      <text>
        <t>Tuesday, 14 July 2026</t>
      </text>
    </comment>
    <comment ref="AX10" authorId="0" shapeId="0">
      <text>
        <t>Wednesday, 15 July 2026</t>
      </text>
    </comment>
    <comment ref="AY10" authorId="0" shapeId="0">
      <text>
        <t>Thursday, 16 July 2026</t>
      </text>
    </comment>
    <comment ref="AZ10" authorId="0" shapeId="0">
      <text>
        <t>Friday, 17 July 2026</t>
      </text>
    </comment>
    <comment ref="BA10" authorId="0" shapeId="0">
      <text>
        <t>Saturday, 18 July 2026</t>
      </text>
    </comment>
    <comment ref="BB10" authorId="0" shapeId="0">
      <text>
        <t>Sunday, 19 July 2026</t>
      </text>
    </comment>
    <comment ref="BC10" authorId="0" shapeId="0">
      <text>
        <t>Monday, 20 July 2026</t>
      </text>
    </comment>
    <comment ref="BD10" authorId="0" shapeId="0">
      <text>
        <t>Tuesday, 21 July 2026</t>
      </text>
    </comment>
    <comment ref="BE10" authorId="0" shapeId="0">
      <text>
        <t>Wednesday, 22 July 2026</t>
      </text>
    </comment>
    <comment ref="BF10" authorId="0" shapeId="0">
      <text>
        <t>Thursday, 23 July 2026</t>
      </text>
    </comment>
    <comment ref="BG10" authorId="0" shapeId="0">
      <text>
        <t>Friday, 24 July 2026</t>
      </text>
    </comment>
    <comment ref="BH10" authorId="0" shapeId="0">
      <text>
        <t>Saturday, 25 July 2026</t>
      </text>
    </comment>
    <comment ref="BI10" authorId="0" shapeId="0">
      <text>
        <t>Sunday, 26 July 2026</t>
      </text>
    </comment>
    <comment ref="BJ10" authorId="0" shapeId="0">
      <text>
        <t>Monday, 27 July 2026</t>
      </text>
    </comment>
    <comment ref="BK10" authorId="0" shapeId="0">
      <text>
        <t>Tuesday, 28 July 2026</t>
      </text>
    </comment>
    <comment ref="BL10" authorId="0" shapeId="0">
      <text>
        <t>Wednesday, 29 July 2026</t>
      </text>
    </comment>
    <comment ref="BM10" authorId="0" shapeId="0">
      <text>
        <t>Thursday, 30 July 2026</t>
      </text>
    </comment>
    <comment ref="BN10" authorId="0" shapeId="0">
      <text>
        <t>Friday, 31 July 2026</t>
      </text>
    </comment>
    <comment ref="BO10" authorId="0" shapeId="0">
      <text>
        <t>Saturday, 01 August 2026</t>
      </text>
    </comment>
    <comment ref="BP10" authorId="0" shapeId="0">
      <text>
        <t>Sunday, 02 August 2026</t>
      </text>
    </comment>
    <comment ref="BQ10" authorId="0" shapeId="0">
      <text>
        <t>Monday, 03 August 2026</t>
      </text>
    </comment>
    <comment ref="BR10" authorId="0" shapeId="0">
      <text>
        <t>Tuesday, 04 August 2026 — Base Sepolia evidence</t>
      </text>
    </comment>
    <comment ref="BS10" authorId="0" shapeId="0">
      <text>
        <t>Wednesday, 05 August 2026</t>
      </text>
    </comment>
    <comment ref="BT10" authorId="0" shapeId="0">
      <text>
        <t>Thursday, 06 August 2026</t>
      </text>
    </comment>
    <comment ref="BU10" authorId="0" shapeId="0">
      <text>
        <t>Friday, 07 August 2026</t>
      </text>
    </comment>
    <comment ref="BV10" authorId="0" shapeId="0">
      <text>
        <t>Saturday, 08 August 2026</t>
      </text>
    </comment>
    <comment ref="BW10" authorId="0" shapeId="0">
      <text>
        <t>Sunday, 09 August 2026</t>
      </text>
    </comment>
    <comment ref="BX10" authorId="0" shapeId="0">
      <text>
        <t>Monday, 10 August 2026</t>
      </text>
    </comment>
    <comment ref="BY10" authorId="0" shapeId="0">
      <text>
        <t>Tuesday, 11 August 2026 — Scope / route freeze</t>
      </text>
    </comment>
    <comment ref="BZ10" authorId="0" shapeId="0">
      <text>
        <t>Wednesday, 12 August 2026 — Acceptance / claim freeze</t>
      </text>
    </comment>
    <comment ref="CA10" authorId="0" shapeId="0">
      <text>
        <t>Thursday, 13 August 2026</t>
      </text>
    </comment>
    <comment ref="CB10" authorId="0" shapeId="0">
      <text>
        <t>Friday, 14 August 2026 — Main group submission</t>
      </text>
    </comment>
  </commentList>
</comments>
</file>

<file path=xl/tables/table1.xml><?xml version="1.0" encoding="utf-8"?>
<table xmlns="http://schemas.openxmlformats.org/spreadsheetml/2006/main" id="1" name="ControlledTaskRegister" displayName="ControlledTaskRegister" ref="A8:R60" headerRowCount="1">
  <autoFilter ref="A8:R60"/>
  <tableColumns count="18">
    <tableColumn id="1" name="Task ID"/>
    <tableColumn id="2" name="Workstream"/>
    <tableColumn id="3" name="Task / outcome"/>
    <tableColumn id="4" name="Responsible owner(s)"/>
    <tableColumn id="5" name="Accountable"/>
    <tableColumn id="6" name="Baseline start"/>
    <tableColumn id="7" name="Baseline finish"/>
    <tableColumn id="8" name="Current due"/>
    <tableColumn id="9" name="Duration (days)"/>
    <tableColumn id="10" name="Status"/>
    <tableColumn id="11" name="Progress"/>
    <tableColumn id="12" name="Observed date"/>
    <tableColumn id="13" name="Source timing"/>
    <tableColumn id="14" name="Dependencies / aliases"/>
    <tableColumn id="15" name="Acceptance and evidence"/>
    <tableColumn id="16" name="Criticality"/>
    <tableColumn id="17" name="Overdue control"/>
    <tableColumn id="18" name="Source repor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62"/>
  <sheetViews>
    <sheetView showGridLines="0" zoomScale="85" workbookViewId="0">
      <pane xSplit="12" ySplit="10" topLeftCell="M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38" customWidth="1" min="4" max="4"/>
    <col width="22" customWidth="1" min="5" max="5"/>
    <col width="13" customWidth="1" min="6" max="6"/>
    <col width="11" customWidth="1" min="7" max="7"/>
    <col width="11" customWidth="1" min="8" max="8"/>
    <col width="7" customWidth="1" min="9" max="9"/>
    <col width="10" customWidth="1" min="10" max="10"/>
    <col width="25" customWidth="1" min="11" max="11"/>
    <col width="48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  <col width="3.1" customWidth="1" min="31" max="31"/>
    <col width="3.1" customWidth="1" min="32" max="32"/>
    <col width="3.1" customWidth="1" min="33" max="33"/>
    <col width="3.1" customWidth="1" min="34" max="34"/>
    <col width="3.1" customWidth="1" min="35" max="35"/>
    <col width="3.1" customWidth="1" min="36" max="36"/>
    <col width="3.1" customWidth="1" min="37" max="37"/>
    <col width="3.1" customWidth="1" min="38" max="38"/>
    <col width="3.1" customWidth="1" min="39" max="39"/>
    <col width="3.1" customWidth="1" min="40" max="40"/>
    <col width="3.1" customWidth="1" min="41" max="41"/>
    <col width="3.1" customWidth="1" min="42" max="42"/>
    <col width="3.1" customWidth="1" min="43" max="43"/>
    <col width="3.1" customWidth="1" min="44" max="44"/>
    <col width="3.1" customWidth="1" min="45" max="45"/>
    <col width="3.1" customWidth="1" min="46" max="46"/>
    <col width="3.1" customWidth="1" min="47" max="47"/>
    <col width="3.1" customWidth="1" min="48" max="48"/>
    <col width="3.1" customWidth="1" min="49" max="49"/>
    <col width="3.1" customWidth="1" min="50" max="50"/>
    <col width="3.1" customWidth="1" min="51" max="51"/>
    <col width="3.1" customWidth="1" min="52" max="52"/>
    <col width="3.1" customWidth="1" min="53" max="53"/>
    <col width="3.1" customWidth="1" min="54" max="54"/>
    <col width="3.1" customWidth="1" min="55" max="55"/>
    <col width="3.1" customWidth="1" min="56" max="56"/>
    <col width="3.1" customWidth="1" min="57" max="57"/>
    <col width="3.1" customWidth="1" min="58" max="58"/>
    <col width="3.1" customWidth="1" min="59" max="59"/>
    <col width="3.1" customWidth="1" min="60" max="60"/>
    <col width="3.1" customWidth="1" min="61" max="61"/>
    <col width="3.1" customWidth="1" min="62" max="62"/>
    <col width="3.1" customWidth="1" min="63" max="63"/>
    <col width="3.1" customWidth="1" min="64" max="64"/>
    <col width="3.1" customWidth="1" min="65" max="65"/>
    <col width="3.1" customWidth="1" min="66" max="66"/>
    <col width="3.1" customWidth="1" min="67" max="67"/>
    <col width="3.1" customWidth="1" min="68" max="68"/>
    <col width="3.1" customWidth="1" min="69" max="69"/>
    <col width="3.1" customWidth="1" min="70" max="70"/>
    <col width="3.1" customWidth="1" min="71" max="71"/>
    <col width="3.1" customWidth="1" min="72" max="72"/>
    <col width="3.1" customWidth="1" min="73" max="73"/>
    <col width="3.1" customWidth="1" min="74" max="74"/>
    <col width="3.1" customWidth="1" min="75" max="75"/>
    <col width="3.1" customWidth="1" min="76" max="76"/>
    <col width="3.1" customWidth="1" min="77" max="77"/>
    <col width="3.1" customWidth="1" min="78" max="78"/>
    <col width="3.1" customWidth="1" min="79" max="79"/>
    <col width="3.1" customWidth="1" min="80" max="80"/>
  </cols>
  <sheetData>
    <row r="1" ht="34" customHeight="1">
      <c r="A1" s="1" t="inlineStr">
        <is>
          <t>Blockmediary — Master Governance Gantt</t>
        </is>
      </c>
    </row>
    <row r="2" ht="22" customHeight="1">
      <c r="A2" s="2" t="inlineStr">
        <is>
          <t>Reporting period 8 June–14 August 2026 | Status date 12 August 2026 | Pre-remediation snapshot | Individual-assignment work excluded</t>
        </is>
      </c>
    </row>
    <row r="4">
      <c r="A4" s="3" t="inlineStr">
        <is>
          <t>DONE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5" t="inlineStr">
        <is>
          <t>REVIEW</t>
        </is>
      </c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6" t="inlineStr">
        <is>
          <t>DOING</t>
        </is>
      </c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7" t="inlineStr">
        <is>
          <t>TO DO</t>
        </is>
      </c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8" t="inlineStr">
        <is>
          <t>DEFERRED</t>
        </is>
      </c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9" t="inlineStr">
        <is>
          <t>ACTIVE COMPLETE</t>
        </is>
      </c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</row>
    <row r="5">
      <c r="A5" s="10">
        <f>COUNTIF($J$11:$J$62,"Done")</f>
        <v>24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10">
        <f>COUNTIF($J$11:$J$62,"Review")</f>
        <v>8</v>
      </c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10">
        <f>COUNTIF($J$11:$J$62,"Doing")</f>
        <v>6</v>
      </c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10">
        <f>COUNTIF($J$11:$J$62,"To Do")</f>
        <v>6</v>
      </c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10">
        <f>COUNTIF($J$11:$J$62,"Deferred")</f>
        <v>8</v>
      </c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11">
        <f>COUNTIF($J$11:$J$62,"Done")/COUNTIF($J$11:$J$62,"&lt;&gt;Deferred")</f>
        <v>0.5454545454545454</v>
      </c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4" t="n"/>
      <c r="CB6" s="4" t="n"/>
    </row>
    <row r="8">
      <c r="A8" s="12" t="inlineStr">
        <is>
          <t>◆ Milestone column   |   ◆ Zero float   |   ● Critical path   |   Gantt finish uses current due for active work, otherwise baseline finish</t>
        </is>
      </c>
      <c r="M8" s="13" t="inlineStr">
        <is>
          <t>◆</t>
        </is>
      </c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  <c r="AA8" s="13" t="inlineStr"/>
      <c r="AB8" s="13" t="inlineStr"/>
      <c r="AC8" s="13" t="inlineStr"/>
      <c r="AD8" s="13" t="inlineStr"/>
      <c r="AE8" s="13" t="inlineStr"/>
      <c r="AF8" s="13" t="inlineStr"/>
      <c r="AG8" s="13" t="inlineStr"/>
      <c r="AH8" s="13" t="inlineStr"/>
      <c r="AI8" s="13" t="inlineStr"/>
      <c r="AJ8" s="13" t="inlineStr"/>
      <c r="AK8" s="13" t="inlineStr"/>
      <c r="AL8" s="13" t="inlineStr"/>
      <c r="AM8" s="13" t="inlineStr"/>
      <c r="AN8" s="13" t="inlineStr"/>
      <c r="AO8" s="13" t="inlineStr"/>
      <c r="AP8" s="13" t="inlineStr"/>
      <c r="AQ8" s="13" t="inlineStr"/>
      <c r="AR8" s="13" t="inlineStr"/>
      <c r="AS8" s="13" t="inlineStr"/>
      <c r="AT8" s="13" t="inlineStr"/>
      <c r="AU8" s="13" t="inlineStr"/>
      <c r="AV8" s="13" t="inlineStr"/>
      <c r="AW8" s="13" t="inlineStr"/>
      <c r="AX8" s="13" t="inlineStr"/>
      <c r="AY8" s="13" t="inlineStr"/>
      <c r="AZ8" s="13" t="inlineStr"/>
      <c r="BA8" s="13" t="inlineStr"/>
      <c r="BB8" s="13" t="inlineStr"/>
      <c r="BC8" s="13" t="inlineStr"/>
      <c r="BD8" s="13" t="inlineStr"/>
      <c r="BE8" s="13" t="inlineStr"/>
      <c r="BF8" s="13" t="inlineStr"/>
      <c r="BG8" s="13" t="inlineStr"/>
      <c r="BH8" s="13" t="inlineStr"/>
      <c r="BI8" s="13" t="inlineStr"/>
      <c r="BJ8" s="13" t="inlineStr"/>
      <c r="BK8" s="13" t="inlineStr"/>
      <c r="BL8" s="13" t="inlineStr"/>
      <c r="BM8" s="13" t="inlineStr"/>
      <c r="BN8" s="13" t="inlineStr"/>
      <c r="BO8" s="13" t="inlineStr"/>
      <c r="BP8" s="13" t="inlineStr"/>
      <c r="BQ8" s="13" t="inlineStr"/>
      <c r="BR8" s="13" t="inlineStr">
        <is>
          <t>◆</t>
        </is>
      </c>
      <c r="BS8" s="13" t="inlineStr"/>
      <c r="BT8" s="13" t="inlineStr"/>
      <c r="BU8" s="13" t="inlineStr"/>
      <c r="BV8" s="13" t="inlineStr"/>
      <c r="BW8" s="13" t="inlineStr"/>
      <c r="BX8" s="13" t="inlineStr"/>
      <c r="BY8" s="13" t="inlineStr">
        <is>
          <t>◆</t>
        </is>
      </c>
      <c r="BZ8" s="13" t="inlineStr">
        <is>
          <t>◆</t>
        </is>
      </c>
      <c r="CA8" s="13" t="inlineStr"/>
      <c r="CB8" s="13" t="inlineStr">
        <is>
          <t>◆</t>
        </is>
      </c>
    </row>
    <row r="9">
      <c r="M9" s="14" t="inlineStr">
        <is>
          <t>June 2026</t>
        </is>
      </c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4" t="inlineStr">
        <is>
          <t>July 2026</t>
        </is>
      </c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4" t="inlineStr">
        <is>
          <t>August 2026</t>
        </is>
      </c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</row>
    <row r="10" ht="32" customHeight="1">
      <c r="A10" s="16" t="inlineStr"/>
      <c r="B10" s="16" t="inlineStr">
        <is>
          <t>Task ID</t>
        </is>
      </c>
      <c r="C10" s="16" t="inlineStr">
        <is>
          <t>Workstream</t>
        </is>
      </c>
      <c r="D10" s="16" t="inlineStr">
        <is>
          <t>Task</t>
        </is>
      </c>
      <c r="E10" s="16" t="inlineStr">
        <is>
          <t>Responsible</t>
        </is>
      </c>
      <c r="F10" s="16" t="inlineStr">
        <is>
          <t>Accountable</t>
        </is>
      </c>
      <c r="G10" s="16" t="inlineStr">
        <is>
          <t>Start</t>
        </is>
      </c>
      <c r="H10" s="16" t="inlineStr">
        <is>
          <t>Finish</t>
        </is>
      </c>
      <c r="I10" s="16" t="inlineStr">
        <is>
          <t>Days</t>
        </is>
      </c>
      <c r="J10" s="16" t="inlineStr">
        <is>
          <t>Status</t>
        </is>
      </c>
      <c r="K10" s="16" t="inlineStr">
        <is>
          <t>Dependencies</t>
        </is>
      </c>
      <c r="L10" s="16" t="inlineStr">
        <is>
          <t>Evidence / acceptance</t>
        </is>
      </c>
      <c r="M10" s="17" t="n">
        <v>46181</v>
      </c>
      <c r="N10" s="18" t="n">
        <v>46182</v>
      </c>
      <c r="O10" s="18" t="n">
        <v>46183</v>
      </c>
      <c r="P10" s="18" t="n">
        <v>46184</v>
      </c>
      <c r="Q10" s="18" t="n">
        <v>46185</v>
      </c>
      <c r="R10" s="18" t="n">
        <v>46186</v>
      </c>
      <c r="S10" s="18" t="n">
        <v>46187</v>
      </c>
      <c r="T10" s="18" t="n">
        <v>46188</v>
      </c>
      <c r="U10" s="18" t="n">
        <v>46189</v>
      </c>
      <c r="V10" s="18" t="n">
        <v>46190</v>
      </c>
      <c r="W10" s="18" t="n">
        <v>46191</v>
      </c>
      <c r="X10" s="18" t="n">
        <v>46192</v>
      </c>
      <c r="Y10" s="18" t="n">
        <v>46193</v>
      </c>
      <c r="Z10" s="18" t="n">
        <v>46194</v>
      </c>
      <c r="AA10" s="18" t="n">
        <v>46195</v>
      </c>
      <c r="AB10" s="18" t="n">
        <v>46196</v>
      </c>
      <c r="AC10" s="18" t="n">
        <v>46197</v>
      </c>
      <c r="AD10" s="18" t="n">
        <v>46198</v>
      </c>
      <c r="AE10" s="18" t="n">
        <v>46199</v>
      </c>
      <c r="AF10" s="18" t="n">
        <v>46200</v>
      </c>
      <c r="AG10" s="18" t="n">
        <v>46201</v>
      </c>
      <c r="AH10" s="18" t="n">
        <v>46202</v>
      </c>
      <c r="AI10" s="18" t="n">
        <v>46203</v>
      </c>
      <c r="AJ10" s="18" t="n">
        <v>46204</v>
      </c>
      <c r="AK10" s="18" t="n">
        <v>46205</v>
      </c>
      <c r="AL10" s="18" t="n">
        <v>46206</v>
      </c>
      <c r="AM10" s="18" t="n">
        <v>46207</v>
      </c>
      <c r="AN10" s="18" t="n">
        <v>46208</v>
      </c>
      <c r="AO10" s="18" t="n">
        <v>46209</v>
      </c>
      <c r="AP10" s="18" t="n">
        <v>46210</v>
      </c>
      <c r="AQ10" s="18" t="n">
        <v>46211</v>
      </c>
      <c r="AR10" s="18" t="n">
        <v>46212</v>
      </c>
      <c r="AS10" s="18" t="n">
        <v>46213</v>
      </c>
      <c r="AT10" s="18" t="n">
        <v>46214</v>
      </c>
      <c r="AU10" s="18" t="n">
        <v>46215</v>
      </c>
      <c r="AV10" s="18" t="n">
        <v>46216</v>
      </c>
      <c r="AW10" s="18" t="n">
        <v>46217</v>
      </c>
      <c r="AX10" s="18" t="n">
        <v>46218</v>
      </c>
      <c r="AY10" s="18" t="n">
        <v>46219</v>
      </c>
      <c r="AZ10" s="18" t="n">
        <v>46220</v>
      </c>
      <c r="BA10" s="18" t="n">
        <v>46221</v>
      </c>
      <c r="BB10" s="18" t="n">
        <v>46222</v>
      </c>
      <c r="BC10" s="18" t="n">
        <v>46223</v>
      </c>
      <c r="BD10" s="18" t="n">
        <v>46224</v>
      </c>
      <c r="BE10" s="18" t="n">
        <v>46225</v>
      </c>
      <c r="BF10" s="18" t="n">
        <v>46226</v>
      </c>
      <c r="BG10" s="18" t="n">
        <v>46227</v>
      </c>
      <c r="BH10" s="18" t="n">
        <v>46228</v>
      </c>
      <c r="BI10" s="18" t="n">
        <v>46229</v>
      </c>
      <c r="BJ10" s="18" t="n">
        <v>46230</v>
      </c>
      <c r="BK10" s="18" t="n">
        <v>46231</v>
      </c>
      <c r="BL10" s="18" t="n">
        <v>46232</v>
      </c>
      <c r="BM10" s="18" t="n">
        <v>46233</v>
      </c>
      <c r="BN10" s="18" t="n">
        <v>46234</v>
      </c>
      <c r="BO10" s="18" t="n">
        <v>46235</v>
      </c>
      <c r="BP10" s="18" t="n">
        <v>46236</v>
      </c>
      <c r="BQ10" s="18" t="n">
        <v>46237</v>
      </c>
      <c r="BR10" s="17" t="n">
        <v>46238</v>
      </c>
      <c r="BS10" s="18" t="n">
        <v>46239</v>
      </c>
      <c r="BT10" s="18" t="n">
        <v>46240</v>
      </c>
      <c r="BU10" s="18" t="n">
        <v>46241</v>
      </c>
      <c r="BV10" s="18" t="n">
        <v>46242</v>
      </c>
      <c r="BW10" s="18" t="n">
        <v>46243</v>
      </c>
      <c r="BX10" s="18" t="n">
        <v>46244</v>
      </c>
      <c r="BY10" s="17" t="n">
        <v>46245</v>
      </c>
      <c r="BZ10" s="17" t="n">
        <v>46246</v>
      </c>
      <c r="CA10" s="18" t="n">
        <v>46247</v>
      </c>
      <c r="CB10" s="17" t="n">
        <v>46248</v>
      </c>
    </row>
    <row r="11" ht="42" customHeight="1">
      <c r="A11" s="19" t="inlineStr"/>
      <c r="B11" s="19" t="inlineStr">
        <is>
          <t>GOV-01</t>
        </is>
      </c>
      <c r="C11" s="19" t="inlineStr">
        <is>
          <t>GOV</t>
        </is>
      </c>
      <c r="D11" s="20" t="inlineStr">
        <is>
          <t>Proposal handoff and assessed build gate established</t>
        </is>
      </c>
      <c r="E11" s="20" t="inlineStr">
        <is>
          <t>Tamer</t>
        </is>
      </c>
      <c r="F11" s="19" t="inlineStr">
        <is>
          <t>Tamer</t>
        </is>
      </c>
      <c r="G11" s="21" t="n">
        <v>46181</v>
      </c>
      <c r="H11" s="21" t="n">
        <v>46181</v>
      </c>
      <c r="I11" s="22">
        <f>IF(OR(G11="",H11=""),"",H11-G11+1)</f>
        <v>1</v>
      </c>
      <c r="J11" s="23" t="inlineStr">
        <is>
          <t>Done</t>
        </is>
      </c>
      <c r="K11" s="20" t="inlineStr"/>
      <c r="L11" s="20" t="inlineStr">
        <is>
          <t>Proposal artifact and fixed deadline retained — proposal/Pitch-Deck-June-8.pptx; T1</t>
        </is>
      </c>
      <c r="M11" s="24" t="n"/>
      <c r="N11" s="25" t="n"/>
      <c r="O11" s="25" t="n"/>
      <c r="P11" s="25" t="n"/>
      <c r="Q11" s="25" t="n"/>
      <c r="R11" s="26" t="n"/>
      <c r="S11" s="26" t="n"/>
      <c r="T11" s="25" t="n"/>
      <c r="U11" s="25" t="n"/>
      <c r="V11" s="25" t="n"/>
      <c r="W11" s="25" t="n"/>
      <c r="X11" s="25" t="n"/>
      <c r="Y11" s="26" t="n"/>
      <c r="Z11" s="26" t="n"/>
      <c r="AA11" s="25" t="n"/>
      <c r="AB11" s="25" t="n"/>
      <c r="AC11" s="25" t="n"/>
      <c r="AD11" s="25" t="n"/>
      <c r="AE11" s="25" t="n"/>
      <c r="AF11" s="26" t="n"/>
      <c r="AG11" s="26" t="n"/>
      <c r="AH11" s="25" t="n"/>
      <c r="AI11" s="25" t="n"/>
      <c r="AJ11" s="25" t="n"/>
      <c r="AK11" s="25" t="n"/>
      <c r="AL11" s="25" t="n"/>
      <c r="AM11" s="26" t="n"/>
      <c r="AN11" s="26" t="n"/>
      <c r="AO11" s="25" t="n"/>
      <c r="AP11" s="25" t="n"/>
      <c r="AQ11" s="25" t="n"/>
      <c r="AR11" s="25" t="n"/>
      <c r="AS11" s="25" t="n"/>
      <c r="AT11" s="26" t="n"/>
      <c r="AU11" s="26" t="n"/>
      <c r="AV11" s="25" t="n"/>
      <c r="AW11" s="25" t="n"/>
      <c r="AX11" s="25" t="n"/>
      <c r="AY11" s="25" t="n"/>
      <c r="AZ11" s="25" t="n"/>
      <c r="BA11" s="26" t="n"/>
      <c r="BB11" s="26" t="n"/>
      <c r="BC11" s="25" t="n"/>
      <c r="BD11" s="25" t="n"/>
      <c r="BE11" s="25" t="n"/>
      <c r="BF11" s="25" t="n"/>
      <c r="BG11" s="25" t="n"/>
      <c r="BH11" s="26" t="n"/>
      <c r="BI11" s="26" t="n"/>
      <c r="BJ11" s="25" t="n"/>
      <c r="BK11" s="25" t="n"/>
      <c r="BL11" s="25" t="n"/>
      <c r="BM11" s="25" t="n"/>
      <c r="BN11" s="25" t="n"/>
      <c r="BO11" s="26" t="n"/>
      <c r="BP11" s="26" t="n"/>
      <c r="BQ11" s="25" t="n"/>
      <c r="BR11" s="27" t="n"/>
      <c r="BS11" s="25" t="n"/>
      <c r="BT11" s="25" t="n"/>
      <c r="BU11" s="25" t="n"/>
      <c r="BV11" s="26" t="n"/>
      <c r="BW11" s="26" t="n"/>
      <c r="BX11" s="25" t="n"/>
      <c r="BY11" s="27" t="n"/>
      <c r="BZ11" s="27" t="n"/>
      <c r="CA11" s="25" t="n"/>
      <c r="CB11" s="27" t="n"/>
    </row>
    <row r="12" ht="42" customHeight="1">
      <c r="A12" s="28" t="inlineStr"/>
      <c r="B12" s="28" t="inlineStr">
        <is>
          <t>GOV-02</t>
        </is>
      </c>
      <c r="C12" s="28" t="inlineStr">
        <is>
          <t>GOV</t>
        </is>
      </c>
      <c r="D12" s="29" t="inlineStr">
        <is>
          <t>Initial governance framework created</t>
        </is>
      </c>
      <c r="E12" s="29" t="inlineStr">
        <is>
          <t>Tamer, Dan</t>
        </is>
      </c>
      <c r="F12" s="28" t="inlineStr">
        <is>
          <t>Tamer</t>
        </is>
      </c>
      <c r="G12" s="30" t="n">
        <v>46182</v>
      </c>
      <c r="H12" s="30" t="n">
        <v>46189</v>
      </c>
      <c r="I12" s="31">
        <f>IF(OR(G12="",H12=""),"",H12-G12+1)</f>
        <v>8</v>
      </c>
      <c r="J12" s="32" t="inlineStr">
        <is>
          <t>Done</t>
        </is>
      </c>
      <c r="K12" s="29" t="inlineStr"/>
      <c r="L12" s="29" t="inlineStr">
        <is>
          <t>Kanban, Gantt and RACI committed — Commit 5c4daba; T7, T8, D3</t>
        </is>
      </c>
      <c r="M12" s="27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5" t="n"/>
      <c r="W12" s="25" t="n"/>
      <c r="X12" s="25" t="n"/>
      <c r="Y12" s="26" t="n"/>
      <c r="Z12" s="26" t="n"/>
      <c r="AA12" s="25" t="n"/>
      <c r="AB12" s="25" t="n"/>
      <c r="AC12" s="25" t="n"/>
      <c r="AD12" s="25" t="n"/>
      <c r="AE12" s="25" t="n"/>
      <c r="AF12" s="26" t="n"/>
      <c r="AG12" s="26" t="n"/>
      <c r="AH12" s="25" t="n"/>
      <c r="AI12" s="25" t="n"/>
      <c r="AJ12" s="25" t="n"/>
      <c r="AK12" s="25" t="n"/>
      <c r="AL12" s="25" t="n"/>
      <c r="AM12" s="26" t="n"/>
      <c r="AN12" s="26" t="n"/>
      <c r="AO12" s="25" t="n"/>
      <c r="AP12" s="25" t="n"/>
      <c r="AQ12" s="25" t="n"/>
      <c r="AR12" s="25" t="n"/>
      <c r="AS12" s="25" t="n"/>
      <c r="AT12" s="26" t="n"/>
      <c r="AU12" s="26" t="n"/>
      <c r="AV12" s="25" t="n"/>
      <c r="AW12" s="25" t="n"/>
      <c r="AX12" s="25" t="n"/>
      <c r="AY12" s="25" t="n"/>
      <c r="AZ12" s="25" t="n"/>
      <c r="BA12" s="26" t="n"/>
      <c r="BB12" s="26" t="n"/>
      <c r="BC12" s="25" t="n"/>
      <c r="BD12" s="25" t="n"/>
      <c r="BE12" s="25" t="n"/>
      <c r="BF12" s="25" t="n"/>
      <c r="BG12" s="25" t="n"/>
      <c r="BH12" s="26" t="n"/>
      <c r="BI12" s="26" t="n"/>
      <c r="BJ12" s="25" t="n"/>
      <c r="BK12" s="25" t="n"/>
      <c r="BL12" s="25" t="n"/>
      <c r="BM12" s="25" t="n"/>
      <c r="BN12" s="25" t="n"/>
      <c r="BO12" s="26" t="n"/>
      <c r="BP12" s="26" t="n"/>
      <c r="BQ12" s="25" t="n"/>
      <c r="BR12" s="27" t="n"/>
      <c r="BS12" s="25" t="n"/>
      <c r="BT12" s="25" t="n"/>
      <c r="BU12" s="25" t="n"/>
      <c r="BV12" s="26" t="n"/>
      <c r="BW12" s="26" t="n"/>
      <c r="BX12" s="25" t="n"/>
      <c r="BY12" s="27" t="n"/>
      <c r="BZ12" s="27" t="n"/>
      <c r="CA12" s="25" t="n"/>
      <c r="CB12" s="27" t="n"/>
    </row>
    <row r="13" ht="42" customHeight="1">
      <c r="A13" s="19" t="inlineStr"/>
      <c r="B13" s="19" t="inlineStr">
        <is>
          <t>GOV-03</t>
        </is>
      </c>
      <c r="C13" s="19" t="inlineStr">
        <is>
          <t>GOV</t>
        </is>
      </c>
      <c r="D13" s="20" t="inlineStr">
        <is>
          <t>BRD v1.0 reconciled to delivered prototype</t>
        </is>
      </c>
      <c r="E13" s="20" t="inlineStr">
        <is>
          <t>Nick</t>
        </is>
      </c>
      <c r="F13" s="19" t="inlineStr">
        <is>
          <t>Tamer</t>
        </is>
      </c>
      <c r="G13" s="21" t="n">
        <v>46182</v>
      </c>
      <c r="H13" s="21" t="n">
        <v>46194</v>
      </c>
      <c r="I13" s="22">
        <f>IF(OR(G13="",H13=""),"",H13-G13+1)</f>
        <v>13</v>
      </c>
      <c r="J13" s="23" t="inlineStr">
        <is>
          <t>Done</t>
        </is>
      </c>
      <c r="K13" s="20" t="inlineStr"/>
      <c r="L13" s="20" t="inlineStr">
        <is>
          <t>Versioned BRD baseline exists — docs/business-requirements.md; 3b3e82e; T1</t>
        </is>
      </c>
      <c r="M13" s="27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5" t="n"/>
      <c r="AB13" s="25" t="n"/>
      <c r="AC13" s="25" t="n"/>
      <c r="AD13" s="25" t="n"/>
      <c r="AE13" s="25" t="n"/>
      <c r="AF13" s="26" t="n"/>
      <c r="AG13" s="26" t="n"/>
      <c r="AH13" s="25" t="n"/>
      <c r="AI13" s="25" t="n"/>
      <c r="AJ13" s="25" t="n"/>
      <c r="AK13" s="25" t="n"/>
      <c r="AL13" s="25" t="n"/>
      <c r="AM13" s="26" t="n"/>
      <c r="AN13" s="26" t="n"/>
      <c r="AO13" s="25" t="n"/>
      <c r="AP13" s="25" t="n"/>
      <c r="AQ13" s="25" t="n"/>
      <c r="AR13" s="25" t="n"/>
      <c r="AS13" s="25" t="n"/>
      <c r="AT13" s="26" t="n"/>
      <c r="AU13" s="26" t="n"/>
      <c r="AV13" s="25" t="n"/>
      <c r="AW13" s="25" t="n"/>
      <c r="AX13" s="25" t="n"/>
      <c r="AY13" s="25" t="n"/>
      <c r="AZ13" s="25" t="n"/>
      <c r="BA13" s="26" t="n"/>
      <c r="BB13" s="26" t="n"/>
      <c r="BC13" s="25" t="n"/>
      <c r="BD13" s="25" t="n"/>
      <c r="BE13" s="25" t="n"/>
      <c r="BF13" s="25" t="n"/>
      <c r="BG13" s="25" t="n"/>
      <c r="BH13" s="26" t="n"/>
      <c r="BI13" s="26" t="n"/>
      <c r="BJ13" s="25" t="n"/>
      <c r="BK13" s="25" t="n"/>
      <c r="BL13" s="25" t="n"/>
      <c r="BM13" s="25" t="n"/>
      <c r="BN13" s="25" t="n"/>
      <c r="BO13" s="26" t="n"/>
      <c r="BP13" s="26" t="n"/>
      <c r="BQ13" s="25" t="n"/>
      <c r="BR13" s="27" t="n"/>
      <c r="BS13" s="25" t="n"/>
      <c r="BT13" s="25" t="n"/>
      <c r="BU13" s="25" t="n"/>
      <c r="BV13" s="26" t="n"/>
      <c r="BW13" s="26" t="n"/>
      <c r="BX13" s="25" t="n"/>
      <c r="BY13" s="27" t="n"/>
      <c r="BZ13" s="27" t="n"/>
      <c r="CA13" s="25" t="n"/>
      <c r="CB13" s="27" t="n"/>
    </row>
    <row r="14" ht="42" customHeight="1">
      <c r="A14" s="28" t="inlineStr"/>
      <c r="B14" s="28" t="inlineStr">
        <is>
          <t>PRD-01</t>
        </is>
      </c>
      <c r="C14" s="28" t="inlineStr">
        <is>
          <t>PRD</t>
        </is>
      </c>
      <c r="D14" s="29" t="inlineStr">
        <is>
          <t>End-to-end operating workflow documented</t>
        </is>
      </c>
      <c r="E14" s="29" t="inlineStr">
        <is>
          <t>Dan</t>
        </is>
      </c>
      <c r="F14" s="28" t="inlineStr">
        <is>
          <t>Dan</t>
        </is>
      </c>
      <c r="G14" s="30" t="n">
        <v>46182</v>
      </c>
      <c r="H14" s="30" t="n">
        <v>46194</v>
      </c>
      <c r="I14" s="31">
        <f>IF(OR(G14="",H14=""),"",H14-G14+1)</f>
        <v>13</v>
      </c>
      <c r="J14" s="32" t="inlineStr">
        <is>
          <t>Done</t>
        </is>
      </c>
      <c r="K14" s="29" t="inlineStr"/>
      <c r="L14" s="29" t="inlineStr">
        <is>
          <t>Happy path and verification layers documented — docs/Flow Guidance/operational-flow-v1.md; D1</t>
        </is>
      </c>
      <c r="M14" s="27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5" t="n"/>
      <c r="AB14" s="25" t="n"/>
      <c r="AC14" s="25" t="n"/>
      <c r="AD14" s="25" t="n"/>
      <c r="AE14" s="25" t="n"/>
      <c r="AF14" s="26" t="n"/>
      <c r="AG14" s="26" t="n"/>
      <c r="AH14" s="25" t="n"/>
      <c r="AI14" s="25" t="n"/>
      <c r="AJ14" s="25" t="n"/>
      <c r="AK14" s="25" t="n"/>
      <c r="AL14" s="25" t="n"/>
      <c r="AM14" s="26" t="n"/>
      <c r="AN14" s="26" t="n"/>
      <c r="AO14" s="25" t="n"/>
      <c r="AP14" s="25" t="n"/>
      <c r="AQ14" s="25" t="n"/>
      <c r="AR14" s="25" t="n"/>
      <c r="AS14" s="25" t="n"/>
      <c r="AT14" s="26" t="n"/>
      <c r="AU14" s="26" t="n"/>
      <c r="AV14" s="25" t="n"/>
      <c r="AW14" s="25" t="n"/>
      <c r="AX14" s="25" t="n"/>
      <c r="AY14" s="25" t="n"/>
      <c r="AZ14" s="25" t="n"/>
      <c r="BA14" s="26" t="n"/>
      <c r="BB14" s="26" t="n"/>
      <c r="BC14" s="25" t="n"/>
      <c r="BD14" s="25" t="n"/>
      <c r="BE14" s="25" t="n"/>
      <c r="BF14" s="25" t="n"/>
      <c r="BG14" s="25" t="n"/>
      <c r="BH14" s="26" t="n"/>
      <c r="BI14" s="26" t="n"/>
      <c r="BJ14" s="25" t="n"/>
      <c r="BK14" s="25" t="n"/>
      <c r="BL14" s="25" t="n"/>
      <c r="BM14" s="25" t="n"/>
      <c r="BN14" s="25" t="n"/>
      <c r="BO14" s="26" t="n"/>
      <c r="BP14" s="26" t="n"/>
      <c r="BQ14" s="25" t="n"/>
      <c r="BR14" s="27" t="n"/>
      <c r="BS14" s="25" t="n"/>
      <c r="BT14" s="25" t="n"/>
      <c r="BU14" s="25" t="n"/>
      <c r="BV14" s="26" t="n"/>
      <c r="BW14" s="26" t="n"/>
      <c r="BX14" s="25" t="n"/>
      <c r="BY14" s="27" t="n"/>
      <c r="BZ14" s="27" t="n"/>
      <c r="CA14" s="25" t="n"/>
      <c r="CB14" s="27" t="n"/>
    </row>
    <row r="15" ht="42" customHeight="1">
      <c r="A15" s="19" t="inlineStr"/>
      <c r="B15" s="19" t="inlineStr">
        <is>
          <t>PRD-02</t>
        </is>
      </c>
      <c r="C15" s="19" t="inlineStr">
        <is>
          <t>PRD</t>
        </is>
      </c>
      <c r="D15" s="20" t="inlineStr">
        <is>
          <t>Deal, state and deterministic release rules implemented</t>
        </is>
      </c>
      <c r="E15" s="20" t="inlineStr">
        <is>
          <t>Nick, Dan</t>
        </is>
      </c>
      <c r="F15" s="19" t="inlineStr">
        <is>
          <t>Dan</t>
        </is>
      </c>
      <c r="G15" s="21" t="n">
        <v>46188</v>
      </c>
      <c r="H15" s="21" t="n">
        <v>46201</v>
      </c>
      <c r="I15" s="22">
        <f>IF(OR(G15="",H15=""),"",H15-G15+1)</f>
        <v>14</v>
      </c>
      <c r="J15" s="23" t="inlineStr">
        <is>
          <t>Done</t>
        </is>
      </c>
      <c r="K15" s="20" t="inlineStr"/>
      <c r="L15" s="20" t="inlineStr">
        <is>
          <t>app/lib/escrow/rules.ts contains 428 lines and grades DOC-01–DOC-06 using GRADE, CROSS and FLAG rule kinds; relevant application tests pass — Commit 73f1bf7; N4, D1</t>
        </is>
      </c>
      <c r="M15" s="27" t="n"/>
      <c r="N15" s="25" t="n"/>
      <c r="O15" s="25" t="n"/>
      <c r="P15" s="25" t="n"/>
      <c r="Q15" s="25" t="n"/>
      <c r="R15" s="26" t="n"/>
      <c r="S15" s="26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5" t="n"/>
      <c r="AI15" s="25" t="n"/>
      <c r="AJ15" s="25" t="n"/>
      <c r="AK15" s="25" t="n"/>
      <c r="AL15" s="25" t="n"/>
      <c r="AM15" s="26" t="n"/>
      <c r="AN15" s="26" t="n"/>
      <c r="AO15" s="25" t="n"/>
      <c r="AP15" s="25" t="n"/>
      <c r="AQ15" s="25" t="n"/>
      <c r="AR15" s="25" t="n"/>
      <c r="AS15" s="25" t="n"/>
      <c r="AT15" s="26" t="n"/>
      <c r="AU15" s="26" t="n"/>
      <c r="AV15" s="25" t="n"/>
      <c r="AW15" s="25" t="n"/>
      <c r="AX15" s="25" t="n"/>
      <c r="AY15" s="25" t="n"/>
      <c r="AZ15" s="25" t="n"/>
      <c r="BA15" s="26" t="n"/>
      <c r="BB15" s="26" t="n"/>
      <c r="BC15" s="25" t="n"/>
      <c r="BD15" s="25" t="n"/>
      <c r="BE15" s="25" t="n"/>
      <c r="BF15" s="25" t="n"/>
      <c r="BG15" s="25" t="n"/>
      <c r="BH15" s="26" t="n"/>
      <c r="BI15" s="26" t="n"/>
      <c r="BJ15" s="25" t="n"/>
      <c r="BK15" s="25" t="n"/>
      <c r="BL15" s="25" t="n"/>
      <c r="BM15" s="25" t="n"/>
      <c r="BN15" s="25" t="n"/>
      <c r="BO15" s="26" t="n"/>
      <c r="BP15" s="26" t="n"/>
      <c r="BQ15" s="25" t="n"/>
      <c r="BR15" s="27" t="n"/>
      <c r="BS15" s="25" t="n"/>
      <c r="BT15" s="25" t="n"/>
      <c r="BU15" s="25" t="n"/>
      <c r="BV15" s="26" t="n"/>
      <c r="BW15" s="26" t="n"/>
      <c r="BX15" s="25" t="n"/>
      <c r="BY15" s="27" t="n"/>
      <c r="BZ15" s="27" t="n"/>
      <c r="CA15" s="25" t="n"/>
      <c r="CB15" s="27" t="n"/>
    </row>
    <row r="16" ht="42" customHeight="1">
      <c r="A16" s="28" t="inlineStr"/>
      <c r="B16" s="28" t="inlineStr">
        <is>
          <t>TEC-01</t>
        </is>
      </c>
      <c r="C16" s="28" t="inlineStr">
        <is>
          <t>TEC</t>
        </is>
      </c>
      <c r="D16" s="29" t="inlineStr">
        <is>
          <t>Escrow smart contract implemented</t>
        </is>
      </c>
      <c r="E16" s="29" t="inlineStr">
        <is>
          <t>Nick, Dan</t>
        </is>
      </c>
      <c r="F16" s="28" t="inlineStr">
        <is>
          <t>Nick</t>
        </is>
      </c>
      <c r="G16" s="30" t="n">
        <v>46188</v>
      </c>
      <c r="H16" s="30" t="n">
        <v>46208</v>
      </c>
      <c r="I16" s="31">
        <f>IF(OR(G16="",H16=""),"",H16-G16+1)</f>
        <v>21</v>
      </c>
      <c r="J16" s="32" t="inlineStr">
        <is>
          <t>Done</t>
        </is>
      </c>
      <c r="K16" s="29" t="inlineStr"/>
      <c r="L16" s="29" t="inlineStr">
        <is>
          <t>contracts/contracts/Escrow.sol, tests and Ignition deployment module exist; forced compilation from source succeeds — 36222dd; N1</t>
        </is>
      </c>
      <c r="M16" s="27" t="n"/>
      <c r="N16" s="25" t="n"/>
      <c r="O16" s="25" t="n"/>
      <c r="P16" s="25" t="n"/>
      <c r="Q16" s="25" t="n"/>
      <c r="R16" s="26" t="n"/>
      <c r="S16" s="26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5" t="n"/>
      <c r="AP16" s="25" t="n"/>
      <c r="AQ16" s="25" t="n"/>
      <c r="AR16" s="25" t="n"/>
      <c r="AS16" s="25" t="n"/>
      <c r="AT16" s="26" t="n"/>
      <c r="AU16" s="26" t="n"/>
      <c r="AV16" s="25" t="n"/>
      <c r="AW16" s="25" t="n"/>
      <c r="AX16" s="25" t="n"/>
      <c r="AY16" s="25" t="n"/>
      <c r="AZ16" s="25" t="n"/>
      <c r="BA16" s="26" t="n"/>
      <c r="BB16" s="26" t="n"/>
      <c r="BC16" s="25" t="n"/>
      <c r="BD16" s="25" t="n"/>
      <c r="BE16" s="25" t="n"/>
      <c r="BF16" s="25" t="n"/>
      <c r="BG16" s="25" t="n"/>
      <c r="BH16" s="26" t="n"/>
      <c r="BI16" s="26" t="n"/>
      <c r="BJ16" s="25" t="n"/>
      <c r="BK16" s="25" t="n"/>
      <c r="BL16" s="25" t="n"/>
      <c r="BM16" s="25" t="n"/>
      <c r="BN16" s="25" t="n"/>
      <c r="BO16" s="26" t="n"/>
      <c r="BP16" s="26" t="n"/>
      <c r="BQ16" s="25" t="n"/>
      <c r="BR16" s="27" t="n"/>
      <c r="BS16" s="25" t="n"/>
      <c r="BT16" s="25" t="n"/>
      <c r="BU16" s="25" t="n"/>
      <c r="BV16" s="26" t="n"/>
      <c r="BW16" s="26" t="n"/>
      <c r="BX16" s="25" t="n"/>
      <c r="BY16" s="27" t="n"/>
      <c r="BZ16" s="27" t="n"/>
      <c r="CA16" s="25" t="n"/>
      <c r="CB16" s="27" t="n"/>
    </row>
    <row r="17" ht="42" customHeight="1">
      <c r="A17" s="19" t="inlineStr"/>
      <c r="B17" s="19" t="inlineStr">
        <is>
          <t>TEC-02</t>
        </is>
      </c>
      <c r="C17" s="19" t="inlineStr">
        <is>
          <t>TEC</t>
        </is>
      </c>
      <c r="D17" s="20" t="inlineStr">
        <is>
          <t>Contract tests and unfunded cancellation path authored</t>
        </is>
      </c>
      <c r="E17" s="20" t="inlineStr">
        <is>
          <t>Dan</t>
        </is>
      </c>
      <c r="F17" s="19" t="inlineStr">
        <is>
          <t>Nick</t>
        </is>
      </c>
      <c r="G17" s="21" t="n">
        <v>46202</v>
      </c>
      <c r="H17" s="21" t="n">
        <v>46213</v>
      </c>
      <c r="I17" s="22">
        <f>IF(OR(G17="",H17=""),"",H17-G17+1)</f>
        <v>12</v>
      </c>
      <c r="J17" s="23" t="inlineStr">
        <is>
          <t>Done</t>
        </is>
      </c>
      <c r="K17" s="20" t="inlineStr"/>
      <c r="L17" s="20" t="inlineStr">
        <is>
          <t>Six test files cover happy path, access control, state guards, refund, release/pause and cancellation; 21/21 pass in the standard compiled run — 36222dd, a186f98; verified 12 Aug; N1</t>
        </is>
      </c>
      <c r="M17" s="27" t="n"/>
      <c r="N17" s="25" t="n"/>
      <c r="O17" s="25" t="n"/>
      <c r="P17" s="25" t="n"/>
      <c r="Q17" s="25" t="n"/>
      <c r="R17" s="26" t="n"/>
      <c r="S17" s="26" t="n"/>
      <c r="T17" s="25" t="n"/>
      <c r="U17" s="25" t="n"/>
      <c r="V17" s="25" t="n"/>
      <c r="W17" s="25" t="n"/>
      <c r="X17" s="25" t="n"/>
      <c r="Y17" s="26" t="n"/>
      <c r="Z17" s="26" t="n"/>
      <c r="AA17" s="25" t="n"/>
      <c r="AB17" s="25" t="n"/>
      <c r="AC17" s="25" t="n"/>
      <c r="AD17" s="25" t="n"/>
      <c r="AE17" s="25" t="n"/>
      <c r="AF17" s="26" t="n"/>
      <c r="AG17" s="26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  <c r="AR17" s="24" t="n"/>
      <c r="AS17" s="24" t="n"/>
      <c r="AT17" s="26" t="n"/>
      <c r="AU17" s="26" t="n"/>
      <c r="AV17" s="25" t="n"/>
      <c r="AW17" s="25" t="n"/>
      <c r="AX17" s="25" t="n"/>
      <c r="AY17" s="25" t="n"/>
      <c r="AZ17" s="25" t="n"/>
      <c r="BA17" s="26" t="n"/>
      <c r="BB17" s="26" t="n"/>
      <c r="BC17" s="25" t="n"/>
      <c r="BD17" s="25" t="n"/>
      <c r="BE17" s="25" t="n"/>
      <c r="BF17" s="25" t="n"/>
      <c r="BG17" s="25" t="n"/>
      <c r="BH17" s="26" t="n"/>
      <c r="BI17" s="26" t="n"/>
      <c r="BJ17" s="25" t="n"/>
      <c r="BK17" s="25" t="n"/>
      <c r="BL17" s="25" t="n"/>
      <c r="BM17" s="25" t="n"/>
      <c r="BN17" s="25" t="n"/>
      <c r="BO17" s="26" t="n"/>
      <c r="BP17" s="26" t="n"/>
      <c r="BQ17" s="25" t="n"/>
      <c r="BR17" s="27" t="n"/>
      <c r="BS17" s="25" t="n"/>
      <c r="BT17" s="25" t="n"/>
      <c r="BU17" s="25" t="n"/>
      <c r="BV17" s="26" t="n"/>
      <c r="BW17" s="26" t="n"/>
      <c r="BX17" s="25" t="n"/>
      <c r="BY17" s="27" t="n"/>
      <c r="BZ17" s="27" t="n"/>
      <c r="CA17" s="25" t="n"/>
      <c r="CB17" s="27" t="n"/>
    </row>
    <row r="18" ht="42" customHeight="1">
      <c r="A18" s="28" t="inlineStr"/>
      <c r="B18" s="28" t="inlineStr">
        <is>
          <t>TEC-03</t>
        </is>
      </c>
      <c r="C18" s="28" t="inlineStr">
        <is>
          <t>TEC</t>
        </is>
      </c>
      <c r="D18" s="29" t="inlineStr">
        <is>
          <t>Off-chain store, API and rule-engine core implemented</t>
        </is>
      </c>
      <c r="E18" s="29" t="inlineStr">
        <is>
          <t>Nick, Dan</t>
        </is>
      </c>
      <c r="F18" s="28" t="inlineStr">
        <is>
          <t>Nick</t>
        </is>
      </c>
      <c r="G18" s="30" t="n">
        <v>46195</v>
      </c>
      <c r="H18" s="30" t="n">
        <v>46222</v>
      </c>
      <c r="I18" s="31">
        <f>IF(OR(G18="",H18=""),"",H18-G18+1)</f>
        <v>28</v>
      </c>
      <c r="J18" s="32" t="inlineStr">
        <is>
          <t>Done</t>
        </is>
      </c>
      <c r="K18" s="29" t="inlineStr"/>
      <c r="L18" s="29" t="inlineStr">
        <is>
          <t>28 API route handlers and the lifecycle/rules core exist — 73f1bf7, 6515a51; N2, N3, D5</t>
        </is>
      </c>
      <c r="M18" s="27" t="n"/>
      <c r="N18" s="25" t="n"/>
      <c r="O18" s="25" t="n"/>
      <c r="P18" s="25" t="n"/>
      <c r="Q18" s="25" t="n"/>
      <c r="R18" s="26" t="n"/>
      <c r="S18" s="26" t="n"/>
      <c r="T18" s="25" t="n"/>
      <c r="U18" s="25" t="n"/>
      <c r="V18" s="25" t="n"/>
      <c r="W18" s="25" t="n"/>
      <c r="X18" s="25" t="n"/>
      <c r="Y18" s="26" t="n"/>
      <c r="Z18" s="26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 t="n"/>
      <c r="AW18" s="24" t="n"/>
      <c r="AX18" s="24" t="n"/>
      <c r="AY18" s="24" t="n"/>
      <c r="AZ18" s="24" t="n"/>
      <c r="BA18" s="24" t="n"/>
      <c r="BB18" s="24" t="n"/>
      <c r="BC18" s="25" t="n"/>
      <c r="BD18" s="25" t="n"/>
      <c r="BE18" s="25" t="n"/>
      <c r="BF18" s="25" t="n"/>
      <c r="BG18" s="25" t="n"/>
      <c r="BH18" s="26" t="n"/>
      <c r="BI18" s="26" t="n"/>
      <c r="BJ18" s="25" t="n"/>
      <c r="BK18" s="25" t="n"/>
      <c r="BL18" s="25" t="n"/>
      <c r="BM18" s="25" t="n"/>
      <c r="BN18" s="25" t="n"/>
      <c r="BO18" s="26" t="n"/>
      <c r="BP18" s="26" t="n"/>
      <c r="BQ18" s="25" t="n"/>
      <c r="BR18" s="27" t="n"/>
      <c r="BS18" s="25" t="n"/>
      <c r="BT18" s="25" t="n"/>
      <c r="BU18" s="25" t="n"/>
      <c r="BV18" s="26" t="n"/>
      <c r="BW18" s="26" t="n"/>
      <c r="BX18" s="25" t="n"/>
      <c r="BY18" s="27" t="n"/>
      <c r="BZ18" s="27" t="n"/>
      <c r="CA18" s="25" t="n"/>
      <c r="CB18" s="27" t="n"/>
    </row>
    <row r="19" ht="42" customHeight="1">
      <c r="A19" s="19" t="inlineStr"/>
      <c r="B19" s="19" t="inlineStr">
        <is>
          <t>TEC-04</t>
        </is>
      </c>
      <c r="C19" s="19" t="inlineStr">
        <is>
          <t>TEC</t>
        </is>
      </c>
      <c r="D19" s="20" t="inlineStr">
        <is>
          <t>Buyer/seller lifecycle wired to real deal state</t>
        </is>
      </c>
      <c r="E19" s="20" t="inlineStr">
        <is>
          <t>Nick, Dan</t>
        </is>
      </c>
      <c r="F19" s="19" t="inlineStr">
        <is>
          <t>Nick</t>
        </is>
      </c>
      <c r="G19" s="21" t="n">
        <v>46209</v>
      </c>
      <c r="H19" s="21" t="n">
        <v>46222</v>
      </c>
      <c r="I19" s="22">
        <f>IF(OR(G19="",H19=""),"",H19-G19+1)</f>
        <v>14</v>
      </c>
      <c r="J19" s="23" t="inlineStr">
        <is>
          <t>Done</t>
        </is>
      </c>
      <c r="K19" s="20" t="inlineStr"/>
      <c r="L19" s="20" t="inlineStr">
        <is>
          <t>Fund, submit and verdict journeys merged — 06efff6, fcdfaad; N2, N3</t>
        </is>
      </c>
      <c r="M19" s="27" t="n"/>
      <c r="N19" s="25" t="n"/>
      <c r="O19" s="25" t="n"/>
      <c r="P19" s="25" t="n"/>
      <c r="Q19" s="25" t="n"/>
      <c r="R19" s="26" t="n"/>
      <c r="S19" s="26" t="n"/>
      <c r="T19" s="25" t="n"/>
      <c r="U19" s="25" t="n"/>
      <c r="V19" s="25" t="n"/>
      <c r="W19" s="25" t="n"/>
      <c r="X19" s="25" t="n"/>
      <c r="Y19" s="26" t="n"/>
      <c r="Z19" s="26" t="n"/>
      <c r="AA19" s="25" t="n"/>
      <c r="AB19" s="25" t="n"/>
      <c r="AC19" s="25" t="n"/>
      <c r="AD19" s="25" t="n"/>
      <c r="AE19" s="25" t="n"/>
      <c r="AF19" s="26" t="n"/>
      <c r="AG19" s="26" t="n"/>
      <c r="AH19" s="25" t="n"/>
      <c r="AI19" s="25" t="n"/>
      <c r="AJ19" s="25" t="n"/>
      <c r="AK19" s="25" t="n"/>
      <c r="AL19" s="25" t="n"/>
      <c r="AM19" s="26" t="n"/>
      <c r="AN19" s="26" t="n"/>
      <c r="AO19" s="24" t="n"/>
      <c r="AP19" s="24" t="n"/>
      <c r="AQ19" s="24" t="n"/>
      <c r="AR19" s="24" t="n"/>
      <c r="AS19" s="24" t="n"/>
      <c r="AT19" s="24" t="n"/>
      <c r="AU19" s="24" t="n"/>
      <c r="AV19" s="24" t="n"/>
      <c r="AW19" s="24" t="n"/>
      <c r="AX19" s="24" t="n"/>
      <c r="AY19" s="24" t="n"/>
      <c r="AZ19" s="24" t="n"/>
      <c r="BA19" s="24" t="n"/>
      <c r="BB19" s="24" t="n"/>
      <c r="BC19" s="25" t="n"/>
      <c r="BD19" s="25" t="n"/>
      <c r="BE19" s="25" t="n"/>
      <c r="BF19" s="25" t="n"/>
      <c r="BG19" s="25" t="n"/>
      <c r="BH19" s="26" t="n"/>
      <c r="BI19" s="26" t="n"/>
      <c r="BJ19" s="25" t="n"/>
      <c r="BK19" s="25" t="n"/>
      <c r="BL19" s="25" t="n"/>
      <c r="BM19" s="25" t="n"/>
      <c r="BN19" s="25" t="n"/>
      <c r="BO19" s="26" t="n"/>
      <c r="BP19" s="26" t="n"/>
      <c r="BQ19" s="25" t="n"/>
      <c r="BR19" s="27" t="n"/>
      <c r="BS19" s="25" t="n"/>
      <c r="BT19" s="25" t="n"/>
      <c r="BU19" s="25" t="n"/>
      <c r="BV19" s="26" t="n"/>
      <c r="BW19" s="26" t="n"/>
      <c r="BX19" s="25" t="n"/>
      <c r="BY19" s="27" t="n"/>
      <c r="BZ19" s="27" t="n"/>
      <c r="CA19" s="25" t="n"/>
      <c r="CB19" s="27" t="n"/>
    </row>
    <row r="20" ht="42" customHeight="1">
      <c r="A20" s="28" t="inlineStr"/>
      <c r="B20" s="28" t="inlineStr">
        <is>
          <t>TEC-05</t>
        </is>
      </c>
      <c r="C20" s="28" t="inlineStr">
        <is>
          <t>TEC</t>
        </is>
      </c>
      <c r="D20" s="29" t="inlineStr">
        <is>
          <t>Objection, refund and audit paths implemented</t>
        </is>
      </c>
      <c r="E20" s="29" t="inlineStr">
        <is>
          <t>Dan</t>
        </is>
      </c>
      <c r="F20" s="28" t="inlineStr">
        <is>
          <t>Nick</t>
        </is>
      </c>
      <c r="G20" s="30" t="n">
        <v>46223</v>
      </c>
      <c r="H20" s="30" t="n">
        <v>46236</v>
      </c>
      <c r="I20" s="31">
        <f>IF(OR(G20="",H20=""),"",H20-G20+1)</f>
        <v>14</v>
      </c>
      <c r="J20" s="32" t="inlineStr">
        <is>
          <t>Done</t>
        </is>
      </c>
      <c r="K20" s="29" t="inlineStr"/>
      <c r="L20" s="29" t="inlineStr">
        <is>
          <t>Objection withdrawal, refund and audit commits exist — 5688cc3, 77cf5f6; N2, D5</t>
        </is>
      </c>
      <c r="M20" s="27" t="n"/>
      <c r="N20" s="25" t="n"/>
      <c r="O20" s="25" t="n"/>
      <c r="P20" s="25" t="n"/>
      <c r="Q20" s="25" t="n"/>
      <c r="R20" s="26" t="n"/>
      <c r="S20" s="26" t="n"/>
      <c r="T20" s="25" t="n"/>
      <c r="U20" s="25" t="n"/>
      <c r="V20" s="25" t="n"/>
      <c r="W20" s="25" t="n"/>
      <c r="X20" s="25" t="n"/>
      <c r="Y20" s="26" t="n"/>
      <c r="Z20" s="26" t="n"/>
      <c r="AA20" s="25" t="n"/>
      <c r="AB20" s="25" t="n"/>
      <c r="AC20" s="25" t="n"/>
      <c r="AD20" s="25" t="n"/>
      <c r="AE20" s="25" t="n"/>
      <c r="AF20" s="26" t="n"/>
      <c r="AG20" s="26" t="n"/>
      <c r="AH20" s="25" t="n"/>
      <c r="AI20" s="25" t="n"/>
      <c r="AJ20" s="25" t="n"/>
      <c r="AK20" s="25" t="n"/>
      <c r="AL20" s="25" t="n"/>
      <c r="AM20" s="26" t="n"/>
      <c r="AN20" s="26" t="n"/>
      <c r="AO20" s="25" t="n"/>
      <c r="AP20" s="25" t="n"/>
      <c r="AQ20" s="25" t="n"/>
      <c r="AR20" s="25" t="n"/>
      <c r="AS20" s="25" t="n"/>
      <c r="AT20" s="26" t="n"/>
      <c r="AU20" s="26" t="n"/>
      <c r="AV20" s="25" t="n"/>
      <c r="AW20" s="25" t="n"/>
      <c r="AX20" s="25" t="n"/>
      <c r="AY20" s="25" t="n"/>
      <c r="AZ20" s="25" t="n"/>
      <c r="BA20" s="26" t="n"/>
      <c r="BB20" s="26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24" t="n"/>
      <c r="BL20" s="24" t="n"/>
      <c r="BM20" s="24" t="n"/>
      <c r="BN20" s="24" t="n"/>
      <c r="BO20" s="24" t="n"/>
      <c r="BP20" s="24" t="n"/>
      <c r="BQ20" s="25" t="n"/>
      <c r="BR20" s="27" t="n"/>
      <c r="BS20" s="25" t="n"/>
      <c r="BT20" s="25" t="n"/>
      <c r="BU20" s="25" t="n"/>
      <c r="BV20" s="26" t="n"/>
      <c r="BW20" s="26" t="n"/>
      <c r="BX20" s="25" t="n"/>
      <c r="BY20" s="27" t="n"/>
      <c r="BZ20" s="27" t="n"/>
      <c r="CA20" s="25" t="n"/>
      <c r="CB20" s="27" t="n"/>
    </row>
    <row r="21" ht="42" customHeight="1">
      <c r="A21" s="19" t="inlineStr"/>
      <c r="B21" s="19" t="inlineStr">
        <is>
          <t>TEC-06</t>
        </is>
      </c>
      <c r="C21" s="19" t="inlineStr">
        <is>
          <t>TEC</t>
        </is>
      </c>
      <c r="D21" s="20" t="inlineStr">
        <is>
          <t>SQL persistence, account auth and SIWE implemented</t>
        </is>
      </c>
      <c r="E21" s="20" t="inlineStr">
        <is>
          <t>Dan, Nick</t>
        </is>
      </c>
      <c r="F21" s="19" t="inlineStr">
        <is>
          <t>Nick</t>
        </is>
      </c>
      <c r="G21" s="21" t="n">
        <v>46216</v>
      </c>
      <c r="H21" s="21" t="n">
        <v>46236</v>
      </c>
      <c r="I21" s="22">
        <f>IF(OR(G21="",H21=""),"",H21-G21+1)</f>
        <v>21</v>
      </c>
      <c r="J21" s="23" t="inlineStr">
        <is>
          <t>Done</t>
        </is>
      </c>
      <c r="K21" s="20" t="inlineStr"/>
      <c r="L21" s="20" t="inlineStr">
        <is>
          <t>Prisma persistence, server sessions and SIWE wallet linking are present; application suite passes — f8cc7a9, 3123538, a2052a2; N2, N3</t>
        </is>
      </c>
      <c r="M21" s="27" t="n"/>
      <c r="N21" s="25" t="n"/>
      <c r="O21" s="25" t="n"/>
      <c r="P21" s="25" t="n"/>
      <c r="Q21" s="25" t="n"/>
      <c r="R21" s="26" t="n"/>
      <c r="S21" s="26" t="n"/>
      <c r="T21" s="25" t="n"/>
      <c r="U21" s="25" t="n"/>
      <c r="V21" s="25" t="n"/>
      <c r="W21" s="25" t="n"/>
      <c r="X21" s="25" t="n"/>
      <c r="Y21" s="26" t="n"/>
      <c r="Z21" s="26" t="n"/>
      <c r="AA21" s="25" t="n"/>
      <c r="AB21" s="25" t="n"/>
      <c r="AC21" s="25" t="n"/>
      <c r="AD21" s="25" t="n"/>
      <c r="AE21" s="25" t="n"/>
      <c r="AF21" s="26" t="n"/>
      <c r="AG21" s="26" t="n"/>
      <c r="AH21" s="25" t="n"/>
      <c r="AI21" s="25" t="n"/>
      <c r="AJ21" s="25" t="n"/>
      <c r="AK21" s="25" t="n"/>
      <c r="AL21" s="25" t="n"/>
      <c r="AM21" s="26" t="n"/>
      <c r="AN21" s="26" t="n"/>
      <c r="AO21" s="25" t="n"/>
      <c r="AP21" s="25" t="n"/>
      <c r="AQ21" s="25" t="n"/>
      <c r="AR21" s="25" t="n"/>
      <c r="AS21" s="25" t="n"/>
      <c r="AT21" s="26" t="n"/>
      <c r="AU21" s="26" t="n"/>
      <c r="AV21" s="24" t="n"/>
      <c r="AW21" s="24" t="n"/>
      <c r="AX21" s="24" t="n"/>
      <c r="AY21" s="24" t="n"/>
      <c r="AZ21" s="24" t="n"/>
      <c r="BA21" s="24" t="n"/>
      <c r="BB21" s="24" t="n"/>
      <c r="BC21" s="24" t="n"/>
      <c r="BD21" s="24" t="n"/>
      <c r="BE21" s="24" t="n"/>
      <c r="BF21" s="24" t="n"/>
      <c r="BG21" s="24" t="n"/>
      <c r="BH21" s="24" t="n"/>
      <c r="BI21" s="24" t="n"/>
      <c r="BJ21" s="24" t="n"/>
      <c r="BK21" s="24" t="n"/>
      <c r="BL21" s="24" t="n"/>
      <c r="BM21" s="24" t="n"/>
      <c r="BN21" s="24" t="n"/>
      <c r="BO21" s="24" t="n"/>
      <c r="BP21" s="24" t="n"/>
      <c r="BQ21" s="25" t="n"/>
      <c r="BR21" s="27" t="n"/>
      <c r="BS21" s="25" t="n"/>
      <c r="BT21" s="25" t="n"/>
      <c r="BU21" s="25" t="n"/>
      <c r="BV21" s="26" t="n"/>
      <c r="BW21" s="26" t="n"/>
      <c r="BX21" s="25" t="n"/>
      <c r="BY21" s="27" t="n"/>
      <c r="BZ21" s="27" t="n"/>
      <c r="CA21" s="25" t="n"/>
      <c r="CB21" s="27" t="n"/>
    </row>
    <row r="22" ht="42" customHeight="1">
      <c r="A22" s="28" t="inlineStr"/>
      <c r="B22" s="28" t="inlineStr">
        <is>
          <t>TEC-07</t>
        </is>
      </c>
      <c r="C22" s="28" t="inlineStr">
        <is>
          <t>TEC</t>
        </is>
      </c>
      <c r="D22" s="29" t="inlineStr">
        <is>
          <t>Base Sepolia deployment evidence created</t>
        </is>
      </c>
      <c r="E22" s="29" t="inlineStr">
        <is>
          <t>Dan</t>
        </is>
      </c>
      <c r="F22" s="28" t="inlineStr">
        <is>
          <t>Nick</t>
        </is>
      </c>
      <c r="G22" s="30" t="n">
        <v>46203</v>
      </c>
      <c r="H22" s="30" t="n">
        <v>46208</v>
      </c>
      <c r="I22" s="31">
        <f>IF(OR(G22="",H22=""),"",H22-G22+1)</f>
        <v>6</v>
      </c>
      <c r="J22" s="32" t="inlineStr">
        <is>
          <t>Done</t>
        </is>
      </c>
      <c r="K22" s="29" t="inlineStr"/>
      <c r="L22" s="29" t="inlineStr">
        <is>
          <t>Deployment record identifies Base Sepolia chain ID 84532 and real test USDC configuration — c4887db, 3e9b4ed; N1</t>
        </is>
      </c>
      <c r="M22" s="27" t="n"/>
      <c r="N22" s="25" t="n"/>
      <c r="O22" s="25" t="n"/>
      <c r="P22" s="25" t="n"/>
      <c r="Q22" s="25" t="n"/>
      <c r="R22" s="26" t="n"/>
      <c r="S22" s="26" t="n"/>
      <c r="T22" s="25" t="n"/>
      <c r="U22" s="25" t="n"/>
      <c r="V22" s="25" t="n"/>
      <c r="W22" s="25" t="n"/>
      <c r="X22" s="25" t="n"/>
      <c r="Y22" s="26" t="n"/>
      <c r="Z22" s="26" t="n"/>
      <c r="AA22" s="25" t="n"/>
      <c r="AB22" s="25" t="n"/>
      <c r="AC22" s="25" t="n"/>
      <c r="AD22" s="25" t="n"/>
      <c r="AE22" s="25" t="n"/>
      <c r="AF22" s="26" t="n"/>
      <c r="AG22" s="26" t="n"/>
      <c r="AH22" s="25" t="n"/>
      <c r="AI22" s="24" t="n"/>
      <c r="AJ22" s="24" t="n"/>
      <c r="AK22" s="24" t="n"/>
      <c r="AL22" s="24" t="n"/>
      <c r="AM22" s="24" t="n"/>
      <c r="AN22" s="24" t="n"/>
      <c r="AO22" s="25" t="n"/>
      <c r="AP22" s="25" t="n"/>
      <c r="AQ22" s="25" t="n"/>
      <c r="AR22" s="25" t="n"/>
      <c r="AS22" s="25" t="n"/>
      <c r="AT22" s="26" t="n"/>
      <c r="AU22" s="26" t="n"/>
      <c r="AV22" s="25" t="n"/>
      <c r="AW22" s="25" t="n"/>
      <c r="AX22" s="25" t="n"/>
      <c r="AY22" s="25" t="n"/>
      <c r="AZ22" s="25" t="n"/>
      <c r="BA22" s="26" t="n"/>
      <c r="BB22" s="26" t="n"/>
      <c r="BC22" s="25" t="n"/>
      <c r="BD22" s="25" t="n"/>
      <c r="BE22" s="25" t="n"/>
      <c r="BF22" s="25" t="n"/>
      <c r="BG22" s="25" t="n"/>
      <c r="BH22" s="26" t="n"/>
      <c r="BI22" s="26" t="n"/>
      <c r="BJ22" s="25" t="n"/>
      <c r="BK22" s="25" t="n"/>
      <c r="BL22" s="25" t="n"/>
      <c r="BM22" s="25" t="n"/>
      <c r="BN22" s="25" t="n"/>
      <c r="BO22" s="26" t="n"/>
      <c r="BP22" s="26" t="n"/>
      <c r="BQ22" s="25" t="n"/>
      <c r="BR22" s="27" t="n"/>
      <c r="BS22" s="25" t="n"/>
      <c r="BT22" s="25" t="n"/>
      <c r="BU22" s="25" t="n"/>
      <c r="BV22" s="26" t="n"/>
      <c r="BW22" s="26" t="n"/>
      <c r="BX22" s="25" t="n"/>
      <c r="BY22" s="27" t="n"/>
      <c r="BZ22" s="27" t="n"/>
      <c r="CA22" s="25" t="n"/>
      <c r="CB22" s="27" t="n"/>
    </row>
    <row r="23" ht="42" customHeight="1">
      <c r="A23" s="19" t="inlineStr"/>
      <c r="B23" s="19" t="inlineStr">
        <is>
          <t>TEC-08</t>
        </is>
      </c>
      <c r="C23" s="19" t="inlineStr">
        <is>
          <t>TEC</t>
        </is>
      </c>
      <c r="D23" s="20" t="inlineStr">
        <is>
          <t>KYB data collection and onboarding gate implemented</t>
        </is>
      </c>
      <c r="E23" s="20" t="inlineStr">
        <is>
          <t>Dan</t>
        </is>
      </c>
      <c r="F23" s="19" t="inlineStr">
        <is>
          <t>Nick</t>
        </is>
      </c>
      <c r="G23" s="21" t="n">
        <v>46223</v>
      </c>
      <c r="H23" s="21" t="n">
        <v>46236</v>
      </c>
      <c r="I23" s="22">
        <f>IF(OR(G23="",H23=""),"",H23-G23+1)</f>
        <v>14</v>
      </c>
      <c r="J23" s="23" t="inlineStr">
        <is>
          <t>Done</t>
        </is>
      </c>
      <c r="K23" s="20" t="inlineStr"/>
      <c r="L23" s="20" t="inlineStr">
        <is>
          <t>Unonboarded companies are blocked from deal creation — 10d3730, dc1de9f; B1/N2</t>
        </is>
      </c>
      <c r="M23" s="27" t="n"/>
      <c r="N23" s="25" t="n"/>
      <c r="O23" s="25" t="n"/>
      <c r="P23" s="25" t="n"/>
      <c r="Q23" s="25" t="n"/>
      <c r="R23" s="26" t="n"/>
      <c r="S23" s="26" t="n"/>
      <c r="T23" s="25" t="n"/>
      <c r="U23" s="25" t="n"/>
      <c r="V23" s="25" t="n"/>
      <c r="W23" s="25" t="n"/>
      <c r="X23" s="25" t="n"/>
      <c r="Y23" s="26" t="n"/>
      <c r="Z23" s="26" t="n"/>
      <c r="AA23" s="25" t="n"/>
      <c r="AB23" s="25" t="n"/>
      <c r="AC23" s="25" t="n"/>
      <c r="AD23" s="25" t="n"/>
      <c r="AE23" s="25" t="n"/>
      <c r="AF23" s="26" t="n"/>
      <c r="AG23" s="26" t="n"/>
      <c r="AH23" s="25" t="n"/>
      <c r="AI23" s="25" t="n"/>
      <c r="AJ23" s="25" t="n"/>
      <c r="AK23" s="25" t="n"/>
      <c r="AL23" s="25" t="n"/>
      <c r="AM23" s="26" t="n"/>
      <c r="AN23" s="26" t="n"/>
      <c r="AO23" s="25" t="n"/>
      <c r="AP23" s="25" t="n"/>
      <c r="AQ23" s="25" t="n"/>
      <c r="AR23" s="25" t="n"/>
      <c r="AS23" s="25" t="n"/>
      <c r="AT23" s="26" t="n"/>
      <c r="AU23" s="26" t="n"/>
      <c r="AV23" s="25" t="n"/>
      <c r="AW23" s="25" t="n"/>
      <c r="AX23" s="25" t="n"/>
      <c r="AY23" s="25" t="n"/>
      <c r="AZ23" s="25" t="n"/>
      <c r="BA23" s="26" t="n"/>
      <c r="BB23" s="26" t="n"/>
      <c r="BC23" s="24" t="n"/>
      <c r="BD23" s="24" t="n"/>
      <c r="BE23" s="24" t="n"/>
      <c r="BF23" s="24" t="n"/>
      <c r="BG23" s="24" t="n"/>
      <c r="BH23" s="24" t="n"/>
      <c r="BI23" s="24" t="n"/>
      <c r="BJ23" s="24" t="n"/>
      <c r="BK23" s="24" t="n"/>
      <c r="BL23" s="24" t="n"/>
      <c r="BM23" s="24" t="n"/>
      <c r="BN23" s="24" t="n"/>
      <c r="BO23" s="24" t="n"/>
      <c r="BP23" s="24" t="n"/>
      <c r="BQ23" s="25" t="n"/>
      <c r="BR23" s="27" t="n"/>
      <c r="BS23" s="25" t="n"/>
      <c r="BT23" s="25" t="n"/>
      <c r="BU23" s="25" t="n"/>
      <c r="BV23" s="26" t="n"/>
      <c r="BW23" s="26" t="n"/>
      <c r="BX23" s="25" t="n"/>
      <c r="BY23" s="27" t="n"/>
      <c r="BZ23" s="27" t="n"/>
      <c r="CA23" s="25" t="n"/>
      <c r="CB23" s="27" t="n"/>
    </row>
    <row r="24" ht="42" customHeight="1">
      <c r="A24" s="28" t="inlineStr"/>
      <c r="B24" s="28" t="inlineStr">
        <is>
          <t>UX-01</t>
        </is>
      </c>
      <c r="C24" s="28" t="inlineStr">
        <is>
          <t>UX</t>
        </is>
      </c>
      <c r="D24" s="29" t="inlineStr">
        <is>
          <t>UX foundation and dashboard flows implemented</t>
        </is>
      </c>
      <c r="E24" s="29" t="inlineStr">
        <is>
          <t>Mo</t>
        </is>
      </c>
      <c r="F24" s="28" t="inlineStr">
        <is>
          <t>Mo</t>
        </is>
      </c>
      <c r="G24" s="30" t="n">
        <v>46195</v>
      </c>
      <c r="H24" s="30" t="n">
        <v>46208</v>
      </c>
      <c r="I24" s="31">
        <f>IF(OR(G24="",H24=""),"",H24-G24+1)</f>
        <v>14</v>
      </c>
      <c r="J24" s="32" t="inlineStr">
        <is>
          <t>Done</t>
        </is>
      </c>
      <c r="K24" s="29" t="inlineStr"/>
      <c r="L24" s="29" t="inlineStr">
        <is>
          <t>Landing page and dashboard flows committed — 6dbc53a; M1, M2</t>
        </is>
      </c>
      <c r="M24" s="27" t="n"/>
      <c r="N24" s="25" t="n"/>
      <c r="O24" s="25" t="n"/>
      <c r="P24" s="25" t="n"/>
      <c r="Q24" s="25" t="n"/>
      <c r="R24" s="26" t="n"/>
      <c r="S24" s="26" t="n"/>
      <c r="T24" s="25" t="n"/>
      <c r="U24" s="25" t="n"/>
      <c r="V24" s="25" t="n"/>
      <c r="W24" s="25" t="n"/>
      <c r="X24" s="25" t="n"/>
      <c r="Y24" s="26" t="n"/>
      <c r="Z24" s="26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5" t="n"/>
      <c r="AP24" s="25" t="n"/>
      <c r="AQ24" s="25" t="n"/>
      <c r="AR24" s="25" t="n"/>
      <c r="AS24" s="25" t="n"/>
      <c r="AT24" s="26" t="n"/>
      <c r="AU24" s="26" t="n"/>
      <c r="AV24" s="25" t="n"/>
      <c r="AW24" s="25" t="n"/>
      <c r="AX24" s="25" t="n"/>
      <c r="AY24" s="25" t="n"/>
      <c r="AZ24" s="25" t="n"/>
      <c r="BA24" s="26" t="n"/>
      <c r="BB24" s="26" t="n"/>
      <c r="BC24" s="25" t="n"/>
      <c r="BD24" s="25" t="n"/>
      <c r="BE24" s="25" t="n"/>
      <c r="BF24" s="25" t="n"/>
      <c r="BG24" s="25" t="n"/>
      <c r="BH24" s="26" t="n"/>
      <c r="BI24" s="26" t="n"/>
      <c r="BJ24" s="25" t="n"/>
      <c r="BK24" s="25" t="n"/>
      <c r="BL24" s="25" t="n"/>
      <c r="BM24" s="25" t="n"/>
      <c r="BN24" s="25" t="n"/>
      <c r="BO24" s="26" t="n"/>
      <c r="BP24" s="26" t="n"/>
      <c r="BQ24" s="25" t="n"/>
      <c r="BR24" s="27" t="n"/>
      <c r="BS24" s="25" t="n"/>
      <c r="BT24" s="25" t="n"/>
      <c r="BU24" s="25" t="n"/>
      <c r="BV24" s="26" t="n"/>
      <c r="BW24" s="26" t="n"/>
      <c r="BX24" s="25" t="n"/>
      <c r="BY24" s="27" t="n"/>
      <c r="BZ24" s="27" t="n"/>
      <c r="CA24" s="25" t="n"/>
      <c r="CB24" s="27" t="n"/>
    </row>
    <row r="25" ht="42" customHeight="1">
      <c r="A25" s="19" t="inlineStr"/>
      <c r="B25" s="19" t="inlineStr">
        <is>
          <t>UX-02</t>
        </is>
      </c>
      <c r="C25" s="19" t="inlineStr">
        <is>
          <t>UX</t>
        </is>
      </c>
      <c r="D25" s="20" t="inlineStr">
        <is>
          <t>Role-separated buyer and seller journeys implemented</t>
        </is>
      </c>
      <c r="E25" s="20" t="inlineStr">
        <is>
          <t>Mo, Nick</t>
        </is>
      </c>
      <c r="F25" s="19" t="inlineStr">
        <is>
          <t>Mo</t>
        </is>
      </c>
      <c r="G25" s="21" t="n">
        <v>46209</v>
      </c>
      <c r="H25" s="21" t="n">
        <v>46222</v>
      </c>
      <c r="I25" s="22">
        <f>IF(OR(G25="",H25=""),"",H25-G25+1)</f>
        <v>14</v>
      </c>
      <c r="J25" s="23" t="inlineStr">
        <is>
          <t>Done</t>
        </is>
      </c>
      <c r="K25" s="20" t="inlineStr"/>
      <c r="L25" s="20" t="inlineStr">
        <is>
          <t>Role isolation and wizard wiring merged — 95cfb0b, 06efff6; M1, M2</t>
        </is>
      </c>
      <c r="M25" s="27" t="n"/>
      <c r="N25" s="25" t="n"/>
      <c r="O25" s="25" t="n"/>
      <c r="P25" s="25" t="n"/>
      <c r="Q25" s="25" t="n"/>
      <c r="R25" s="26" t="n"/>
      <c r="S25" s="26" t="n"/>
      <c r="T25" s="25" t="n"/>
      <c r="U25" s="25" t="n"/>
      <c r="V25" s="25" t="n"/>
      <c r="W25" s="25" t="n"/>
      <c r="X25" s="25" t="n"/>
      <c r="Y25" s="26" t="n"/>
      <c r="Z25" s="26" t="n"/>
      <c r="AA25" s="25" t="n"/>
      <c r="AB25" s="25" t="n"/>
      <c r="AC25" s="25" t="n"/>
      <c r="AD25" s="25" t="n"/>
      <c r="AE25" s="25" t="n"/>
      <c r="AF25" s="26" t="n"/>
      <c r="AG25" s="26" t="n"/>
      <c r="AH25" s="25" t="n"/>
      <c r="AI25" s="25" t="n"/>
      <c r="AJ25" s="25" t="n"/>
      <c r="AK25" s="25" t="n"/>
      <c r="AL25" s="25" t="n"/>
      <c r="AM25" s="26" t="n"/>
      <c r="AN25" s="26" t="n"/>
      <c r="AO25" s="24" t="n"/>
      <c r="AP25" s="24" t="n"/>
      <c r="AQ25" s="24" t="n"/>
      <c r="AR25" s="24" t="n"/>
      <c r="AS25" s="24" t="n"/>
      <c r="AT25" s="24" t="n"/>
      <c r="AU25" s="24" t="n"/>
      <c r="AV25" s="24" t="n"/>
      <c r="AW25" s="24" t="n"/>
      <c r="AX25" s="24" t="n"/>
      <c r="AY25" s="24" t="n"/>
      <c r="AZ25" s="24" t="n"/>
      <c r="BA25" s="24" t="n"/>
      <c r="BB25" s="24" t="n"/>
      <c r="BC25" s="25" t="n"/>
      <c r="BD25" s="25" t="n"/>
      <c r="BE25" s="25" t="n"/>
      <c r="BF25" s="25" t="n"/>
      <c r="BG25" s="25" t="n"/>
      <c r="BH25" s="26" t="n"/>
      <c r="BI25" s="26" t="n"/>
      <c r="BJ25" s="25" t="n"/>
      <c r="BK25" s="25" t="n"/>
      <c r="BL25" s="25" t="n"/>
      <c r="BM25" s="25" t="n"/>
      <c r="BN25" s="25" t="n"/>
      <c r="BO25" s="26" t="n"/>
      <c r="BP25" s="26" t="n"/>
      <c r="BQ25" s="25" t="n"/>
      <c r="BR25" s="27" t="n"/>
      <c r="BS25" s="25" t="n"/>
      <c r="BT25" s="25" t="n"/>
      <c r="BU25" s="25" t="n"/>
      <c r="BV25" s="26" t="n"/>
      <c r="BW25" s="26" t="n"/>
      <c r="BX25" s="25" t="n"/>
      <c r="BY25" s="27" t="n"/>
      <c r="BZ25" s="27" t="n"/>
      <c r="CA25" s="25" t="n"/>
      <c r="CB25" s="27" t="n"/>
    </row>
    <row r="26" ht="42" customHeight="1">
      <c r="A26" s="28" t="inlineStr"/>
      <c r="B26" s="28" t="inlineStr">
        <is>
          <t>UX-03</t>
        </is>
      </c>
      <c r="C26" s="28" t="inlineStr">
        <is>
          <t>UX</t>
        </is>
      </c>
      <c r="D26" s="29" t="inlineStr">
        <is>
          <t>Consolidated multi-deal dashboard assembled</t>
        </is>
      </c>
      <c r="E26" s="29" t="inlineStr">
        <is>
          <t>Mo, Dan</t>
        </is>
      </c>
      <c r="F26" s="28" t="inlineStr">
        <is>
          <t>Mo</t>
        </is>
      </c>
      <c r="G26" s="30" t="n">
        <v>46223</v>
      </c>
      <c r="H26" s="30" t="n">
        <v>46236</v>
      </c>
      <c r="I26" s="31">
        <f>IF(OR(G26="",H26=""),"",H26-G26+1)</f>
        <v>14</v>
      </c>
      <c r="J26" s="32" t="inlineStr">
        <is>
          <t>Done</t>
        </is>
      </c>
      <c r="K26" s="29" t="inlineStr"/>
      <c r="L26" s="29" t="inlineStr">
        <is>
          <t>Refined dashboard merged with lifecycle work — e09bd51, 3779262, c61b1a6; M1–M3</t>
        </is>
      </c>
      <c r="M26" s="27" t="n"/>
      <c r="N26" s="25" t="n"/>
      <c r="O26" s="25" t="n"/>
      <c r="P26" s="25" t="n"/>
      <c r="Q26" s="25" t="n"/>
      <c r="R26" s="26" t="n"/>
      <c r="S26" s="26" t="n"/>
      <c r="T26" s="25" t="n"/>
      <c r="U26" s="25" t="n"/>
      <c r="V26" s="25" t="n"/>
      <c r="W26" s="25" t="n"/>
      <c r="X26" s="25" t="n"/>
      <c r="Y26" s="26" t="n"/>
      <c r="Z26" s="26" t="n"/>
      <c r="AA26" s="25" t="n"/>
      <c r="AB26" s="25" t="n"/>
      <c r="AC26" s="25" t="n"/>
      <c r="AD26" s="25" t="n"/>
      <c r="AE26" s="25" t="n"/>
      <c r="AF26" s="26" t="n"/>
      <c r="AG26" s="26" t="n"/>
      <c r="AH26" s="25" t="n"/>
      <c r="AI26" s="25" t="n"/>
      <c r="AJ26" s="25" t="n"/>
      <c r="AK26" s="25" t="n"/>
      <c r="AL26" s="25" t="n"/>
      <c r="AM26" s="26" t="n"/>
      <c r="AN26" s="26" t="n"/>
      <c r="AO26" s="25" t="n"/>
      <c r="AP26" s="25" t="n"/>
      <c r="AQ26" s="25" t="n"/>
      <c r="AR26" s="25" t="n"/>
      <c r="AS26" s="25" t="n"/>
      <c r="AT26" s="26" t="n"/>
      <c r="AU26" s="26" t="n"/>
      <c r="AV26" s="25" t="n"/>
      <c r="AW26" s="25" t="n"/>
      <c r="AX26" s="25" t="n"/>
      <c r="AY26" s="25" t="n"/>
      <c r="AZ26" s="25" t="n"/>
      <c r="BA26" s="26" t="n"/>
      <c r="BB26" s="26" t="n"/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24" t="n"/>
      <c r="BL26" s="24" t="n"/>
      <c r="BM26" s="24" t="n"/>
      <c r="BN26" s="24" t="n"/>
      <c r="BO26" s="24" t="n"/>
      <c r="BP26" s="24" t="n"/>
      <c r="BQ26" s="25" t="n"/>
      <c r="BR26" s="27" t="n"/>
      <c r="BS26" s="25" t="n"/>
      <c r="BT26" s="25" t="n"/>
      <c r="BU26" s="25" t="n"/>
      <c r="BV26" s="26" t="n"/>
      <c r="BW26" s="26" t="n"/>
      <c r="BX26" s="25" t="n"/>
      <c r="BY26" s="27" t="n"/>
      <c r="BZ26" s="27" t="n"/>
      <c r="CA26" s="25" t="n"/>
      <c r="CB26" s="27" t="n"/>
    </row>
    <row r="27" ht="42" customHeight="1">
      <c r="A27" s="19" t="inlineStr"/>
      <c r="B27" s="19" t="inlineStr">
        <is>
          <t>RISK-01</t>
        </is>
      </c>
      <c r="C27" s="19" t="inlineStr">
        <is>
          <t>RISK</t>
        </is>
      </c>
      <c r="D27" s="20" t="inlineStr">
        <is>
          <t>UCP 600 and Incoterms source pack assembled</t>
        </is>
      </c>
      <c r="E27" s="20" t="inlineStr">
        <is>
          <t>Badhri</t>
        </is>
      </c>
      <c r="F27" s="19" t="inlineStr">
        <is>
          <t>Badhri</t>
        </is>
      </c>
      <c r="G27" s="21" t="n">
        <v>46182</v>
      </c>
      <c r="H27" s="21" t="n">
        <v>46187</v>
      </c>
      <c r="I27" s="22">
        <f>IF(OR(G27="",H27=""),"",H27-G27+1)</f>
        <v>6</v>
      </c>
      <c r="J27" s="23" t="inlineStr">
        <is>
          <t>Done</t>
        </is>
      </c>
      <c r="K27" s="20" t="inlineStr"/>
      <c r="L27" s="20" t="inlineStr">
        <is>
          <t>Source documents and Markdown references exist — 5fe28c1; B4</t>
        </is>
      </c>
      <c r="M27" s="27" t="n"/>
      <c r="N27" s="24" t="n"/>
      <c r="O27" s="24" t="n"/>
      <c r="P27" s="24" t="n"/>
      <c r="Q27" s="24" t="n"/>
      <c r="R27" s="24" t="n"/>
      <c r="S27" s="24" t="n"/>
      <c r="T27" s="25" t="n"/>
      <c r="U27" s="25" t="n"/>
      <c r="V27" s="25" t="n"/>
      <c r="W27" s="25" t="n"/>
      <c r="X27" s="25" t="n"/>
      <c r="Y27" s="26" t="n"/>
      <c r="Z27" s="26" t="n"/>
      <c r="AA27" s="25" t="n"/>
      <c r="AB27" s="25" t="n"/>
      <c r="AC27" s="25" t="n"/>
      <c r="AD27" s="25" t="n"/>
      <c r="AE27" s="25" t="n"/>
      <c r="AF27" s="26" t="n"/>
      <c r="AG27" s="26" t="n"/>
      <c r="AH27" s="25" t="n"/>
      <c r="AI27" s="25" t="n"/>
      <c r="AJ27" s="25" t="n"/>
      <c r="AK27" s="25" t="n"/>
      <c r="AL27" s="25" t="n"/>
      <c r="AM27" s="26" t="n"/>
      <c r="AN27" s="26" t="n"/>
      <c r="AO27" s="25" t="n"/>
      <c r="AP27" s="25" t="n"/>
      <c r="AQ27" s="25" t="n"/>
      <c r="AR27" s="25" t="n"/>
      <c r="AS27" s="25" t="n"/>
      <c r="AT27" s="26" t="n"/>
      <c r="AU27" s="26" t="n"/>
      <c r="AV27" s="25" t="n"/>
      <c r="AW27" s="25" t="n"/>
      <c r="AX27" s="25" t="n"/>
      <c r="AY27" s="25" t="n"/>
      <c r="AZ27" s="25" t="n"/>
      <c r="BA27" s="26" t="n"/>
      <c r="BB27" s="26" t="n"/>
      <c r="BC27" s="25" t="n"/>
      <c r="BD27" s="25" t="n"/>
      <c r="BE27" s="25" t="n"/>
      <c r="BF27" s="25" t="n"/>
      <c r="BG27" s="25" t="n"/>
      <c r="BH27" s="26" t="n"/>
      <c r="BI27" s="26" t="n"/>
      <c r="BJ27" s="25" t="n"/>
      <c r="BK27" s="25" t="n"/>
      <c r="BL27" s="25" t="n"/>
      <c r="BM27" s="25" t="n"/>
      <c r="BN27" s="25" t="n"/>
      <c r="BO27" s="26" t="n"/>
      <c r="BP27" s="26" t="n"/>
      <c r="BQ27" s="25" t="n"/>
      <c r="BR27" s="27" t="n"/>
      <c r="BS27" s="25" t="n"/>
      <c r="BT27" s="25" t="n"/>
      <c r="BU27" s="25" t="n"/>
      <c r="BV27" s="26" t="n"/>
      <c r="BW27" s="26" t="n"/>
      <c r="BX27" s="25" t="n"/>
      <c r="BY27" s="27" t="n"/>
      <c r="BZ27" s="27" t="n"/>
      <c r="CA27" s="25" t="n"/>
      <c r="CB27" s="27" t="n"/>
    </row>
    <row r="28" ht="42" customHeight="1">
      <c r="A28" s="28" t="inlineStr"/>
      <c r="B28" s="28" t="inlineStr">
        <is>
          <t>RISK-02</t>
        </is>
      </c>
      <c r="C28" s="28" t="inlineStr">
        <is>
          <t>RISK</t>
        </is>
      </c>
      <c r="D28" s="29" t="inlineStr">
        <is>
          <t>Legal-risk register developed</t>
        </is>
      </c>
      <c r="E28" s="29" t="inlineStr">
        <is>
          <t>Badhri</t>
        </is>
      </c>
      <c r="F28" s="28" t="inlineStr">
        <is>
          <t>Badhri</t>
        </is>
      </c>
      <c r="G28" s="30" t="n">
        <v>46182</v>
      </c>
      <c r="H28" s="30" t="n">
        <v>46201</v>
      </c>
      <c r="I28" s="31">
        <f>IF(OR(G28="",H28=""),"",H28-G28+1)</f>
        <v>20</v>
      </c>
      <c r="J28" s="32" t="inlineStr">
        <is>
          <t>Done</t>
        </is>
      </c>
      <c r="K28" s="29" t="inlineStr"/>
      <c r="L28" s="29" t="inlineStr">
        <is>
          <t>Legal-risk artifact and update history exist — docs/legal-risk.md; 7b18837; B1–B4</t>
        </is>
      </c>
      <c r="M28" s="27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5" t="n"/>
      <c r="AI28" s="25" t="n"/>
      <c r="AJ28" s="25" t="n"/>
      <c r="AK28" s="25" t="n"/>
      <c r="AL28" s="25" t="n"/>
      <c r="AM28" s="26" t="n"/>
      <c r="AN28" s="26" t="n"/>
      <c r="AO28" s="25" t="n"/>
      <c r="AP28" s="25" t="n"/>
      <c r="AQ28" s="25" t="n"/>
      <c r="AR28" s="25" t="n"/>
      <c r="AS28" s="25" t="n"/>
      <c r="AT28" s="26" t="n"/>
      <c r="AU28" s="26" t="n"/>
      <c r="AV28" s="25" t="n"/>
      <c r="AW28" s="25" t="n"/>
      <c r="AX28" s="25" t="n"/>
      <c r="AY28" s="25" t="n"/>
      <c r="AZ28" s="25" t="n"/>
      <c r="BA28" s="26" t="n"/>
      <c r="BB28" s="26" t="n"/>
      <c r="BC28" s="25" t="n"/>
      <c r="BD28" s="25" t="n"/>
      <c r="BE28" s="25" t="n"/>
      <c r="BF28" s="25" t="n"/>
      <c r="BG28" s="25" t="n"/>
      <c r="BH28" s="26" t="n"/>
      <c r="BI28" s="26" t="n"/>
      <c r="BJ28" s="25" t="n"/>
      <c r="BK28" s="25" t="n"/>
      <c r="BL28" s="25" t="n"/>
      <c r="BM28" s="25" t="n"/>
      <c r="BN28" s="25" t="n"/>
      <c r="BO28" s="26" t="n"/>
      <c r="BP28" s="26" t="n"/>
      <c r="BQ28" s="25" t="n"/>
      <c r="BR28" s="27" t="n"/>
      <c r="BS28" s="25" t="n"/>
      <c r="BT28" s="25" t="n"/>
      <c r="BU28" s="25" t="n"/>
      <c r="BV28" s="26" t="n"/>
      <c r="BW28" s="26" t="n"/>
      <c r="BX28" s="25" t="n"/>
      <c r="BY28" s="27" t="n"/>
      <c r="BZ28" s="27" t="n"/>
      <c r="CA28" s="25" t="n"/>
      <c r="CB28" s="27" t="n"/>
    </row>
    <row r="29" ht="42" customHeight="1">
      <c r="A29" s="19" t="inlineStr"/>
      <c r="B29" s="19" t="inlineStr">
        <is>
          <t>RISK-03</t>
        </is>
      </c>
      <c r="C29" s="19" t="inlineStr">
        <is>
          <t>RISK</t>
        </is>
      </c>
      <c r="D29" s="20" t="inlineStr">
        <is>
          <t>Operational verification model documented</t>
        </is>
      </c>
      <c r="E29" s="20" t="inlineStr">
        <is>
          <t>Dan, Badhri</t>
        </is>
      </c>
      <c r="F29" s="19" t="inlineStr">
        <is>
          <t>Badhri</t>
        </is>
      </c>
      <c r="G29" s="21" t="n">
        <v>46188</v>
      </c>
      <c r="H29" s="21" t="n">
        <v>46208</v>
      </c>
      <c r="I29" s="22">
        <f>IF(OR(G29="",H29=""),"",H29-G29+1)</f>
        <v>21</v>
      </c>
      <c r="J29" s="23" t="inlineStr">
        <is>
          <t>Done</t>
        </is>
      </c>
      <c r="K29" s="20" t="inlineStr"/>
      <c r="L29" s="20" t="inlineStr">
        <is>
          <t>Workflow and verification model artifacts exist — docs/verification-model-v2.md; D1, D2</t>
        </is>
      </c>
      <c r="M29" s="27" t="n"/>
      <c r="N29" s="25" t="n"/>
      <c r="O29" s="25" t="n"/>
      <c r="P29" s="25" t="n"/>
      <c r="Q29" s="25" t="n"/>
      <c r="R29" s="26" t="n"/>
      <c r="S29" s="26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5" t="n"/>
      <c r="AP29" s="25" t="n"/>
      <c r="AQ29" s="25" t="n"/>
      <c r="AR29" s="25" t="n"/>
      <c r="AS29" s="25" t="n"/>
      <c r="AT29" s="26" t="n"/>
      <c r="AU29" s="26" t="n"/>
      <c r="AV29" s="25" t="n"/>
      <c r="AW29" s="25" t="n"/>
      <c r="AX29" s="25" t="n"/>
      <c r="AY29" s="25" t="n"/>
      <c r="AZ29" s="25" t="n"/>
      <c r="BA29" s="26" t="n"/>
      <c r="BB29" s="26" t="n"/>
      <c r="BC29" s="25" t="n"/>
      <c r="BD29" s="25" t="n"/>
      <c r="BE29" s="25" t="n"/>
      <c r="BF29" s="25" t="n"/>
      <c r="BG29" s="25" t="n"/>
      <c r="BH29" s="26" t="n"/>
      <c r="BI29" s="26" t="n"/>
      <c r="BJ29" s="25" t="n"/>
      <c r="BK29" s="25" t="n"/>
      <c r="BL29" s="25" t="n"/>
      <c r="BM29" s="25" t="n"/>
      <c r="BN29" s="25" t="n"/>
      <c r="BO29" s="26" t="n"/>
      <c r="BP29" s="26" t="n"/>
      <c r="BQ29" s="25" t="n"/>
      <c r="BR29" s="27" t="n"/>
      <c r="BS29" s="25" t="n"/>
      <c r="BT29" s="25" t="n"/>
      <c r="BU29" s="25" t="n"/>
      <c r="BV29" s="26" t="n"/>
      <c r="BW29" s="26" t="n"/>
      <c r="BX29" s="25" t="n"/>
      <c r="BY29" s="27" t="n"/>
      <c r="BZ29" s="27" t="n"/>
      <c r="CA29" s="25" t="n"/>
      <c r="CB29" s="27" t="n"/>
    </row>
    <row r="30" ht="42" customHeight="1">
      <c r="A30" s="28" t="inlineStr"/>
      <c r="B30" s="28" t="inlineStr">
        <is>
          <t>RISK-04</t>
        </is>
      </c>
      <c r="C30" s="28" t="inlineStr">
        <is>
          <t>RISK</t>
        </is>
      </c>
      <c r="D30" s="29" t="inlineStr">
        <is>
          <t>Trade-document template catalogue assembled</t>
        </is>
      </c>
      <c r="E30" s="29" t="inlineStr">
        <is>
          <t>Badhri</t>
        </is>
      </c>
      <c r="F30" s="28" t="inlineStr">
        <is>
          <t>Badhri</t>
        </is>
      </c>
      <c r="G30" s="30" t="n">
        <v>46195</v>
      </c>
      <c r="H30" s="30" t="n">
        <v>46222</v>
      </c>
      <c r="I30" s="31">
        <f>IF(OR(G30="",H30=""),"",H30-G30+1)</f>
        <v>28</v>
      </c>
      <c r="J30" s="32" t="inlineStr">
        <is>
          <t>Done</t>
        </is>
      </c>
      <c r="K30" s="29" t="inlineStr"/>
      <c r="L30" s="29" t="inlineStr">
        <is>
          <t>Structured document-template catalogue exists — docs/document-templates.md; 28c6968; B3, D2</t>
        </is>
      </c>
      <c r="M30" s="27" t="n"/>
      <c r="N30" s="25" t="n"/>
      <c r="O30" s="25" t="n"/>
      <c r="P30" s="25" t="n"/>
      <c r="Q30" s="25" t="n"/>
      <c r="R30" s="26" t="n"/>
      <c r="S30" s="26" t="n"/>
      <c r="T30" s="25" t="n"/>
      <c r="U30" s="25" t="n"/>
      <c r="V30" s="25" t="n"/>
      <c r="W30" s="25" t="n"/>
      <c r="X30" s="25" t="n"/>
      <c r="Y30" s="26" t="n"/>
      <c r="Z30" s="26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5" t="n"/>
      <c r="BD30" s="25" t="n"/>
      <c r="BE30" s="25" t="n"/>
      <c r="BF30" s="25" t="n"/>
      <c r="BG30" s="25" t="n"/>
      <c r="BH30" s="26" t="n"/>
      <c r="BI30" s="26" t="n"/>
      <c r="BJ30" s="25" t="n"/>
      <c r="BK30" s="25" t="n"/>
      <c r="BL30" s="25" t="n"/>
      <c r="BM30" s="25" t="n"/>
      <c r="BN30" s="25" t="n"/>
      <c r="BO30" s="26" t="n"/>
      <c r="BP30" s="26" t="n"/>
      <c r="BQ30" s="25" t="n"/>
      <c r="BR30" s="27" t="n"/>
      <c r="BS30" s="25" t="n"/>
      <c r="BT30" s="25" t="n"/>
      <c r="BU30" s="25" t="n"/>
      <c r="BV30" s="26" t="n"/>
      <c r="BW30" s="26" t="n"/>
      <c r="BX30" s="25" t="n"/>
      <c r="BY30" s="27" t="n"/>
      <c r="BZ30" s="27" t="n"/>
      <c r="CA30" s="25" t="n"/>
      <c r="CB30" s="27" t="n"/>
    </row>
    <row r="31" ht="42" customHeight="1">
      <c r="A31" s="19" t="inlineStr"/>
      <c r="B31" s="19" t="inlineStr">
        <is>
          <t>RISK-05</t>
        </is>
      </c>
      <c r="C31" s="19" t="inlineStr">
        <is>
          <t>RISK</t>
        </is>
      </c>
      <c r="D31" s="20" t="inlineStr">
        <is>
          <t>UAE licensing and corridor analysis documented</t>
        </is>
      </c>
      <c r="E31" s="20" t="inlineStr">
        <is>
          <t>Badhri, Tamer</t>
        </is>
      </c>
      <c r="F31" s="19" t="inlineStr">
        <is>
          <t>Badhri</t>
        </is>
      </c>
      <c r="G31" s="21" t="n">
        <v>46195</v>
      </c>
      <c r="H31" s="21" t="n">
        <v>46215</v>
      </c>
      <c r="I31" s="22">
        <f>IF(OR(G31="",H31=""),"",H31-G31+1)</f>
        <v>21</v>
      </c>
      <c r="J31" s="23" t="inlineStr">
        <is>
          <t>Done</t>
        </is>
      </c>
      <c r="K31" s="20" t="inlineStr"/>
      <c r="L31" s="20" t="inlineStr">
        <is>
          <t>UAE licensing research artifact exists — docs/Dubai_Fintech_License_Requirements.md; B4, B5</t>
        </is>
      </c>
      <c r="M31" s="27" t="n"/>
      <c r="N31" s="25" t="n"/>
      <c r="O31" s="25" t="n"/>
      <c r="P31" s="25" t="n"/>
      <c r="Q31" s="25" t="n"/>
      <c r="R31" s="26" t="n"/>
      <c r="S31" s="26" t="n"/>
      <c r="T31" s="25" t="n"/>
      <c r="U31" s="25" t="n"/>
      <c r="V31" s="25" t="n"/>
      <c r="W31" s="25" t="n"/>
      <c r="X31" s="25" t="n"/>
      <c r="Y31" s="26" t="n"/>
      <c r="Z31" s="26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5" t="n"/>
      <c r="AW31" s="25" t="n"/>
      <c r="AX31" s="25" t="n"/>
      <c r="AY31" s="25" t="n"/>
      <c r="AZ31" s="25" t="n"/>
      <c r="BA31" s="26" t="n"/>
      <c r="BB31" s="26" t="n"/>
      <c r="BC31" s="25" t="n"/>
      <c r="BD31" s="25" t="n"/>
      <c r="BE31" s="25" t="n"/>
      <c r="BF31" s="25" t="n"/>
      <c r="BG31" s="25" t="n"/>
      <c r="BH31" s="26" t="n"/>
      <c r="BI31" s="26" t="n"/>
      <c r="BJ31" s="25" t="n"/>
      <c r="BK31" s="25" t="n"/>
      <c r="BL31" s="25" t="n"/>
      <c r="BM31" s="25" t="n"/>
      <c r="BN31" s="25" t="n"/>
      <c r="BO31" s="26" t="n"/>
      <c r="BP31" s="26" t="n"/>
      <c r="BQ31" s="25" t="n"/>
      <c r="BR31" s="27" t="n"/>
      <c r="BS31" s="25" t="n"/>
      <c r="BT31" s="25" t="n"/>
      <c r="BU31" s="25" t="n"/>
      <c r="BV31" s="26" t="n"/>
      <c r="BW31" s="26" t="n"/>
      <c r="BX31" s="25" t="n"/>
      <c r="BY31" s="27" t="n"/>
      <c r="BZ31" s="27" t="n"/>
      <c r="CA31" s="25" t="n"/>
      <c r="CB31" s="27" t="n"/>
    </row>
    <row r="32" ht="42" customHeight="1">
      <c r="A32" s="28" t="inlineStr"/>
      <c r="B32" s="28" t="inlineStr">
        <is>
          <t>BUS-01</t>
        </is>
      </c>
      <c r="C32" s="28" t="inlineStr">
        <is>
          <t>BUS</t>
        </is>
      </c>
      <c r="D32" s="29" t="inlineStr">
        <is>
          <t>Financial model refined</t>
        </is>
      </c>
      <c r="E32" s="29" t="inlineStr">
        <is>
          <t>Conrad</t>
        </is>
      </c>
      <c r="F32" s="28" t="inlineStr">
        <is>
          <t>Conrad</t>
        </is>
      </c>
      <c r="G32" s="30" t="n">
        <v>46182</v>
      </c>
      <c r="H32" s="30" t="n">
        <v>46208</v>
      </c>
      <c r="I32" s="31">
        <f>IF(OR(G32="",H32=""),"",H32-G32+1)</f>
        <v>27</v>
      </c>
      <c r="J32" s="32" t="inlineStr">
        <is>
          <t>Done</t>
        </is>
      </c>
      <c r="K32" s="29" t="inlineStr"/>
      <c r="L32" s="29" t="inlineStr">
        <is>
          <t>Five-year model artifact exists — financial-projections/Blockmediary_Financial_Model_FullRisk.xlsx; 56e5e6a; C1, C2</t>
        </is>
      </c>
      <c r="M32" s="27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5" t="n"/>
      <c r="AP32" s="25" t="n"/>
      <c r="AQ32" s="25" t="n"/>
      <c r="AR32" s="25" t="n"/>
      <c r="AS32" s="25" t="n"/>
      <c r="AT32" s="26" t="n"/>
      <c r="AU32" s="26" t="n"/>
      <c r="AV32" s="25" t="n"/>
      <c r="AW32" s="25" t="n"/>
      <c r="AX32" s="25" t="n"/>
      <c r="AY32" s="25" t="n"/>
      <c r="AZ32" s="25" t="n"/>
      <c r="BA32" s="26" t="n"/>
      <c r="BB32" s="26" t="n"/>
      <c r="BC32" s="25" t="n"/>
      <c r="BD32" s="25" t="n"/>
      <c r="BE32" s="25" t="n"/>
      <c r="BF32" s="25" t="n"/>
      <c r="BG32" s="25" t="n"/>
      <c r="BH32" s="26" t="n"/>
      <c r="BI32" s="26" t="n"/>
      <c r="BJ32" s="25" t="n"/>
      <c r="BK32" s="25" t="n"/>
      <c r="BL32" s="25" t="n"/>
      <c r="BM32" s="25" t="n"/>
      <c r="BN32" s="25" t="n"/>
      <c r="BO32" s="26" t="n"/>
      <c r="BP32" s="26" t="n"/>
      <c r="BQ32" s="25" t="n"/>
      <c r="BR32" s="27" t="n"/>
      <c r="BS32" s="25" t="n"/>
      <c r="BT32" s="25" t="n"/>
      <c r="BU32" s="25" t="n"/>
      <c r="BV32" s="26" t="n"/>
      <c r="BW32" s="26" t="n"/>
      <c r="BX32" s="25" t="n"/>
      <c r="BY32" s="27" t="n"/>
      <c r="BZ32" s="27" t="n"/>
      <c r="CA32" s="25" t="n"/>
      <c r="CB32" s="27" t="n"/>
    </row>
    <row r="33" ht="42" customHeight="1">
      <c r="A33" s="19" t="inlineStr"/>
      <c r="B33" s="19" t="inlineStr">
        <is>
          <t>BUS-02</t>
        </is>
      </c>
      <c r="C33" s="19" t="inlineStr">
        <is>
          <t>BUS</t>
        </is>
      </c>
      <c r="D33" s="20" t="inlineStr">
        <is>
          <t>Customer-demographic analysis produced</t>
        </is>
      </c>
      <c r="E33" s="20" t="inlineStr">
        <is>
          <t>Mo, Conrad</t>
        </is>
      </c>
      <c r="F33" s="19" t="inlineStr">
        <is>
          <t>Mo</t>
        </is>
      </c>
      <c r="G33" s="21" t="n">
        <v>46182</v>
      </c>
      <c r="H33" s="21" t="n">
        <v>46201</v>
      </c>
      <c r="I33" s="22">
        <f>IF(OR(G33="",H33=""),"",H33-G33+1)</f>
        <v>20</v>
      </c>
      <c r="J33" s="23" t="inlineStr">
        <is>
          <t>Done</t>
        </is>
      </c>
      <c r="K33" s="20" t="inlineStr"/>
      <c r="L33" s="20" t="inlineStr">
        <is>
          <t>Customer profile research exists — project-initialisation/customer-demographics.md; 99400ce; M5, M7</t>
        </is>
      </c>
      <c r="M33" s="27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5" t="n"/>
      <c r="AI33" s="25" t="n"/>
      <c r="AJ33" s="25" t="n"/>
      <c r="AK33" s="25" t="n"/>
      <c r="AL33" s="25" t="n"/>
      <c r="AM33" s="26" t="n"/>
      <c r="AN33" s="26" t="n"/>
      <c r="AO33" s="25" t="n"/>
      <c r="AP33" s="25" t="n"/>
      <c r="AQ33" s="25" t="n"/>
      <c r="AR33" s="25" t="n"/>
      <c r="AS33" s="25" t="n"/>
      <c r="AT33" s="26" t="n"/>
      <c r="AU33" s="26" t="n"/>
      <c r="AV33" s="25" t="n"/>
      <c r="AW33" s="25" t="n"/>
      <c r="AX33" s="25" t="n"/>
      <c r="AY33" s="25" t="n"/>
      <c r="AZ33" s="25" t="n"/>
      <c r="BA33" s="26" t="n"/>
      <c r="BB33" s="26" t="n"/>
      <c r="BC33" s="25" t="n"/>
      <c r="BD33" s="25" t="n"/>
      <c r="BE33" s="25" t="n"/>
      <c r="BF33" s="25" t="n"/>
      <c r="BG33" s="25" t="n"/>
      <c r="BH33" s="26" t="n"/>
      <c r="BI33" s="26" t="n"/>
      <c r="BJ33" s="25" t="n"/>
      <c r="BK33" s="25" t="n"/>
      <c r="BL33" s="25" t="n"/>
      <c r="BM33" s="25" t="n"/>
      <c r="BN33" s="25" t="n"/>
      <c r="BO33" s="26" t="n"/>
      <c r="BP33" s="26" t="n"/>
      <c r="BQ33" s="25" t="n"/>
      <c r="BR33" s="27" t="n"/>
      <c r="BS33" s="25" t="n"/>
      <c r="BT33" s="25" t="n"/>
      <c r="BU33" s="25" t="n"/>
      <c r="BV33" s="26" t="n"/>
      <c r="BW33" s="26" t="n"/>
      <c r="BX33" s="25" t="n"/>
      <c r="BY33" s="27" t="n"/>
      <c r="BZ33" s="27" t="n"/>
      <c r="CA33" s="25" t="n"/>
      <c r="CB33" s="27" t="n"/>
    </row>
    <row r="34" ht="42" customHeight="1">
      <c r="A34" s="28" t="inlineStr"/>
      <c r="B34" s="28" t="inlineStr">
        <is>
          <t>BUS-06</t>
        </is>
      </c>
      <c r="C34" s="28" t="inlineStr">
        <is>
          <t>BUS</t>
        </is>
      </c>
      <c r="D34" s="29" t="inlineStr">
        <is>
          <t>Original Business Model Canvas produced</t>
        </is>
      </c>
      <c r="E34" s="29" t="inlineStr">
        <is>
          <t>Tamer, Conrad, Mo</t>
        </is>
      </c>
      <c r="F34" s="28" t="inlineStr">
        <is>
          <t>Conrad</t>
        </is>
      </c>
      <c r="G34" s="30" t="n">
        <v>46181</v>
      </c>
      <c r="H34" s="30" t="n">
        <v>46181</v>
      </c>
      <c r="I34" s="31">
        <f>IF(OR(G34="",H34=""),"",H34-G34+1)</f>
        <v>1</v>
      </c>
      <c r="J34" s="32" t="inlineStr">
        <is>
          <t>Done</t>
        </is>
      </c>
      <c r="K34" s="29" t="inlineStr"/>
      <c r="L34" s="29" t="inlineStr">
        <is>
          <t>Eight-block canvas exists with opportunity, market, revenue, cost, channels and competition — proposal/business-model-slide.md; T2</t>
        </is>
      </c>
      <c r="M34" s="24" t="n"/>
      <c r="N34" s="25" t="n"/>
      <c r="O34" s="25" t="n"/>
      <c r="P34" s="25" t="n"/>
      <c r="Q34" s="25" t="n"/>
      <c r="R34" s="26" t="n"/>
      <c r="S34" s="26" t="n"/>
      <c r="T34" s="25" t="n"/>
      <c r="U34" s="25" t="n"/>
      <c r="V34" s="25" t="n"/>
      <c r="W34" s="25" t="n"/>
      <c r="X34" s="25" t="n"/>
      <c r="Y34" s="26" t="n"/>
      <c r="Z34" s="26" t="n"/>
      <c r="AA34" s="25" t="n"/>
      <c r="AB34" s="25" t="n"/>
      <c r="AC34" s="25" t="n"/>
      <c r="AD34" s="25" t="n"/>
      <c r="AE34" s="25" t="n"/>
      <c r="AF34" s="26" t="n"/>
      <c r="AG34" s="26" t="n"/>
      <c r="AH34" s="25" t="n"/>
      <c r="AI34" s="25" t="n"/>
      <c r="AJ34" s="25" t="n"/>
      <c r="AK34" s="25" t="n"/>
      <c r="AL34" s="25" t="n"/>
      <c r="AM34" s="26" t="n"/>
      <c r="AN34" s="26" t="n"/>
      <c r="AO34" s="25" t="n"/>
      <c r="AP34" s="25" t="n"/>
      <c r="AQ34" s="25" t="n"/>
      <c r="AR34" s="25" t="n"/>
      <c r="AS34" s="25" t="n"/>
      <c r="AT34" s="26" t="n"/>
      <c r="AU34" s="26" t="n"/>
      <c r="AV34" s="25" t="n"/>
      <c r="AW34" s="25" t="n"/>
      <c r="AX34" s="25" t="n"/>
      <c r="AY34" s="25" t="n"/>
      <c r="AZ34" s="25" t="n"/>
      <c r="BA34" s="26" t="n"/>
      <c r="BB34" s="26" t="n"/>
      <c r="BC34" s="25" t="n"/>
      <c r="BD34" s="25" t="n"/>
      <c r="BE34" s="25" t="n"/>
      <c r="BF34" s="25" t="n"/>
      <c r="BG34" s="25" t="n"/>
      <c r="BH34" s="26" t="n"/>
      <c r="BI34" s="26" t="n"/>
      <c r="BJ34" s="25" t="n"/>
      <c r="BK34" s="25" t="n"/>
      <c r="BL34" s="25" t="n"/>
      <c r="BM34" s="25" t="n"/>
      <c r="BN34" s="25" t="n"/>
      <c r="BO34" s="26" t="n"/>
      <c r="BP34" s="26" t="n"/>
      <c r="BQ34" s="25" t="n"/>
      <c r="BR34" s="27" t="n"/>
      <c r="BS34" s="25" t="n"/>
      <c r="BT34" s="25" t="n"/>
      <c r="BU34" s="25" t="n"/>
      <c r="BV34" s="26" t="n"/>
      <c r="BW34" s="26" t="n"/>
      <c r="BX34" s="25" t="n"/>
      <c r="BY34" s="27" t="n"/>
      <c r="BZ34" s="27" t="n"/>
      <c r="CA34" s="25" t="n"/>
      <c r="CB34" s="27" t="n"/>
    </row>
    <row r="35" ht="42" customHeight="1">
      <c r="A35" s="33" t="inlineStr">
        <is>
          <t>◆</t>
        </is>
      </c>
      <c r="B35" s="19" t="inlineStr">
        <is>
          <t>GOV-04</t>
        </is>
      </c>
      <c r="C35" s="19" t="inlineStr">
        <is>
          <t>GOV</t>
        </is>
      </c>
      <c r="D35" s="20" t="inlineStr">
        <is>
          <t>TRD and A1–A8 acceptance baseline reconciled</t>
        </is>
      </c>
      <c r="E35" s="20" t="inlineStr">
        <is>
          <t>Nick</t>
        </is>
      </c>
      <c r="F35" s="19" t="inlineStr">
        <is>
          <t>Tamer</t>
        </is>
      </c>
      <c r="G35" s="21" t="n">
        <v>46188</v>
      </c>
      <c r="H35" s="21" t="n">
        <v>46246</v>
      </c>
      <c r="I35" s="22">
        <f>IF(OR(G35="",H35=""),"",H35-G35+1)</f>
        <v>59</v>
      </c>
      <c r="J35" s="23" t="inlineStr">
        <is>
          <t>Review</t>
        </is>
      </c>
      <c r="K35" s="20" t="inlineStr"/>
      <c r="L35" s="20" t="inlineStr">
        <is>
          <t>Run and record every acceptance case; remove any remaining delivered-status contradiction — docs/technical-requirements.md; 42aa948; T1</t>
        </is>
      </c>
      <c r="M35" s="27" t="n"/>
      <c r="N35" s="25" t="n"/>
      <c r="O35" s="25" t="n"/>
      <c r="P35" s="25" t="n"/>
      <c r="Q35" s="25" t="n"/>
      <c r="R35" s="26" t="n"/>
      <c r="S35" s="26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4" t="n"/>
      <c r="AD35" s="34" t="n"/>
      <c r="AE35" s="34" t="n"/>
      <c r="AF35" s="34" t="n"/>
      <c r="AG35" s="34" t="n"/>
      <c r="AH35" s="34" t="n"/>
      <c r="AI35" s="34" t="n"/>
      <c r="AJ35" s="34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34" t="n"/>
      <c r="BB35" s="34" t="n"/>
      <c r="BC35" s="34" t="n"/>
      <c r="BD35" s="34" t="n"/>
      <c r="BE35" s="34" t="n"/>
      <c r="BF35" s="34" t="n"/>
      <c r="BG35" s="34" t="n"/>
      <c r="BH35" s="34" t="n"/>
      <c r="BI35" s="34" t="n"/>
      <c r="BJ35" s="34" t="n"/>
      <c r="BK35" s="34" t="n"/>
      <c r="BL35" s="34" t="n"/>
      <c r="BM35" s="34" t="n"/>
      <c r="BN35" s="34" t="n"/>
      <c r="BO35" s="34" t="n"/>
      <c r="BP35" s="34" t="n"/>
      <c r="BQ35" s="34" t="n"/>
      <c r="BR35" s="34" t="n"/>
      <c r="BS35" s="34" t="n"/>
      <c r="BT35" s="34" t="n"/>
      <c r="BU35" s="34" t="n"/>
      <c r="BV35" s="34" t="n"/>
      <c r="BW35" s="34" t="n"/>
      <c r="BX35" s="34" t="n"/>
      <c r="BY35" s="34" t="n"/>
      <c r="BZ35" s="34" t="n"/>
      <c r="CA35" s="25" t="n"/>
      <c r="CB35" s="27" t="n"/>
    </row>
    <row r="36" ht="42" customHeight="1">
      <c r="A36" s="33" t="inlineStr">
        <is>
          <t>◆</t>
        </is>
      </c>
      <c r="B36" s="28" t="inlineStr">
        <is>
          <t>PRD-03</t>
        </is>
      </c>
      <c r="C36" s="28" t="inlineStr">
        <is>
          <t>PRD</t>
        </is>
      </c>
      <c r="D36" s="29" t="inlineStr">
        <is>
          <t>Full document-pack and corridor release rules aligned</t>
        </is>
      </c>
      <c r="E36" s="29" t="inlineStr">
        <is>
          <t>Nick, Badhri</t>
        </is>
      </c>
      <c r="F36" s="28" t="inlineStr">
        <is>
          <t>Dan</t>
        </is>
      </c>
      <c r="G36" s="30" t="n">
        <v>46195</v>
      </c>
      <c r="H36" s="30" t="n">
        <v>46246</v>
      </c>
      <c r="I36" s="31">
        <f>IF(OR(G36="",H36=""),"",H36-G36+1)</f>
        <v>52</v>
      </c>
      <c r="J36" s="32" t="inlineStr">
        <is>
          <t>Review</t>
        </is>
      </c>
      <c r="K36" s="29" t="inlineStr"/>
      <c r="L36" s="29" t="inlineStr">
        <is>
          <t>Cold test required documents and reconcile BRD language with implemented pack — 9e697cf, f9bbd27, 498751d; N4/B5</t>
        </is>
      </c>
      <c r="M36" s="27" t="n"/>
      <c r="N36" s="25" t="n"/>
      <c r="O36" s="25" t="n"/>
      <c r="P36" s="25" t="n"/>
      <c r="Q36" s="25" t="n"/>
      <c r="R36" s="26" t="n"/>
      <c r="S36" s="26" t="n"/>
      <c r="T36" s="25" t="n"/>
      <c r="U36" s="25" t="n"/>
      <c r="V36" s="25" t="n"/>
      <c r="W36" s="25" t="n"/>
      <c r="X36" s="25" t="n"/>
      <c r="Y36" s="26" t="n"/>
      <c r="Z36" s="26" t="n"/>
      <c r="AA36" s="34" t="n"/>
      <c r="AB36" s="34" t="n"/>
      <c r="AC36" s="34" t="n"/>
      <c r="AD36" s="34" t="n"/>
      <c r="AE36" s="34" t="n"/>
      <c r="AF36" s="34" t="n"/>
      <c r="AG36" s="34" t="n"/>
      <c r="AH36" s="34" t="n"/>
      <c r="AI36" s="34" t="n"/>
      <c r="AJ36" s="34" t="n"/>
      <c r="AK36" s="34" t="n"/>
      <c r="AL36" s="34" t="n"/>
      <c r="AM36" s="34" t="n"/>
      <c r="AN36" s="34" t="n"/>
      <c r="AO36" s="34" t="n"/>
      <c r="AP36" s="34" t="n"/>
      <c r="AQ36" s="34" t="n"/>
      <c r="AR36" s="34" t="n"/>
      <c r="AS36" s="34" t="n"/>
      <c r="AT36" s="34" t="n"/>
      <c r="AU36" s="34" t="n"/>
      <c r="AV36" s="34" t="n"/>
      <c r="AW36" s="34" t="n"/>
      <c r="AX36" s="34" t="n"/>
      <c r="AY36" s="34" t="n"/>
      <c r="AZ36" s="34" t="n"/>
      <c r="BA36" s="34" t="n"/>
      <c r="BB36" s="34" t="n"/>
      <c r="BC36" s="34" t="n"/>
      <c r="BD36" s="34" t="n"/>
      <c r="BE36" s="34" t="n"/>
      <c r="BF36" s="34" t="n"/>
      <c r="BG36" s="34" t="n"/>
      <c r="BH36" s="34" t="n"/>
      <c r="BI36" s="34" t="n"/>
      <c r="BJ36" s="34" t="n"/>
      <c r="BK36" s="34" t="n"/>
      <c r="BL36" s="34" t="n"/>
      <c r="BM36" s="34" t="n"/>
      <c r="BN36" s="34" t="n"/>
      <c r="BO36" s="34" t="n"/>
      <c r="BP36" s="34" t="n"/>
      <c r="BQ36" s="34" t="n"/>
      <c r="BR36" s="34" t="n"/>
      <c r="BS36" s="34" t="n"/>
      <c r="BT36" s="34" t="n"/>
      <c r="BU36" s="34" t="n"/>
      <c r="BV36" s="34" t="n"/>
      <c r="BW36" s="34" t="n"/>
      <c r="BX36" s="34" t="n"/>
      <c r="BY36" s="34" t="n"/>
      <c r="BZ36" s="34" t="n"/>
      <c r="CA36" s="25" t="n"/>
      <c r="CB36" s="27" t="n"/>
    </row>
    <row r="37" ht="42" customHeight="1">
      <c r="A37" s="33" t="inlineStr">
        <is>
          <t>◆</t>
        </is>
      </c>
      <c r="B37" s="19" t="inlineStr">
        <is>
          <t>PRD-04</t>
        </is>
      </c>
      <c r="C37" s="19" t="inlineStr">
        <is>
          <t>PRD</t>
        </is>
      </c>
      <c r="D37" s="20" t="inlineStr">
        <is>
          <t>Final product-to-pitch traceability approved</t>
        </is>
      </c>
      <c r="E37" s="20" t="inlineStr">
        <is>
          <t>Dan, Tamer</t>
        </is>
      </c>
      <c r="F37" s="19" t="inlineStr">
        <is>
          <t>Dan</t>
        </is>
      </c>
      <c r="G37" s="21" t="n">
        <v>46230</v>
      </c>
      <c r="H37" s="21" t="n">
        <v>46246</v>
      </c>
      <c r="I37" s="22">
        <f>IF(OR(G37="",H37=""),"",H37-G37+1)</f>
        <v>17</v>
      </c>
      <c r="J37" s="23" t="inlineStr">
        <is>
          <t>Review</t>
        </is>
      </c>
      <c r="K37" s="20" t="inlineStr"/>
      <c r="L37" s="20" t="inlineStr">
        <is>
          <t>Every script claim maps to delivered evidence or roadmap label — BRD/TRD reconciliation; commit 42aa948; saved claims register still pending under DEC-13; T5</t>
        </is>
      </c>
      <c r="M37" s="27" t="n"/>
      <c r="N37" s="25" t="n"/>
      <c r="O37" s="25" t="n"/>
      <c r="P37" s="25" t="n"/>
      <c r="Q37" s="25" t="n"/>
      <c r="R37" s="26" t="n"/>
      <c r="S37" s="26" t="n"/>
      <c r="T37" s="25" t="n"/>
      <c r="U37" s="25" t="n"/>
      <c r="V37" s="25" t="n"/>
      <c r="W37" s="25" t="n"/>
      <c r="X37" s="25" t="n"/>
      <c r="Y37" s="26" t="n"/>
      <c r="Z37" s="26" t="n"/>
      <c r="AA37" s="25" t="n"/>
      <c r="AB37" s="25" t="n"/>
      <c r="AC37" s="25" t="n"/>
      <c r="AD37" s="25" t="n"/>
      <c r="AE37" s="25" t="n"/>
      <c r="AF37" s="26" t="n"/>
      <c r="AG37" s="26" t="n"/>
      <c r="AH37" s="25" t="n"/>
      <c r="AI37" s="25" t="n"/>
      <c r="AJ37" s="25" t="n"/>
      <c r="AK37" s="25" t="n"/>
      <c r="AL37" s="25" t="n"/>
      <c r="AM37" s="26" t="n"/>
      <c r="AN37" s="26" t="n"/>
      <c r="AO37" s="25" t="n"/>
      <c r="AP37" s="25" t="n"/>
      <c r="AQ37" s="25" t="n"/>
      <c r="AR37" s="25" t="n"/>
      <c r="AS37" s="25" t="n"/>
      <c r="AT37" s="26" t="n"/>
      <c r="AU37" s="26" t="n"/>
      <c r="AV37" s="25" t="n"/>
      <c r="AW37" s="25" t="n"/>
      <c r="AX37" s="25" t="n"/>
      <c r="AY37" s="25" t="n"/>
      <c r="AZ37" s="25" t="n"/>
      <c r="BA37" s="26" t="n"/>
      <c r="BB37" s="26" t="n"/>
      <c r="BC37" s="25" t="n"/>
      <c r="BD37" s="25" t="n"/>
      <c r="BE37" s="25" t="n"/>
      <c r="BF37" s="25" t="n"/>
      <c r="BG37" s="25" t="n"/>
      <c r="BH37" s="26" t="n"/>
      <c r="BI37" s="26" t="n"/>
      <c r="BJ37" s="34" t="n"/>
      <c r="BK37" s="34" t="n"/>
      <c r="BL37" s="34" t="n"/>
      <c r="BM37" s="34" t="n"/>
      <c r="BN37" s="34" t="n"/>
      <c r="BO37" s="34" t="n"/>
      <c r="BP37" s="34" t="n"/>
      <c r="BQ37" s="34" t="n"/>
      <c r="BR37" s="34" t="n"/>
      <c r="BS37" s="34" t="n"/>
      <c r="BT37" s="34" t="n"/>
      <c r="BU37" s="34" t="n"/>
      <c r="BV37" s="34" t="n"/>
      <c r="BW37" s="34" t="n"/>
      <c r="BX37" s="34" t="n"/>
      <c r="BY37" s="34" t="n"/>
      <c r="BZ37" s="34" t="n"/>
      <c r="CA37" s="25" t="n"/>
      <c r="CB37" s="27" t="n"/>
    </row>
    <row r="38" ht="42" customHeight="1">
      <c r="A38" s="33" t="inlineStr">
        <is>
          <t>◆</t>
        </is>
      </c>
      <c r="B38" s="28" t="inlineStr">
        <is>
          <t>TEC-09</t>
        </is>
      </c>
      <c r="C38" s="28" t="inlineStr">
        <is>
          <t>TEC</t>
        </is>
      </c>
      <c r="D38" s="29" t="inlineStr">
        <is>
          <t>Technical acceptance A1–A8 completed</t>
        </is>
      </c>
      <c r="E38" s="29" t="inlineStr">
        <is>
          <t>Nick, Dan</t>
        </is>
      </c>
      <c r="F38" s="28" t="inlineStr">
        <is>
          <t>Nick</t>
        </is>
      </c>
      <c r="G38" s="30" t="n">
        <v>46237</v>
      </c>
      <c r="H38" s="30" t="n">
        <v>46246</v>
      </c>
      <c r="I38" s="31">
        <f>IF(OR(G38="",H38=""),"",H38-G38+1)</f>
        <v>10</v>
      </c>
      <c r="J38" s="32" t="inlineStr">
        <is>
          <t>Review</t>
        </is>
      </c>
      <c r="K38" s="29" t="inlineStr"/>
      <c r="L38" s="29" t="inlineStr">
        <is>
          <t>A1 achieved: forced source compile and 21/21 contract tests pass. Supporting evidence: 187/187 application tests pass. Open: A2–A7 integrated authenticated walkthrough, A8 control record, production build and lint — Test/compile evidence 12 Aug; TRD Section 11; N1–N4/D5</t>
        </is>
      </c>
      <c r="M38" s="27" t="n"/>
      <c r="N38" s="25" t="n"/>
      <c r="O38" s="25" t="n"/>
      <c r="P38" s="25" t="n"/>
      <c r="Q38" s="25" t="n"/>
      <c r="R38" s="26" t="n"/>
      <c r="S38" s="26" t="n"/>
      <c r="T38" s="25" t="n"/>
      <c r="U38" s="25" t="n"/>
      <c r="V38" s="25" t="n"/>
      <c r="W38" s="25" t="n"/>
      <c r="X38" s="25" t="n"/>
      <c r="Y38" s="26" t="n"/>
      <c r="Z38" s="26" t="n"/>
      <c r="AA38" s="25" t="n"/>
      <c r="AB38" s="25" t="n"/>
      <c r="AC38" s="25" t="n"/>
      <c r="AD38" s="25" t="n"/>
      <c r="AE38" s="25" t="n"/>
      <c r="AF38" s="26" t="n"/>
      <c r="AG38" s="26" t="n"/>
      <c r="AH38" s="25" t="n"/>
      <c r="AI38" s="25" t="n"/>
      <c r="AJ38" s="25" t="n"/>
      <c r="AK38" s="25" t="n"/>
      <c r="AL38" s="25" t="n"/>
      <c r="AM38" s="26" t="n"/>
      <c r="AN38" s="26" t="n"/>
      <c r="AO38" s="25" t="n"/>
      <c r="AP38" s="25" t="n"/>
      <c r="AQ38" s="25" t="n"/>
      <c r="AR38" s="25" t="n"/>
      <c r="AS38" s="25" t="n"/>
      <c r="AT38" s="26" t="n"/>
      <c r="AU38" s="26" t="n"/>
      <c r="AV38" s="25" t="n"/>
      <c r="AW38" s="25" t="n"/>
      <c r="AX38" s="25" t="n"/>
      <c r="AY38" s="25" t="n"/>
      <c r="AZ38" s="25" t="n"/>
      <c r="BA38" s="26" t="n"/>
      <c r="BB38" s="26" t="n"/>
      <c r="BC38" s="25" t="n"/>
      <c r="BD38" s="25" t="n"/>
      <c r="BE38" s="25" t="n"/>
      <c r="BF38" s="25" t="n"/>
      <c r="BG38" s="25" t="n"/>
      <c r="BH38" s="26" t="n"/>
      <c r="BI38" s="26" t="n"/>
      <c r="BJ38" s="25" t="n"/>
      <c r="BK38" s="25" t="n"/>
      <c r="BL38" s="25" t="n"/>
      <c r="BM38" s="25" t="n"/>
      <c r="BN38" s="25" t="n"/>
      <c r="BO38" s="26" t="n"/>
      <c r="BP38" s="26" t="n"/>
      <c r="BQ38" s="34" t="n"/>
      <c r="BR38" s="34" t="n"/>
      <c r="BS38" s="34" t="n"/>
      <c r="BT38" s="34" t="n"/>
      <c r="BU38" s="34" t="n"/>
      <c r="BV38" s="34" t="n"/>
      <c r="BW38" s="34" t="n"/>
      <c r="BX38" s="34" t="n"/>
      <c r="BY38" s="34" t="n"/>
      <c r="BZ38" s="34" t="n"/>
      <c r="CA38" s="25" t="n"/>
      <c r="CB38" s="27" t="n"/>
    </row>
    <row r="39" ht="42" customHeight="1">
      <c r="A39" s="33" t="inlineStr">
        <is>
          <t>◆</t>
        </is>
      </c>
      <c r="B39" s="19" t="inlineStr">
        <is>
          <t>TEC-10</t>
        </is>
      </c>
      <c r="C39" s="19" t="inlineStr">
        <is>
          <t>TEC</t>
        </is>
      </c>
      <c r="D39" s="20" t="inlineStr">
        <is>
          <t>Repository sync and clean-build reproducibility verified</t>
        </is>
      </c>
      <c r="E39" s="20" t="inlineStr">
        <is>
          <t>Nick</t>
        </is>
      </c>
      <c r="F39" s="19" t="inlineStr">
        <is>
          <t>Nick</t>
        </is>
      </c>
      <c r="G39" s="21" t="n">
        <v>46244</v>
      </c>
      <c r="H39" s="21" t="n">
        <v>46246</v>
      </c>
      <c r="I39" s="22">
        <f>IF(OR(G39="",H39=""),"",H39-G39+1)</f>
        <v>3</v>
      </c>
      <c r="J39" s="23" t="inlineStr">
        <is>
          <t>Review</t>
        </is>
      </c>
      <c r="K39" s="20" t="inlineStr"/>
      <c r="L39" s="20" t="inlineStr">
        <is>
          <t>Known failing: Prisma postinstall loads untracked app/.env; no app-level example exists; npm and pnpm lockfiles compete; production build and focused lint fail — Configuration/build/lint evidence 12 Aug; D3</t>
        </is>
      </c>
      <c r="M39" s="27" t="n"/>
      <c r="N39" s="25" t="n"/>
      <c r="O39" s="25" t="n"/>
      <c r="P39" s="25" t="n"/>
      <c r="Q39" s="25" t="n"/>
      <c r="R39" s="26" t="n"/>
      <c r="S39" s="26" t="n"/>
      <c r="T39" s="25" t="n"/>
      <c r="U39" s="25" t="n"/>
      <c r="V39" s="25" t="n"/>
      <c r="W39" s="25" t="n"/>
      <c r="X39" s="25" t="n"/>
      <c r="Y39" s="26" t="n"/>
      <c r="Z39" s="26" t="n"/>
      <c r="AA39" s="25" t="n"/>
      <c r="AB39" s="25" t="n"/>
      <c r="AC39" s="25" t="n"/>
      <c r="AD39" s="25" t="n"/>
      <c r="AE39" s="25" t="n"/>
      <c r="AF39" s="26" t="n"/>
      <c r="AG39" s="26" t="n"/>
      <c r="AH39" s="25" t="n"/>
      <c r="AI39" s="25" t="n"/>
      <c r="AJ39" s="25" t="n"/>
      <c r="AK39" s="25" t="n"/>
      <c r="AL39" s="25" t="n"/>
      <c r="AM39" s="26" t="n"/>
      <c r="AN39" s="26" t="n"/>
      <c r="AO39" s="25" t="n"/>
      <c r="AP39" s="25" t="n"/>
      <c r="AQ39" s="25" t="n"/>
      <c r="AR39" s="25" t="n"/>
      <c r="AS39" s="25" t="n"/>
      <c r="AT39" s="26" t="n"/>
      <c r="AU39" s="26" t="n"/>
      <c r="AV39" s="25" t="n"/>
      <c r="AW39" s="25" t="n"/>
      <c r="AX39" s="25" t="n"/>
      <c r="AY39" s="25" t="n"/>
      <c r="AZ39" s="25" t="n"/>
      <c r="BA39" s="26" t="n"/>
      <c r="BB39" s="26" t="n"/>
      <c r="BC39" s="25" t="n"/>
      <c r="BD39" s="25" t="n"/>
      <c r="BE39" s="25" t="n"/>
      <c r="BF39" s="25" t="n"/>
      <c r="BG39" s="25" t="n"/>
      <c r="BH39" s="26" t="n"/>
      <c r="BI39" s="26" t="n"/>
      <c r="BJ39" s="25" t="n"/>
      <c r="BK39" s="25" t="n"/>
      <c r="BL39" s="25" t="n"/>
      <c r="BM39" s="25" t="n"/>
      <c r="BN39" s="25" t="n"/>
      <c r="BO39" s="26" t="n"/>
      <c r="BP39" s="26" t="n"/>
      <c r="BQ39" s="25" t="n"/>
      <c r="BR39" s="27" t="n"/>
      <c r="BS39" s="25" t="n"/>
      <c r="BT39" s="25" t="n"/>
      <c r="BU39" s="25" t="n"/>
      <c r="BV39" s="26" t="n"/>
      <c r="BW39" s="26" t="n"/>
      <c r="BX39" s="34" t="n"/>
      <c r="BY39" s="34" t="n"/>
      <c r="BZ39" s="34" t="n"/>
      <c r="CA39" s="25" t="n"/>
      <c r="CB39" s="27" t="n"/>
    </row>
    <row r="40" ht="42" customHeight="1">
      <c r="A40" s="33" t="inlineStr">
        <is>
          <t>◆</t>
        </is>
      </c>
      <c r="B40" s="28" t="inlineStr">
        <is>
          <t>RISK-06</t>
        </is>
      </c>
      <c r="C40" s="28" t="inlineStr">
        <is>
          <t>RISK</t>
        </is>
      </c>
      <c r="D40" s="29" t="inlineStr">
        <is>
          <t>Legal/compliance claims and delivery boundary signed off</t>
        </is>
      </c>
      <c r="E40" s="29" t="inlineStr">
        <is>
          <t>Badhri, Tamer</t>
        </is>
      </c>
      <c r="F40" s="28" t="inlineStr">
        <is>
          <t>Badhri</t>
        </is>
      </c>
      <c r="G40" s="30" t="n">
        <v>46237</v>
      </c>
      <c r="H40" s="30" t="n">
        <v>46246</v>
      </c>
      <c r="I40" s="31">
        <f>IF(OR(G40="",H40=""),"",H40-G40+1)</f>
        <v>10</v>
      </c>
      <c r="J40" s="32" t="inlineStr">
        <is>
          <t>Review</t>
        </is>
      </c>
      <c r="K40" s="29" t="inlineStr"/>
      <c r="L40" s="29" t="inlineStr">
        <is>
          <t>No legal-advice claim; live screening, TEA and examiner functions labelled roadmap — Legal and document sources; B1–B4</t>
        </is>
      </c>
      <c r="M40" s="27" t="n"/>
      <c r="N40" s="25" t="n"/>
      <c r="O40" s="25" t="n"/>
      <c r="P40" s="25" t="n"/>
      <c r="Q40" s="25" t="n"/>
      <c r="R40" s="26" t="n"/>
      <c r="S40" s="26" t="n"/>
      <c r="T40" s="25" t="n"/>
      <c r="U40" s="25" t="n"/>
      <c r="V40" s="25" t="n"/>
      <c r="W40" s="25" t="n"/>
      <c r="X40" s="25" t="n"/>
      <c r="Y40" s="26" t="n"/>
      <c r="Z40" s="26" t="n"/>
      <c r="AA40" s="25" t="n"/>
      <c r="AB40" s="25" t="n"/>
      <c r="AC40" s="25" t="n"/>
      <c r="AD40" s="25" t="n"/>
      <c r="AE40" s="25" t="n"/>
      <c r="AF40" s="26" t="n"/>
      <c r="AG40" s="26" t="n"/>
      <c r="AH40" s="25" t="n"/>
      <c r="AI40" s="25" t="n"/>
      <c r="AJ40" s="25" t="n"/>
      <c r="AK40" s="25" t="n"/>
      <c r="AL40" s="25" t="n"/>
      <c r="AM40" s="26" t="n"/>
      <c r="AN40" s="26" t="n"/>
      <c r="AO40" s="25" t="n"/>
      <c r="AP40" s="25" t="n"/>
      <c r="AQ40" s="25" t="n"/>
      <c r="AR40" s="25" t="n"/>
      <c r="AS40" s="25" t="n"/>
      <c r="AT40" s="26" t="n"/>
      <c r="AU40" s="26" t="n"/>
      <c r="AV40" s="25" t="n"/>
      <c r="AW40" s="25" t="n"/>
      <c r="AX40" s="25" t="n"/>
      <c r="AY40" s="25" t="n"/>
      <c r="AZ40" s="25" t="n"/>
      <c r="BA40" s="26" t="n"/>
      <c r="BB40" s="26" t="n"/>
      <c r="BC40" s="25" t="n"/>
      <c r="BD40" s="25" t="n"/>
      <c r="BE40" s="25" t="n"/>
      <c r="BF40" s="25" t="n"/>
      <c r="BG40" s="25" t="n"/>
      <c r="BH40" s="26" t="n"/>
      <c r="BI40" s="26" t="n"/>
      <c r="BJ40" s="25" t="n"/>
      <c r="BK40" s="25" t="n"/>
      <c r="BL40" s="25" t="n"/>
      <c r="BM40" s="25" t="n"/>
      <c r="BN40" s="25" t="n"/>
      <c r="BO40" s="26" t="n"/>
      <c r="BP40" s="26" t="n"/>
      <c r="BQ40" s="34" t="n"/>
      <c r="BR40" s="34" t="n"/>
      <c r="BS40" s="34" t="n"/>
      <c r="BT40" s="34" t="n"/>
      <c r="BU40" s="34" t="n"/>
      <c r="BV40" s="34" t="n"/>
      <c r="BW40" s="34" t="n"/>
      <c r="BX40" s="34" t="n"/>
      <c r="BY40" s="34" t="n"/>
      <c r="BZ40" s="34" t="n"/>
      <c r="CA40" s="25" t="n"/>
      <c r="CB40" s="27" t="n"/>
    </row>
    <row r="41" ht="42" customHeight="1">
      <c r="A41" s="19" t="inlineStr"/>
      <c r="B41" s="19" t="inlineStr">
        <is>
          <t>BUS-03</t>
        </is>
      </c>
      <c r="C41" s="19" t="inlineStr">
        <is>
          <t>BUS</t>
        </is>
      </c>
      <c r="D41" s="20" t="inlineStr">
        <is>
          <t>Competitor analysis verified for pitch use</t>
        </is>
      </c>
      <c r="E41" s="20" t="inlineStr">
        <is>
          <t>Badhri, Mo</t>
        </is>
      </c>
      <c r="F41" s="19" t="inlineStr">
        <is>
          <t>Mo</t>
        </is>
      </c>
      <c r="G41" s="21" t="n">
        <v>46188</v>
      </c>
      <c r="H41" s="21" t="n">
        <v>46246</v>
      </c>
      <c r="I41" s="22">
        <f>IF(OR(G41="",H41=""),"",H41-G41+1)</f>
        <v>59</v>
      </c>
      <c r="J41" s="23" t="inlineStr">
        <is>
          <t>Review</t>
        </is>
      </c>
      <c r="K41" s="20" t="inlineStr"/>
      <c r="L41" s="20" t="inlineStr">
        <is>
          <t>Fees, automation and corridor claims are source-checked and not overstated — docs/Competitor-analysis.md; 9b9601b; T10</t>
        </is>
      </c>
      <c r="M41" s="27" t="n"/>
      <c r="N41" s="25" t="n"/>
      <c r="O41" s="25" t="n"/>
      <c r="P41" s="25" t="n"/>
      <c r="Q41" s="25" t="n"/>
      <c r="R41" s="26" t="n"/>
      <c r="S41" s="26" t="n"/>
      <c r="T41" s="34" t="n"/>
      <c r="U41" s="34" t="n"/>
      <c r="V41" s="34" t="n"/>
      <c r="W41" s="34" t="n"/>
      <c r="X41" s="34" t="n"/>
      <c r="Y41" s="34" t="n"/>
      <c r="Z41" s="34" t="n"/>
      <c r="AA41" s="34" t="n"/>
      <c r="AB41" s="34" t="n"/>
      <c r="AC41" s="34" t="n"/>
      <c r="AD41" s="34" t="n"/>
      <c r="AE41" s="34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34" t="n"/>
      <c r="AQ41" s="34" t="n"/>
      <c r="AR41" s="34" t="n"/>
      <c r="AS41" s="34" t="n"/>
      <c r="AT41" s="34" t="n"/>
      <c r="AU41" s="34" t="n"/>
      <c r="AV41" s="34" t="n"/>
      <c r="AW41" s="34" t="n"/>
      <c r="AX41" s="34" t="n"/>
      <c r="AY41" s="34" t="n"/>
      <c r="AZ41" s="34" t="n"/>
      <c r="BA41" s="34" t="n"/>
      <c r="BB41" s="34" t="n"/>
      <c r="BC41" s="34" t="n"/>
      <c r="BD41" s="34" t="n"/>
      <c r="BE41" s="34" t="n"/>
      <c r="BF41" s="34" t="n"/>
      <c r="BG41" s="34" t="n"/>
      <c r="BH41" s="34" t="n"/>
      <c r="BI41" s="34" t="n"/>
      <c r="BJ41" s="34" t="n"/>
      <c r="BK41" s="34" t="n"/>
      <c r="BL41" s="34" t="n"/>
      <c r="BM41" s="34" t="n"/>
      <c r="BN41" s="34" t="n"/>
      <c r="BO41" s="34" t="n"/>
      <c r="BP41" s="34" t="n"/>
      <c r="BQ41" s="34" t="n"/>
      <c r="BR41" s="34" t="n"/>
      <c r="BS41" s="34" t="n"/>
      <c r="BT41" s="34" t="n"/>
      <c r="BU41" s="34" t="n"/>
      <c r="BV41" s="34" t="n"/>
      <c r="BW41" s="34" t="n"/>
      <c r="BX41" s="34" t="n"/>
      <c r="BY41" s="34" t="n"/>
      <c r="BZ41" s="34" t="n"/>
      <c r="CA41" s="25" t="n"/>
      <c r="CB41" s="27" t="n"/>
    </row>
    <row r="42" ht="42" customHeight="1">
      <c r="A42" s="28" t="inlineStr"/>
      <c r="B42" s="28" t="inlineStr">
        <is>
          <t>BUS-04</t>
        </is>
      </c>
      <c r="C42" s="28" t="inlineStr">
        <is>
          <t>BUS</t>
        </is>
      </c>
      <c r="D42" s="29" t="inlineStr">
        <is>
          <t>Pricing, unit economics, funding ask and beachhead approved</t>
        </is>
      </c>
      <c r="E42" s="29" t="inlineStr">
        <is>
          <t>Conrad, Mo</t>
        </is>
      </c>
      <c r="F42" s="28" t="inlineStr">
        <is>
          <t>Conrad</t>
        </is>
      </c>
      <c r="G42" s="30" t="n">
        <v>46188</v>
      </c>
      <c r="H42" s="30" t="n">
        <v>46246</v>
      </c>
      <c r="I42" s="31">
        <f>IF(OR(G42="",H42=""),"",H42-G42+1)</f>
        <v>59</v>
      </c>
      <c r="J42" s="32" t="inlineStr">
        <is>
          <t>Review</t>
        </is>
      </c>
      <c r="K42" s="29" t="inlineStr"/>
      <c r="L42" s="29" t="inlineStr">
        <is>
          <t>One assumption set is recorded and used consistently in deck and script — Financial model and customer research; C2–C4/M5/M8</t>
        </is>
      </c>
      <c r="M42" s="27" t="n"/>
      <c r="N42" s="25" t="n"/>
      <c r="O42" s="25" t="n"/>
      <c r="P42" s="25" t="n"/>
      <c r="Q42" s="25" t="n"/>
      <c r="R42" s="26" t="n"/>
      <c r="S42" s="26" t="n"/>
      <c r="T42" s="34" t="n"/>
      <c r="U42" s="34" t="n"/>
      <c r="V42" s="34" t="n"/>
      <c r="W42" s="34" t="n"/>
      <c r="X42" s="34" t="n"/>
      <c r="Y42" s="34" t="n"/>
      <c r="Z42" s="34" t="n"/>
      <c r="AA42" s="34" t="n"/>
      <c r="AB42" s="34" t="n"/>
      <c r="AC42" s="34" t="n"/>
      <c r="AD42" s="34" t="n"/>
      <c r="AE42" s="34" t="n"/>
      <c r="AF42" s="34" t="n"/>
      <c r="AG42" s="34" t="n"/>
      <c r="AH42" s="34" t="n"/>
      <c r="AI42" s="34" t="n"/>
      <c r="AJ42" s="34" t="n"/>
      <c r="AK42" s="34" t="n"/>
      <c r="AL42" s="34" t="n"/>
      <c r="AM42" s="34" t="n"/>
      <c r="AN42" s="34" t="n"/>
      <c r="AO42" s="34" t="n"/>
      <c r="AP42" s="34" t="n"/>
      <c r="AQ42" s="34" t="n"/>
      <c r="AR42" s="34" t="n"/>
      <c r="AS42" s="34" t="n"/>
      <c r="AT42" s="34" t="n"/>
      <c r="AU42" s="34" t="n"/>
      <c r="AV42" s="34" t="n"/>
      <c r="AW42" s="34" t="n"/>
      <c r="AX42" s="34" t="n"/>
      <c r="AY42" s="34" t="n"/>
      <c r="AZ42" s="34" t="n"/>
      <c r="BA42" s="34" t="n"/>
      <c r="BB42" s="34" t="n"/>
      <c r="BC42" s="34" t="n"/>
      <c r="BD42" s="34" t="n"/>
      <c r="BE42" s="34" t="n"/>
      <c r="BF42" s="34" t="n"/>
      <c r="BG42" s="34" t="n"/>
      <c r="BH42" s="34" t="n"/>
      <c r="BI42" s="34" t="n"/>
      <c r="BJ42" s="34" t="n"/>
      <c r="BK42" s="34" t="n"/>
      <c r="BL42" s="34" t="n"/>
      <c r="BM42" s="34" t="n"/>
      <c r="BN42" s="34" t="n"/>
      <c r="BO42" s="34" t="n"/>
      <c r="BP42" s="34" t="n"/>
      <c r="BQ42" s="34" t="n"/>
      <c r="BR42" s="34" t="n"/>
      <c r="BS42" s="34" t="n"/>
      <c r="BT42" s="34" t="n"/>
      <c r="BU42" s="34" t="n"/>
      <c r="BV42" s="34" t="n"/>
      <c r="BW42" s="34" t="n"/>
      <c r="BX42" s="34" t="n"/>
      <c r="BY42" s="34" t="n"/>
      <c r="BZ42" s="34" t="n"/>
      <c r="CA42" s="25" t="n"/>
      <c r="CB42" s="27" t="n"/>
    </row>
    <row r="43" ht="42" customHeight="1">
      <c r="A43" s="19" t="inlineStr"/>
      <c r="B43" s="19" t="inlineStr">
        <is>
          <t>GOV-05</t>
        </is>
      </c>
      <c r="C43" s="19" t="inlineStr">
        <is>
          <t>GOV</t>
        </is>
      </c>
      <c r="D43" s="20" t="inlineStr">
        <is>
          <t>Governance, decision, risk and blocker control maintained through submission</t>
        </is>
      </c>
      <c r="E43" s="20" t="inlineStr">
        <is>
          <t>Tamer, Dan</t>
        </is>
      </c>
      <c r="F43" s="19" t="inlineStr">
        <is>
          <t>Tamer</t>
        </is>
      </c>
      <c r="G43" s="21" t="n">
        <v>46182</v>
      </c>
      <c r="H43" s="21" t="n">
        <v>46248</v>
      </c>
      <c r="I43" s="22">
        <f>IF(OR(G43="",H43=""),"",H43-G43+1)</f>
        <v>67</v>
      </c>
      <c r="J43" s="23" t="inlineStr">
        <is>
          <t>Doing</t>
        </is>
      </c>
      <c r="K43" s="20" t="inlineStr">
        <is>
          <t>All workstreams; T7, T8, D3</t>
        </is>
      </c>
      <c r="L43" s="20" t="inlineStr">
        <is>
          <t>Daily critical-path update; decisions and variances reflected in all reports</t>
        </is>
      </c>
      <c r="M43" s="27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5" t="n"/>
      <c r="AN43" s="35" t="n"/>
      <c r="AO43" s="35" t="n"/>
      <c r="AP43" s="35" t="n"/>
      <c r="AQ43" s="35" t="n"/>
      <c r="AR43" s="35" t="n"/>
      <c r="AS43" s="35" t="n"/>
      <c r="AT43" s="35" t="n"/>
      <c r="AU43" s="35" t="n"/>
      <c r="AV43" s="35" t="n"/>
      <c r="AW43" s="35" t="n"/>
      <c r="AX43" s="35" t="n"/>
      <c r="AY43" s="35" t="n"/>
      <c r="AZ43" s="35" t="n"/>
      <c r="BA43" s="35" t="n"/>
      <c r="BB43" s="35" t="n"/>
      <c r="BC43" s="35" t="n"/>
      <c r="BD43" s="35" t="n"/>
      <c r="BE43" s="35" t="n"/>
      <c r="BF43" s="35" t="n"/>
      <c r="BG43" s="35" t="n"/>
      <c r="BH43" s="35" t="n"/>
      <c r="BI43" s="35" t="n"/>
      <c r="BJ43" s="35" t="n"/>
      <c r="BK43" s="35" t="n"/>
      <c r="BL43" s="35" t="n"/>
      <c r="BM43" s="35" t="n"/>
      <c r="BN43" s="35" t="n"/>
      <c r="BO43" s="35" t="n"/>
      <c r="BP43" s="35" t="n"/>
      <c r="BQ43" s="35" t="n"/>
      <c r="BR43" s="35" t="n"/>
      <c r="BS43" s="35" t="n"/>
      <c r="BT43" s="35" t="n"/>
      <c r="BU43" s="35" t="n"/>
      <c r="BV43" s="35" t="n"/>
      <c r="BW43" s="35" t="n"/>
      <c r="BX43" s="35" t="n"/>
      <c r="BY43" s="35" t="n"/>
      <c r="BZ43" s="35" t="n"/>
      <c r="CA43" s="35" t="n"/>
      <c r="CB43" s="35" t="n"/>
    </row>
    <row r="44" ht="42" customHeight="1">
      <c r="A44" s="33" t="inlineStr">
        <is>
          <t>◆</t>
        </is>
      </c>
      <c r="B44" s="28" t="inlineStr">
        <is>
          <t>UX-04</t>
        </is>
      </c>
      <c r="C44" s="28" t="inlineStr">
        <is>
          <t>UX</t>
        </is>
      </c>
      <c r="D44" s="29" t="inlineStr">
        <is>
          <t>/dashboard approved as the single recorded product route</t>
        </is>
      </c>
      <c r="E44" s="29" t="inlineStr">
        <is>
          <t>Mo, Dan</t>
        </is>
      </c>
      <c r="F44" s="28" t="inlineStr">
        <is>
          <t>Mo</t>
        </is>
      </c>
      <c r="G44" s="30" t="n">
        <v>46237</v>
      </c>
      <c r="H44" s="30" t="n">
        <v>46245</v>
      </c>
      <c r="I44" s="31">
        <f>IF(OR(G44="",H44=""),"",H44-G44+1)</f>
        <v>9</v>
      </c>
      <c r="J44" s="32" t="inlineStr">
        <is>
          <t>Doing</t>
        </is>
      </c>
      <c r="K44" s="29" t="inlineStr">
        <is>
          <t>TEC-09; M1–M3</t>
        </is>
      </c>
      <c r="L44" s="29" t="inlineStr">
        <is>
          <t>Overdue at 12 Aug: team decision, route allowlist, demo accounts and exact click path must be recorded; legacy/dev/admin navigation must be excluded</t>
        </is>
      </c>
      <c r="M44" s="27" t="n"/>
      <c r="N44" s="25" t="n"/>
      <c r="O44" s="25" t="n"/>
      <c r="P44" s="25" t="n"/>
      <c r="Q44" s="25" t="n"/>
      <c r="R44" s="26" t="n"/>
      <c r="S44" s="26" t="n"/>
      <c r="T44" s="25" t="n"/>
      <c r="U44" s="25" t="n"/>
      <c r="V44" s="25" t="n"/>
      <c r="W44" s="25" t="n"/>
      <c r="X44" s="25" t="n"/>
      <c r="Y44" s="26" t="n"/>
      <c r="Z44" s="26" t="n"/>
      <c r="AA44" s="25" t="n"/>
      <c r="AB44" s="25" t="n"/>
      <c r="AC44" s="25" t="n"/>
      <c r="AD44" s="25" t="n"/>
      <c r="AE44" s="25" t="n"/>
      <c r="AF44" s="26" t="n"/>
      <c r="AG44" s="26" t="n"/>
      <c r="AH44" s="25" t="n"/>
      <c r="AI44" s="25" t="n"/>
      <c r="AJ44" s="25" t="n"/>
      <c r="AK44" s="25" t="n"/>
      <c r="AL44" s="25" t="n"/>
      <c r="AM44" s="26" t="n"/>
      <c r="AN44" s="26" t="n"/>
      <c r="AO44" s="25" t="n"/>
      <c r="AP44" s="25" t="n"/>
      <c r="AQ44" s="25" t="n"/>
      <c r="AR44" s="25" t="n"/>
      <c r="AS44" s="25" t="n"/>
      <c r="AT44" s="26" t="n"/>
      <c r="AU44" s="26" t="n"/>
      <c r="AV44" s="25" t="n"/>
      <c r="AW44" s="25" t="n"/>
      <c r="AX44" s="25" t="n"/>
      <c r="AY44" s="25" t="n"/>
      <c r="AZ44" s="25" t="n"/>
      <c r="BA44" s="26" t="n"/>
      <c r="BB44" s="26" t="n"/>
      <c r="BC44" s="25" t="n"/>
      <c r="BD44" s="25" t="n"/>
      <c r="BE44" s="25" t="n"/>
      <c r="BF44" s="25" t="n"/>
      <c r="BG44" s="25" t="n"/>
      <c r="BH44" s="26" t="n"/>
      <c r="BI44" s="26" t="n"/>
      <c r="BJ44" s="25" t="n"/>
      <c r="BK44" s="25" t="n"/>
      <c r="BL44" s="25" t="n"/>
      <c r="BM44" s="25" t="n"/>
      <c r="BN44" s="25" t="n"/>
      <c r="BO44" s="26" t="n"/>
      <c r="BP44" s="26" t="n"/>
      <c r="BQ44" s="35" t="n"/>
      <c r="BR44" s="35" t="n"/>
      <c r="BS44" s="35" t="n"/>
      <c r="BT44" s="35" t="n"/>
      <c r="BU44" s="35" t="n"/>
      <c r="BV44" s="35" t="n"/>
      <c r="BW44" s="35" t="n"/>
      <c r="BX44" s="35" t="n"/>
      <c r="BY44" s="35" t="n"/>
      <c r="BZ44" s="27" t="n"/>
      <c r="CA44" s="25" t="n"/>
      <c r="CB44" s="27" t="n"/>
    </row>
    <row r="45" ht="42" customHeight="1">
      <c r="A45" s="33" t="inlineStr">
        <is>
          <t>◆</t>
        </is>
      </c>
      <c r="B45" s="19" t="inlineStr">
        <is>
          <t>UX-05</t>
        </is>
      </c>
      <c r="C45" s="19" t="inlineStr">
        <is>
          <t>UX</t>
        </is>
      </c>
      <c r="D45" s="20" t="inlineStr">
        <is>
          <t>Demo polish, empty/error states and accessibility pass completed</t>
        </is>
      </c>
      <c r="E45" s="20" t="inlineStr">
        <is>
          <t>Mo</t>
        </is>
      </c>
      <c r="F45" s="19" t="inlineStr">
        <is>
          <t>Mo</t>
        </is>
      </c>
      <c r="G45" s="21" t="n">
        <v>46237</v>
      </c>
      <c r="H45" s="21" t="n">
        <v>46246</v>
      </c>
      <c r="I45" s="22">
        <f>IF(OR(G45="",H45=""),"",H45-G45+1)</f>
        <v>10</v>
      </c>
      <c r="J45" s="23" t="inlineStr">
        <is>
          <t>Doing</t>
        </is>
      </c>
      <c r="K45" s="20" t="inlineStr">
        <is>
          <t>UX-04, TEC-09; M4</t>
        </is>
      </c>
      <c r="L45" s="20" t="inlineStr">
        <is>
          <t>Recorded path has no broken/legacy navigation; key text and states are legible</t>
        </is>
      </c>
      <c r="M45" s="27" t="n"/>
      <c r="N45" s="25" t="n"/>
      <c r="O45" s="25" t="n"/>
      <c r="P45" s="25" t="n"/>
      <c r="Q45" s="25" t="n"/>
      <c r="R45" s="26" t="n"/>
      <c r="S45" s="26" t="n"/>
      <c r="T45" s="25" t="n"/>
      <c r="U45" s="25" t="n"/>
      <c r="V45" s="25" t="n"/>
      <c r="W45" s="25" t="n"/>
      <c r="X45" s="25" t="n"/>
      <c r="Y45" s="26" t="n"/>
      <c r="Z45" s="26" t="n"/>
      <c r="AA45" s="25" t="n"/>
      <c r="AB45" s="25" t="n"/>
      <c r="AC45" s="25" t="n"/>
      <c r="AD45" s="25" t="n"/>
      <c r="AE45" s="25" t="n"/>
      <c r="AF45" s="26" t="n"/>
      <c r="AG45" s="26" t="n"/>
      <c r="AH45" s="25" t="n"/>
      <c r="AI45" s="25" t="n"/>
      <c r="AJ45" s="25" t="n"/>
      <c r="AK45" s="25" t="n"/>
      <c r="AL45" s="25" t="n"/>
      <c r="AM45" s="26" t="n"/>
      <c r="AN45" s="26" t="n"/>
      <c r="AO45" s="25" t="n"/>
      <c r="AP45" s="25" t="n"/>
      <c r="AQ45" s="25" t="n"/>
      <c r="AR45" s="25" t="n"/>
      <c r="AS45" s="25" t="n"/>
      <c r="AT45" s="26" t="n"/>
      <c r="AU45" s="26" t="n"/>
      <c r="AV45" s="25" t="n"/>
      <c r="AW45" s="25" t="n"/>
      <c r="AX45" s="25" t="n"/>
      <c r="AY45" s="25" t="n"/>
      <c r="AZ45" s="25" t="n"/>
      <c r="BA45" s="26" t="n"/>
      <c r="BB45" s="26" t="n"/>
      <c r="BC45" s="25" t="n"/>
      <c r="BD45" s="25" t="n"/>
      <c r="BE45" s="25" t="n"/>
      <c r="BF45" s="25" t="n"/>
      <c r="BG45" s="25" t="n"/>
      <c r="BH45" s="26" t="n"/>
      <c r="BI45" s="26" t="n"/>
      <c r="BJ45" s="25" t="n"/>
      <c r="BK45" s="25" t="n"/>
      <c r="BL45" s="25" t="n"/>
      <c r="BM45" s="25" t="n"/>
      <c r="BN45" s="25" t="n"/>
      <c r="BO45" s="26" t="n"/>
      <c r="BP45" s="26" t="n"/>
      <c r="BQ45" s="35" t="n"/>
      <c r="BR45" s="35" t="n"/>
      <c r="BS45" s="35" t="n"/>
      <c r="BT45" s="35" t="n"/>
      <c r="BU45" s="35" t="n"/>
      <c r="BV45" s="35" t="n"/>
      <c r="BW45" s="35" t="n"/>
      <c r="BX45" s="35" t="n"/>
      <c r="BY45" s="35" t="n"/>
      <c r="BZ45" s="35" t="n"/>
      <c r="CA45" s="25" t="n"/>
      <c r="CB45" s="27" t="n"/>
    </row>
    <row r="46" ht="42" customHeight="1">
      <c r="A46" s="33" t="inlineStr">
        <is>
          <t>◆</t>
        </is>
      </c>
      <c r="B46" s="28" t="inlineStr">
        <is>
          <t>BUS-05</t>
        </is>
      </c>
      <c r="C46" s="28" t="inlineStr">
        <is>
          <t>BUS</t>
        </is>
      </c>
      <c r="D46" s="29" t="inlineStr">
        <is>
          <t>Final real-value and commercial narrative locked</t>
        </is>
      </c>
      <c r="E46" s="29" t="inlineStr">
        <is>
          <t>Conrad, Mo, Tamer</t>
        </is>
      </c>
      <c r="F46" s="28" t="inlineStr">
        <is>
          <t>Conrad</t>
        </is>
      </c>
      <c r="G46" s="30" t="n">
        <v>46230</v>
      </c>
      <c r="H46" s="30" t="n">
        <v>46246</v>
      </c>
      <c r="I46" s="31">
        <f>IF(OR(G46="",H46=""),"",H46-G46+1)</f>
        <v>17</v>
      </c>
      <c r="J46" s="32" t="inlineStr">
        <is>
          <t>Doing</t>
        </is>
      </c>
      <c r="K46" s="29" t="inlineStr">
        <is>
          <t>BUS-03, BUS-04; T2, T9</t>
        </is>
      </c>
      <c r="L46" s="29" t="inlineStr">
        <is>
          <t>Problem, beachhead, differentiation, business model, evidence and ask use one approved story</t>
        </is>
      </c>
      <c r="M46" s="27" t="n"/>
      <c r="N46" s="25" t="n"/>
      <c r="O46" s="25" t="n"/>
      <c r="P46" s="25" t="n"/>
      <c r="Q46" s="25" t="n"/>
      <c r="R46" s="26" t="n"/>
      <c r="S46" s="26" t="n"/>
      <c r="T46" s="25" t="n"/>
      <c r="U46" s="25" t="n"/>
      <c r="V46" s="25" t="n"/>
      <c r="W46" s="25" t="n"/>
      <c r="X46" s="25" t="n"/>
      <c r="Y46" s="26" t="n"/>
      <c r="Z46" s="26" t="n"/>
      <c r="AA46" s="25" t="n"/>
      <c r="AB46" s="25" t="n"/>
      <c r="AC46" s="25" t="n"/>
      <c r="AD46" s="25" t="n"/>
      <c r="AE46" s="25" t="n"/>
      <c r="AF46" s="26" t="n"/>
      <c r="AG46" s="26" t="n"/>
      <c r="AH46" s="25" t="n"/>
      <c r="AI46" s="25" t="n"/>
      <c r="AJ46" s="25" t="n"/>
      <c r="AK46" s="25" t="n"/>
      <c r="AL46" s="25" t="n"/>
      <c r="AM46" s="26" t="n"/>
      <c r="AN46" s="26" t="n"/>
      <c r="AO46" s="25" t="n"/>
      <c r="AP46" s="25" t="n"/>
      <c r="AQ46" s="25" t="n"/>
      <c r="AR46" s="25" t="n"/>
      <c r="AS46" s="25" t="n"/>
      <c r="AT46" s="26" t="n"/>
      <c r="AU46" s="26" t="n"/>
      <c r="AV46" s="25" t="n"/>
      <c r="AW46" s="25" t="n"/>
      <c r="AX46" s="25" t="n"/>
      <c r="AY46" s="25" t="n"/>
      <c r="AZ46" s="25" t="n"/>
      <c r="BA46" s="26" t="n"/>
      <c r="BB46" s="26" t="n"/>
      <c r="BC46" s="25" t="n"/>
      <c r="BD46" s="25" t="n"/>
      <c r="BE46" s="25" t="n"/>
      <c r="BF46" s="25" t="n"/>
      <c r="BG46" s="25" t="n"/>
      <c r="BH46" s="26" t="n"/>
      <c r="BI46" s="26" t="n"/>
      <c r="BJ46" s="35" t="n"/>
      <c r="BK46" s="35" t="n"/>
      <c r="BL46" s="35" t="n"/>
      <c r="BM46" s="35" t="n"/>
      <c r="BN46" s="35" t="n"/>
      <c r="BO46" s="35" t="n"/>
      <c r="BP46" s="35" t="n"/>
      <c r="BQ46" s="35" t="n"/>
      <c r="BR46" s="35" t="n"/>
      <c r="BS46" s="35" t="n"/>
      <c r="BT46" s="35" t="n"/>
      <c r="BU46" s="35" t="n"/>
      <c r="BV46" s="35" t="n"/>
      <c r="BW46" s="35" t="n"/>
      <c r="BX46" s="35" t="n"/>
      <c r="BY46" s="35" t="n"/>
      <c r="BZ46" s="35" t="n"/>
      <c r="CA46" s="25" t="n"/>
      <c r="CB46" s="27" t="n"/>
    </row>
    <row r="47" ht="42" customHeight="1">
      <c r="A47" s="33" t="inlineStr">
        <is>
          <t>◆</t>
        </is>
      </c>
      <c r="B47" s="19" t="inlineStr">
        <is>
          <t>BUS-07</t>
        </is>
      </c>
      <c r="C47" s="19" t="inlineStr">
        <is>
          <t>BUS</t>
        </is>
      </c>
      <c r="D47" s="20" t="inlineStr">
        <is>
          <t>Evidence-aligned BMC v2 approved for final pitch</t>
        </is>
      </c>
      <c r="E47" s="20" t="inlineStr">
        <is>
          <t>Conrad, Tamer, Mo, Badhri</t>
        </is>
      </c>
      <c r="F47" s="19" t="inlineStr">
        <is>
          <t>Conrad</t>
        </is>
      </c>
      <c r="G47" s="21" t="n">
        <v>46246</v>
      </c>
      <c r="H47" s="21" t="n">
        <v>46246</v>
      </c>
      <c r="I47" s="22">
        <f>IF(OR(G47="",H47=""),"",H47-G47+1)</f>
        <v>1</v>
      </c>
      <c r="J47" s="23" t="inlineStr">
        <is>
          <t>Doing</t>
        </is>
      </c>
      <c r="K47" s="20" t="inlineStr">
        <is>
          <t>BUS-03, BUS-04, BUS-06; T2</t>
        </is>
      </c>
      <c r="L47" s="20" t="inlineStr">
        <is>
          <t>Zero float: close before SUB-01 or remove unresolved BMC claims; narrow beachhead, financing distinction, minimum-plus-% fee and delivered/roadmap split required</t>
        </is>
      </c>
      <c r="M47" s="27" t="n"/>
      <c r="N47" s="25" t="n"/>
      <c r="O47" s="25" t="n"/>
      <c r="P47" s="25" t="n"/>
      <c r="Q47" s="25" t="n"/>
      <c r="R47" s="26" t="n"/>
      <c r="S47" s="26" t="n"/>
      <c r="T47" s="25" t="n"/>
      <c r="U47" s="25" t="n"/>
      <c r="V47" s="25" t="n"/>
      <c r="W47" s="25" t="n"/>
      <c r="X47" s="25" t="n"/>
      <c r="Y47" s="26" t="n"/>
      <c r="Z47" s="26" t="n"/>
      <c r="AA47" s="25" t="n"/>
      <c r="AB47" s="25" t="n"/>
      <c r="AC47" s="25" t="n"/>
      <c r="AD47" s="25" t="n"/>
      <c r="AE47" s="25" t="n"/>
      <c r="AF47" s="26" t="n"/>
      <c r="AG47" s="26" t="n"/>
      <c r="AH47" s="25" t="n"/>
      <c r="AI47" s="25" t="n"/>
      <c r="AJ47" s="25" t="n"/>
      <c r="AK47" s="25" t="n"/>
      <c r="AL47" s="25" t="n"/>
      <c r="AM47" s="26" t="n"/>
      <c r="AN47" s="26" t="n"/>
      <c r="AO47" s="25" t="n"/>
      <c r="AP47" s="25" t="n"/>
      <c r="AQ47" s="25" t="n"/>
      <c r="AR47" s="25" t="n"/>
      <c r="AS47" s="25" t="n"/>
      <c r="AT47" s="26" t="n"/>
      <c r="AU47" s="26" t="n"/>
      <c r="AV47" s="25" t="n"/>
      <c r="AW47" s="25" t="n"/>
      <c r="AX47" s="25" t="n"/>
      <c r="AY47" s="25" t="n"/>
      <c r="AZ47" s="25" t="n"/>
      <c r="BA47" s="26" t="n"/>
      <c r="BB47" s="26" t="n"/>
      <c r="BC47" s="25" t="n"/>
      <c r="BD47" s="25" t="n"/>
      <c r="BE47" s="25" t="n"/>
      <c r="BF47" s="25" t="n"/>
      <c r="BG47" s="25" t="n"/>
      <c r="BH47" s="26" t="n"/>
      <c r="BI47" s="26" t="n"/>
      <c r="BJ47" s="25" t="n"/>
      <c r="BK47" s="25" t="n"/>
      <c r="BL47" s="25" t="n"/>
      <c r="BM47" s="25" t="n"/>
      <c r="BN47" s="25" t="n"/>
      <c r="BO47" s="26" t="n"/>
      <c r="BP47" s="26" t="n"/>
      <c r="BQ47" s="25" t="n"/>
      <c r="BR47" s="27" t="n"/>
      <c r="BS47" s="25" t="n"/>
      <c r="BT47" s="25" t="n"/>
      <c r="BU47" s="25" t="n"/>
      <c r="BV47" s="26" t="n"/>
      <c r="BW47" s="26" t="n"/>
      <c r="BX47" s="25" t="n"/>
      <c r="BY47" s="27" t="n"/>
      <c r="BZ47" s="35" t="n"/>
      <c r="CA47" s="25" t="n"/>
      <c r="CB47" s="27" t="n"/>
    </row>
    <row r="48" ht="42" customHeight="1">
      <c r="A48" s="33" t="inlineStr">
        <is>
          <t>◆</t>
        </is>
      </c>
      <c r="B48" s="28" t="inlineStr">
        <is>
          <t>SUB-01</t>
        </is>
      </c>
      <c r="C48" s="28" t="inlineStr">
        <is>
          <t>SUB</t>
        </is>
      </c>
      <c r="D48" s="29" t="inlineStr">
        <is>
          <t>Five-minute deck and timed script locked</t>
        </is>
      </c>
      <c r="E48" s="29" t="inlineStr">
        <is>
          <t>Tamer, all leads</t>
        </is>
      </c>
      <c r="F48" s="28" t="inlineStr">
        <is>
          <t>Tamer</t>
        </is>
      </c>
      <c r="G48" s="30" t="n">
        <v>46230</v>
      </c>
      <c r="H48" s="30" t="n">
        <v>46246</v>
      </c>
      <c r="I48" s="31">
        <f>IF(OR(G48="",H48=""),"",H48-G48+1)</f>
        <v>17</v>
      </c>
      <c r="J48" s="32" t="inlineStr">
        <is>
          <t>Doing</t>
        </is>
      </c>
      <c r="K48" s="29" t="inlineStr">
        <is>
          <t>PRD-04, RISK-06, BUS-05; D4</t>
        </is>
      </c>
      <c r="L48" s="29" t="inlineStr">
        <is>
          <t>Script is under five minutes and weights real value above technical detail</t>
        </is>
      </c>
      <c r="M48" s="27" t="n"/>
      <c r="N48" s="25" t="n"/>
      <c r="O48" s="25" t="n"/>
      <c r="P48" s="25" t="n"/>
      <c r="Q48" s="25" t="n"/>
      <c r="R48" s="26" t="n"/>
      <c r="S48" s="26" t="n"/>
      <c r="T48" s="25" t="n"/>
      <c r="U48" s="25" t="n"/>
      <c r="V48" s="25" t="n"/>
      <c r="W48" s="25" t="n"/>
      <c r="X48" s="25" t="n"/>
      <c r="Y48" s="26" t="n"/>
      <c r="Z48" s="26" t="n"/>
      <c r="AA48" s="25" t="n"/>
      <c r="AB48" s="25" t="n"/>
      <c r="AC48" s="25" t="n"/>
      <c r="AD48" s="25" t="n"/>
      <c r="AE48" s="25" t="n"/>
      <c r="AF48" s="26" t="n"/>
      <c r="AG48" s="26" t="n"/>
      <c r="AH48" s="25" t="n"/>
      <c r="AI48" s="25" t="n"/>
      <c r="AJ48" s="25" t="n"/>
      <c r="AK48" s="25" t="n"/>
      <c r="AL48" s="25" t="n"/>
      <c r="AM48" s="26" t="n"/>
      <c r="AN48" s="26" t="n"/>
      <c r="AO48" s="25" t="n"/>
      <c r="AP48" s="25" t="n"/>
      <c r="AQ48" s="25" t="n"/>
      <c r="AR48" s="25" t="n"/>
      <c r="AS48" s="25" t="n"/>
      <c r="AT48" s="26" t="n"/>
      <c r="AU48" s="26" t="n"/>
      <c r="AV48" s="25" t="n"/>
      <c r="AW48" s="25" t="n"/>
      <c r="AX48" s="25" t="n"/>
      <c r="AY48" s="25" t="n"/>
      <c r="AZ48" s="25" t="n"/>
      <c r="BA48" s="26" t="n"/>
      <c r="BB48" s="26" t="n"/>
      <c r="BC48" s="25" t="n"/>
      <c r="BD48" s="25" t="n"/>
      <c r="BE48" s="25" t="n"/>
      <c r="BF48" s="25" t="n"/>
      <c r="BG48" s="25" t="n"/>
      <c r="BH48" s="26" t="n"/>
      <c r="BI48" s="26" t="n"/>
      <c r="BJ48" s="35" t="n"/>
      <c r="BK48" s="35" t="n"/>
      <c r="BL48" s="35" t="n"/>
      <c r="BM48" s="35" t="n"/>
      <c r="BN48" s="35" t="n"/>
      <c r="BO48" s="35" t="n"/>
      <c r="BP48" s="35" t="n"/>
      <c r="BQ48" s="35" t="n"/>
      <c r="BR48" s="35" t="n"/>
      <c r="BS48" s="35" t="n"/>
      <c r="BT48" s="35" t="n"/>
      <c r="BU48" s="35" t="n"/>
      <c r="BV48" s="35" t="n"/>
      <c r="BW48" s="35" t="n"/>
      <c r="BX48" s="35" t="n"/>
      <c r="BY48" s="35" t="n"/>
      <c r="BZ48" s="35" t="n"/>
      <c r="CA48" s="25" t="n"/>
      <c r="CB48" s="27" t="n"/>
    </row>
    <row r="49" ht="42" customHeight="1">
      <c r="A49" s="33" t="inlineStr">
        <is>
          <t>◆</t>
        </is>
      </c>
      <c r="B49" s="19" t="inlineStr">
        <is>
          <t>SUB-02</t>
        </is>
      </c>
      <c r="C49" s="19" t="inlineStr">
        <is>
          <t>SUB</t>
        </is>
      </c>
      <c r="D49" s="20" t="inlineStr">
        <is>
          <t>Deterministic demo runbook and seed/reset procedure completed</t>
        </is>
      </c>
      <c r="E49" s="20" t="inlineStr">
        <is>
          <t>Dan, Nick</t>
        </is>
      </c>
      <c r="F49" s="19" t="inlineStr">
        <is>
          <t>Dan</t>
        </is>
      </c>
      <c r="G49" s="21" t="n">
        <v>46237</v>
      </c>
      <c r="H49" s="21" t="n">
        <v>46246</v>
      </c>
      <c r="I49" s="22">
        <f>IF(OR(G49="",H49=""),"",H49-G49+1)</f>
        <v>10</v>
      </c>
      <c r="J49" s="23" t="inlineStr">
        <is>
          <t>To Do</t>
        </is>
      </c>
      <c r="K49" s="20" t="inlineStr">
        <is>
          <t>TEC-09, UX-04; D4</t>
        </is>
      </c>
      <c r="L49" s="20" t="inlineStr">
        <is>
          <t>Another member can reproduce the happy path without improvisation</t>
        </is>
      </c>
      <c r="M49" s="27" t="n"/>
      <c r="N49" s="25" t="n"/>
      <c r="O49" s="25" t="n"/>
      <c r="P49" s="25" t="n"/>
      <c r="Q49" s="25" t="n"/>
      <c r="R49" s="26" t="n"/>
      <c r="S49" s="26" t="n"/>
      <c r="T49" s="25" t="n"/>
      <c r="U49" s="25" t="n"/>
      <c r="V49" s="25" t="n"/>
      <c r="W49" s="25" t="n"/>
      <c r="X49" s="25" t="n"/>
      <c r="Y49" s="26" t="n"/>
      <c r="Z49" s="26" t="n"/>
      <c r="AA49" s="25" t="n"/>
      <c r="AB49" s="25" t="n"/>
      <c r="AC49" s="25" t="n"/>
      <c r="AD49" s="25" t="n"/>
      <c r="AE49" s="25" t="n"/>
      <c r="AF49" s="26" t="n"/>
      <c r="AG49" s="26" t="n"/>
      <c r="AH49" s="25" t="n"/>
      <c r="AI49" s="25" t="n"/>
      <c r="AJ49" s="25" t="n"/>
      <c r="AK49" s="25" t="n"/>
      <c r="AL49" s="25" t="n"/>
      <c r="AM49" s="26" t="n"/>
      <c r="AN49" s="26" t="n"/>
      <c r="AO49" s="25" t="n"/>
      <c r="AP49" s="25" t="n"/>
      <c r="AQ49" s="25" t="n"/>
      <c r="AR49" s="25" t="n"/>
      <c r="AS49" s="25" t="n"/>
      <c r="AT49" s="26" t="n"/>
      <c r="AU49" s="26" t="n"/>
      <c r="AV49" s="25" t="n"/>
      <c r="AW49" s="25" t="n"/>
      <c r="AX49" s="25" t="n"/>
      <c r="AY49" s="25" t="n"/>
      <c r="AZ49" s="25" t="n"/>
      <c r="BA49" s="26" t="n"/>
      <c r="BB49" s="26" t="n"/>
      <c r="BC49" s="25" t="n"/>
      <c r="BD49" s="25" t="n"/>
      <c r="BE49" s="25" t="n"/>
      <c r="BF49" s="25" t="n"/>
      <c r="BG49" s="25" t="n"/>
      <c r="BH49" s="26" t="n"/>
      <c r="BI49" s="26" t="n"/>
      <c r="BJ49" s="25" t="n"/>
      <c r="BK49" s="25" t="n"/>
      <c r="BL49" s="25" t="n"/>
      <c r="BM49" s="25" t="n"/>
      <c r="BN49" s="25" t="n"/>
      <c r="BO49" s="26" t="n"/>
      <c r="BP49" s="26" t="n"/>
      <c r="BQ49" s="36" t="n"/>
      <c r="BR49" s="36" t="n"/>
      <c r="BS49" s="36" t="n"/>
      <c r="BT49" s="36" t="n"/>
      <c r="BU49" s="36" t="n"/>
      <c r="BV49" s="36" t="n"/>
      <c r="BW49" s="36" t="n"/>
      <c r="BX49" s="36" t="n"/>
      <c r="BY49" s="36" t="n"/>
      <c r="BZ49" s="36" t="n"/>
      <c r="CA49" s="25" t="n"/>
      <c r="CB49" s="27" t="n"/>
    </row>
    <row r="50" ht="42" customHeight="1">
      <c r="A50" s="37" t="inlineStr">
        <is>
          <t>●</t>
        </is>
      </c>
      <c r="B50" s="28" t="inlineStr">
        <is>
          <t>SUB-03</t>
        </is>
      </c>
      <c r="C50" s="28" t="inlineStr">
        <is>
          <t>SUB</t>
        </is>
      </c>
      <c r="D50" s="29" t="inlineStr">
        <is>
          <t>Two cold end-to-end rehearsals completed</t>
        </is>
      </c>
      <c r="E50" s="29" t="inlineStr">
        <is>
          <t>Dan, Mo</t>
        </is>
      </c>
      <c r="F50" s="28" t="inlineStr">
        <is>
          <t>Dan</t>
        </is>
      </c>
      <c r="G50" s="30" t="n">
        <v>46244</v>
      </c>
      <c r="H50" s="30" t="n">
        <v>46247</v>
      </c>
      <c r="I50" s="31">
        <f>IF(OR(G50="",H50=""),"",H50-G50+1)</f>
        <v>4</v>
      </c>
      <c r="J50" s="32" t="inlineStr">
        <is>
          <t>To Do</t>
        </is>
      </c>
      <c r="K50" s="29" t="inlineStr">
        <is>
          <t>SUB-01, SUB-02</t>
        </is>
      </c>
      <c r="L50" s="29" t="inlineStr">
        <is>
          <t>Both runs complete within the timed allocation; defects and workarounds logged</t>
        </is>
      </c>
      <c r="M50" s="27" t="n"/>
      <c r="N50" s="25" t="n"/>
      <c r="O50" s="25" t="n"/>
      <c r="P50" s="25" t="n"/>
      <c r="Q50" s="25" t="n"/>
      <c r="R50" s="26" t="n"/>
      <c r="S50" s="26" t="n"/>
      <c r="T50" s="25" t="n"/>
      <c r="U50" s="25" t="n"/>
      <c r="V50" s="25" t="n"/>
      <c r="W50" s="25" t="n"/>
      <c r="X50" s="25" t="n"/>
      <c r="Y50" s="26" t="n"/>
      <c r="Z50" s="26" t="n"/>
      <c r="AA50" s="25" t="n"/>
      <c r="AB50" s="25" t="n"/>
      <c r="AC50" s="25" t="n"/>
      <c r="AD50" s="25" t="n"/>
      <c r="AE50" s="25" t="n"/>
      <c r="AF50" s="26" t="n"/>
      <c r="AG50" s="26" t="n"/>
      <c r="AH50" s="25" t="n"/>
      <c r="AI50" s="25" t="n"/>
      <c r="AJ50" s="25" t="n"/>
      <c r="AK50" s="25" t="n"/>
      <c r="AL50" s="25" t="n"/>
      <c r="AM50" s="26" t="n"/>
      <c r="AN50" s="26" t="n"/>
      <c r="AO50" s="25" t="n"/>
      <c r="AP50" s="25" t="n"/>
      <c r="AQ50" s="25" t="n"/>
      <c r="AR50" s="25" t="n"/>
      <c r="AS50" s="25" t="n"/>
      <c r="AT50" s="26" t="n"/>
      <c r="AU50" s="26" t="n"/>
      <c r="AV50" s="25" t="n"/>
      <c r="AW50" s="25" t="n"/>
      <c r="AX50" s="25" t="n"/>
      <c r="AY50" s="25" t="n"/>
      <c r="AZ50" s="25" t="n"/>
      <c r="BA50" s="26" t="n"/>
      <c r="BB50" s="26" t="n"/>
      <c r="BC50" s="25" t="n"/>
      <c r="BD50" s="25" t="n"/>
      <c r="BE50" s="25" t="n"/>
      <c r="BF50" s="25" t="n"/>
      <c r="BG50" s="25" t="n"/>
      <c r="BH50" s="26" t="n"/>
      <c r="BI50" s="26" t="n"/>
      <c r="BJ50" s="25" t="n"/>
      <c r="BK50" s="25" t="n"/>
      <c r="BL50" s="25" t="n"/>
      <c r="BM50" s="25" t="n"/>
      <c r="BN50" s="25" t="n"/>
      <c r="BO50" s="26" t="n"/>
      <c r="BP50" s="26" t="n"/>
      <c r="BQ50" s="25" t="n"/>
      <c r="BR50" s="27" t="n"/>
      <c r="BS50" s="25" t="n"/>
      <c r="BT50" s="25" t="n"/>
      <c r="BU50" s="25" t="n"/>
      <c r="BV50" s="26" t="n"/>
      <c r="BW50" s="26" t="n"/>
      <c r="BX50" s="36" t="n"/>
      <c r="BY50" s="36" t="n"/>
      <c r="BZ50" s="36" t="n"/>
      <c r="CA50" s="36" t="n"/>
      <c r="CB50" s="27" t="n"/>
    </row>
    <row r="51" ht="42" customHeight="1">
      <c r="A51" s="38" t="inlineStr">
        <is>
          <t>●</t>
        </is>
      </c>
      <c r="B51" s="19" t="inlineStr">
        <is>
          <t>SUB-04</t>
        </is>
      </c>
      <c r="C51" s="19" t="inlineStr">
        <is>
          <t>SUB</t>
        </is>
      </c>
      <c r="D51" s="20" t="inlineStr">
        <is>
          <t>Primary presentation recorded, edited and captioned</t>
        </is>
      </c>
      <c r="E51" s="20" t="inlineStr">
        <is>
          <t>Dan, Mo, Tamer</t>
        </is>
      </c>
      <c r="F51" s="19" t="inlineStr">
        <is>
          <t>Dan</t>
        </is>
      </c>
      <c r="G51" s="21" t="n">
        <v>46246</v>
      </c>
      <c r="H51" s="21" t="n">
        <v>46247</v>
      </c>
      <c r="I51" s="22">
        <f>IF(OR(G51="",H51=""),"",H51-G51+1)</f>
        <v>2</v>
      </c>
      <c r="J51" s="23" t="inlineStr">
        <is>
          <t>To Do</t>
        </is>
      </c>
      <c r="K51" s="20" t="inlineStr">
        <is>
          <t>SUB-03</t>
        </is>
      </c>
      <c r="L51" s="20" t="inlineStr">
        <is>
          <t>Final render is clear, below five minutes and uses approved product claims</t>
        </is>
      </c>
      <c r="M51" s="27" t="n"/>
      <c r="N51" s="25" t="n"/>
      <c r="O51" s="25" t="n"/>
      <c r="P51" s="25" t="n"/>
      <c r="Q51" s="25" t="n"/>
      <c r="R51" s="26" t="n"/>
      <c r="S51" s="26" t="n"/>
      <c r="T51" s="25" t="n"/>
      <c r="U51" s="25" t="n"/>
      <c r="V51" s="25" t="n"/>
      <c r="W51" s="25" t="n"/>
      <c r="X51" s="25" t="n"/>
      <c r="Y51" s="26" t="n"/>
      <c r="Z51" s="26" t="n"/>
      <c r="AA51" s="25" t="n"/>
      <c r="AB51" s="25" t="n"/>
      <c r="AC51" s="25" t="n"/>
      <c r="AD51" s="25" t="n"/>
      <c r="AE51" s="25" t="n"/>
      <c r="AF51" s="26" t="n"/>
      <c r="AG51" s="26" t="n"/>
      <c r="AH51" s="25" t="n"/>
      <c r="AI51" s="25" t="n"/>
      <c r="AJ51" s="25" t="n"/>
      <c r="AK51" s="25" t="n"/>
      <c r="AL51" s="25" t="n"/>
      <c r="AM51" s="26" t="n"/>
      <c r="AN51" s="26" t="n"/>
      <c r="AO51" s="25" t="n"/>
      <c r="AP51" s="25" t="n"/>
      <c r="AQ51" s="25" t="n"/>
      <c r="AR51" s="25" t="n"/>
      <c r="AS51" s="25" t="n"/>
      <c r="AT51" s="26" t="n"/>
      <c r="AU51" s="26" t="n"/>
      <c r="AV51" s="25" t="n"/>
      <c r="AW51" s="25" t="n"/>
      <c r="AX51" s="25" t="n"/>
      <c r="AY51" s="25" t="n"/>
      <c r="AZ51" s="25" t="n"/>
      <c r="BA51" s="26" t="n"/>
      <c r="BB51" s="26" t="n"/>
      <c r="BC51" s="25" t="n"/>
      <c r="BD51" s="25" t="n"/>
      <c r="BE51" s="25" t="n"/>
      <c r="BF51" s="25" t="n"/>
      <c r="BG51" s="25" t="n"/>
      <c r="BH51" s="26" t="n"/>
      <c r="BI51" s="26" t="n"/>
      <c r="BJ51" s="25" t="n"/>
      <c r="BK51" s="25" t="n"/>
      <c r="BL51" s="25" t="n"/>
      <c r="BM51" s="25" t="n"/>
      <c r="BN51" s="25" t="n"/>
      <c r="BO51" s="26" t="n"/>
      <c r="BP51" s="26" t="n"/>
      <c r="BQ51" s="25" t="n"/>
      <c r="BR51" s="27" t="n"/>
      <c r="BS51" s="25" t="n"/>
      <c r="BT51" s="25" t="n"/>
      <c r="BU51" s="25" t="n"/>
      <c r="BV51" s="26" t="n"/>
      <c r="BW51" s="26" t="n"/>
      <c r="BX51" s="25" t="n"/>
      <c r="BY51" s="27" t="n"/>
      <c r="BZ51" s="36" t="n"/>
      <c r="CA51" s="36" t="n"/>
      <c r="CB51" s="27" t="n"/>
    </row>
    <row r="52" ht="42" customHeight="1">
      <c r="A52" s="37" t="inlineStr">
        <is>
          <t>●</t>
        </is>
      </c>
      <c r="B52" s="28" t="inlineStr">
        <is>
          <t>SUB-05</t>
        </is>
      </c>
      <c r="C52" s="28" t="inlineStr">
        <is>
          <t>SUB</t>
        </is>
      </c>
      <c r="D52" s="29" t="inlineStr">
        <is>
          <t>Fallback demo recording retained</t>
        </is>
      </c>
      <c r="E52" s="29" t="inlineStr">
        <is>
          <t>Dan, Nick</t>
        </is>
      </c>
      <c r="F52" s="28" t="inlineStr">
        <is>
          <t>Dan</t>
        </is>
      </c>
      <c r="G52" s="30" t="n">
        <v>46246</v>
      </c>
      <c r="H52" s="30" t="n">
        <v>46247</v>
      </c>
      <c r="I52" s="31">
        <f>IF(OR(G52="",H52=""),"",H52-G52+1)</f>
        <v>2</v>
      </c>
      <c r="J52" s="32" t="inlineStr">
        <is>
          <t>To Do</t>
        </is>
      </c>
      <c r="K52" s="29" t="inlineStr">
        <is>
          <t>SUB-02, TEC-09</t>
        </is>
      </c>
      <c r="L52" s="29" t="inlineStr">
        <is>
          <t>Standalone fallback opens and shows the approved workflow</t>
        </is>
      </c>
      <c r="M52" s="27" t="n"/>
      <c r="N52" s="25" t="n"/>
      <c r="O52" s="25" t="n"/>
      <c r="P52" s="25" t="n"/>
      <c r="Q52" s="25" t="n"/>
      <c r="R52" s="26" t="n"/>
      <c r="S52" s="26" t="n"/>
      <c r="T52" s="25" t="n"/>
      <c r="U52" s="25" t="n"/>
      <c r="V52" s="25" t="n"/>
      <c r="W52" s="25" t="n"/>
      <c r="X52" s="25" t="n"/>
      <c r="Y52" s="26" t="n"/>
      <c r="Z52" s="26" t="n"/>
      <c r="AA52" s="25" t="n"/>
      <c r="AB52" s="25" t="n"/>
      <c r="AC52" s="25" t="n"/>
      <c r="AD52" s="25" t="n"/>
      <c r="AE52" s="25" t="n"/>
      <c r="AF52" s="26" t="n"/>
      <c r="AG52" s="26" t="n"/>
      <c r="AH52" s="25" t="n"/>
      <c r="AI52" s="25" t="n"/>
      <c r="AJ52" s="25" t="n"/>
      <c r="AK52" s="25" t="n"/>
      <c r="AL52" s="25" t="n"/>
      <c r="AM52" s="26" t="n"/>
      <c r="AN52" s="26" t="n"/>
      <c r="AO52" s="25" t="n"/>
      <c r="AP52" s="25" t="n"/>
      <c r="AQ52" s="25" t="n"/>
      <c r="AR52" s="25" t="n"/>
      <c r="AS52" s="25" t="n"/>
      <c r="AT52" s="26" t="n"/>
      <c r="AU52" s="26" t="n"/>
      <c r="AV52" s="25" t="n"/>
      <c r="AW52" s="25" t="n"/>
      <c r="AX52" s="25" t="n"/>
      <c r="AY52" s="25" t="n"/>
      <c r="AZ52" s="25" t="n"/>
      <c r="BA52" s="26" t="n"/>
      <c r="BB52" s="26" t="n"/>
      <c r="BC52" s="25" t="n"/>
      <c r="BD52" s="25" t="n"/>
      <c r="BE52" s="25" t="n"/>
      <c r="BF52" s="25" t="n"/>
      <c r="BG52" s="25" t="n"/>
      <c r="BH52" s="26" t="n"/>
      <c r="BI52" s="26" t="n"/>
      <c r="BJ52" s="25" t="n"/>
      <c r="BK52" s="25" t="n"/>
      <c r="BL52" s="25" t="n"/>
      <c r="BM52" s="25" t="n"/>
      <c r="BN52" s="25" t="n"/>
      <c r="BO52" s="26" t="n"/>
      <c r="BP52" s="26" t="n"/>
      <c r="BQ52" s="25" t="n"/>
      <c r="BR52" s="27" t="n"/>
      <c r="BS52" s="25" t="n"/>
      <c r="BT52" s="25" t="n"/>
      <c r="BU52" s="25" t="n"/>
      <c r="BV52" s="26" t="n"/>
      <c r="BW52" s="26" t="n"/>
      <c r="BX52" s="25" t="n"/>
      <c r="BY52" s="27" t="n"/>
      <c r="BZ52" s="36" t="n"/>
      <c r="CA52" s="36" t="n"/>
      <c r="CB52" s="27" t="n"/>
    </row>
    <row r="53" ht="42" customHeight="1">
      <c r="A53" s="38" t="inlineStr">
        <is>
          <t>●</t>
        </is>
      </c>
      <c r="B53" s="19" t="inlineStr">
        <is>
          <t>SUB-06</t>
        </is>
      </c>
      <c r="C53" s="19" t="inlineStr">
        <is>
          <t>SUB</t>
        </is>
      </c>
      <c r="D53" s="20" t="inlineStr">
        <is>
          <t>Video link, PDF and permission QA completed independently</t>
        </is>
      </c>
      <c r="E53" s="20" t="inlineStr">
        <is>
          <t>Tamer, independent checker (TBD)</t>
        </is>
      </c>
      <c r="F53" s="19" t="inlineStr">
        <is>
          <t>Tamer</t>
        </is>
      </c>
      <c r="G53" s="21" t="n">
        <v>46247</v>
      </c>
      <c r="H53" s="21" t="n">
        <v>46248</v>
      </c>
      <c r="I53" s="22">
        <f>IF(OR(G53="",H53=""),"",H53-G53+1)</f>
        <v>2</v>
      </c>
      <c r="J53" s="23" t="inlineStr">
        <is>
          <t>To Do</t>
        </is>
      </c>
      <c r="K53" s="20" t="inlineStr">
        <is>
          <t>SUB-04, SUB-05</t>
        </is>
      </c>
      <c r="L53" s="20" t="inlineStr">
        <is>
          <t>Link works in private browser; PDF renders; filename and permissions pass</t>
        </is>
      </c>
      <c r="M53" s="27" t="n"/>
      <c r="N53" s="25" t="n"/>
      <c r="O53" s="25" t="n"/>
      <c r="P53" s="25" t="n"/>
      <c r="Q53" s="25" t="n"/>
      <c r="R53" s="26" t="n"/>
      <c r="S53" s="26" t="n"/>
      <c r="T53" s="25" t="n"/>
      <c r="U53" s="25" t="n"/>
      <c r="V53" s="25" t="n"/>
      <c r="W53" s="25" t="n"/>
      <c r="X53" s="25" t="n"/>
      <c r="Y53" s="26" t="n"/>
      <c r="Z53" s="26" t="n"/>
      <c r="AA53" s="25" t="n"/>
      <c r="AB53" s="25" t="n"/>
      <c r="AC53" s="25" t="n"/>
      <c r="AD53" s="25" t="n"/>
      <c r="AE53" s="25" t="n"/>
      <c r="AF53" s="26" t="n"/>
      <c r="AG53" s="26" t="n"/>
      <c r="AH53" s="25" t="n"/>
      <c r="AI53" s="25" t="n"/>
      <c r="AJ53" s="25" t="n"/>
      <c r="AK53" s="25" t="n"/>
      <c r="AL53" s="25" t="n"/>
      <c r="AM53" s="26" t="n"/>
      <c r="AN53" s="26" t="n"/>
      <c r="AO53" s="25" t="n"/>
      <c r="AP53" s="25" t="n"/>
      <c r="AQ53" s="25" t="n"/>
      <c r="AR53" s="25" t="n"/>
      <c r="AS53" s="25" t="n"/>
      <c r="AT53" s="26" t="n"/>
      <c r="AU53" s="26" t="n"/>
      <c r="AV53" s="25" t="n"/>
      <c r="AW53" s="25" t="n"/>
      <c r="AX53" s="25" t="n"/>
      <c r="AY53" s="25" t="n"/>
      <c r="AZ53" s="25" t="n"/>
      <c r="BA53" s="26" t="n"/>
      <c r="BB53" s="26" t="n"/>
      <c r="BC53" s="25" t="n"/>
      <c r="BD53" s="25" t="n"/>
      <c r="BE53" s="25" t="n"/>
      <c r="BF53" s="25" t="n"/>
      <c r="BG53" s="25" t="n"/>
      <c r="BH53" s="26" t="n"/>
      <c r="BI53" s="26" t="n"/>
      <c r="BJ53" s="25" t="n"/>
      <c r="BK53" s="25" t="n"/>
      <c r="BL53" s="25" t="n"/>
      <c r="BM53" s="25" t="n"/>
      <c r="BN53" s="25" t="n"/>
      <c r="BO53" s="26" t="n"/>
      <c r="BP53" s="26" t="n"/>
      <c r="BQ53" s="25" t="n"/>
      <c r="BR53" s="27" t="n"/>
      <c r="BS53" s="25" t="n"/>
      <c r="BT53" s="25" t="n"/>
      <c r="BU53" s="25" t="n"/>
      <c r="BV53" s="26" t="n"/>
      <c r="BW53" s="26" t="n"/>
      <c r="BX53" s="25" t="n"/>
      <c r="BY53" s="27" t="n"/>
      <c r="BZ53" s="27" t="n"/>
      <c r="CA53" s="36" t="n"/>
      <c r="CB53" s="36" t="n"/>
    </row>
    <row r="54" ht="42" customHeight="1">
      <c r="A54" s="37" t="inlineStr">
        <is>
          <t>●</t>
        </is>
      </c>
      <c r="B54" s="28" t="inlineStr">
        <is>
          <t>SUB-07</t>
        </is>
      </c>
      <c r="C54" s="28" t="inlineStr">
        <is>
          <t>SUB</t>
        </is>
      </c>
      <c r="D54" s="29" t="inlineStr">
        <is>
          <t>Main group video submission completed</t>
        </is>
      </c>
      <c r="E54" s="29" t="inlineStr">
        <is>
          <t>Tamer</t>
        </is>
      </c>
      <c r="F54" s="28" t="inlineStr">
        <is>
          <t>Tamer</t>
        </is>
      </c>
      <c r="G54" s="30" t="n">
        <v>46248</v>
      </c>
      <c r="H54" s="30" t="n">
        <v>46248</v>
      </c>
      <c r="I54" s="31">
        <f>IF(OR(G54="",H54=""),"",H54-G54+1)</f>
        <v>1</v>
      </c>
      <c r="J54" s="32" t="inlineStr">
        <is>
          <t>To Do</t>
        </is>
      </c>
      <c r="K54" s="29" t="inlineStr">
        <is>
          <t>SUB-06</t>
        </is>
      </c>
      <c r="L54" s="29" t="inlineStr">
        <is>
          <t>Submission receipt and final artifacts preserved</t>
        </is>
      </c>
      <c r="M54" s="27" t="n"/>
      <c r="N54" s="25" t="n"/>
      <c r="O54" s="25" t="n"/>
      <c r="P54" s="25" t="n"/>
      <c r="Q54" s="25" t="n"/>
      <c r="R54" s="26" t="n"/>
      <c r="S54" s="26" t="n"/>
      <c r="T54" s="25" t="n"/>
      <c r="U54" s="25" t="n"/>
      <c r="V54" s="25" t="n"/>
      <c r="W54" s="25" t="n"/>
      <c r="X54" s="25" t="n"/>
      <c r="Y54" s="26" t="n"/>
      <c r="Z54" s="26" t="n"/>
      <c r="AA54" s="25" t="n"/>
      <c r="AB54" s="25" t="n"/>
      <c r="AC54" s="25" t="n"/>
      <c r="AD54" s="25" t="n"/>
      <c r="AE54" s="25" t="n"/>
      <c r="AF54" s="26" t="n"/>
      <c r="AG54" s="26" t="n"/>
      <c r="AH54" s="25" t="n"/>
      <c r="AI54" s="25" t="n"/>
      <c r="AJ54" s="25" t="n"/>
      <c r="AK54" s="25" t="n"/>
      <c r="AL54" s="25" t="n"/>
      <c r="AM54" s="26" t="n"/>
      <c r="AN54" s="26" t="n"/>
      <c r="AO54" s="25" t="n"/>
      <c r="AP54" s="25" t="n"/>
      <c r="AQ54" s="25" t="n"/>
      <c r="AR54" s="25" t="n"/>
      <c r="AS54" s="25" t="n"/>
      <c r="AT54" s="26" t="n"/>
      <c r="AU54" s="26" t="n"/>
      <c r="AV54" s="25" t="n"/>
      <c r="AW54" s="25" t="n"/>
      <c r="AX54" s="25" t="n"/>
      <c r="AY54" s="25" t="n"/>
      <c r="AZ54" s="25" t="n"/>
      <c r="BA54" s="26" t="n"/>
      <c r="BB54" s="26" t="n"/>
      <c r="BC54" s="25" t="n"/>
      <c r="BD54" s="25" t="n"/>
      <c r="BE54" s="25" t="n"/>
      <c r="BF54" s="25" t="n"/>
      <c r="BG54" s="25" t="n"/>
      <c r="BH54" s="26" t="n"/>
      <c r="BI54" s="26" t="n"/>
      <c r="BJ54" s="25" t="n"/>
      <c r="BK54" s="25" t="n"/>
      <c r="BL54" s="25" t="n"/>
      <c r="BM54" s="25" t="n"/>
      <c r="BN54" s="25" t="n"/>
      <c r="BO54" s="26" t="n"/>
      <c r="BP54" s="26" t="n"/>
      <c r="BQ54" s="25" t="n"/>
      <c r="BR54" s="27" t="n"/>
      <c r="BS54" s="25" t="n"/>
      <c r="BT54" s="25" t="n"/>
      <c r="BU54" s="25" t="n"/>
      <c r="BV54" s="26" t="n"/>
      <c r="BW54" s="26" t="n"/>
      <c r="BX54" s="25" t="n"/>
      <c r="BY54" s="27" t="n"/>
      <c r="BZ54" s="27" t="n"/>
      <c r="CA54" s="25" t="n"/>
      <c r="CB54" s="36" t="n"/>
    </row>
    <row r="55" ht="42" customHeight="1">
      <c r="A55" s="39" t="inlineStr"/>
      <c r="B55" s="39" t="inlineStr">
        <is>
          <t>DEF-01</t>
        </is>
      </c>
      <c r="C55" s="39" t="inlineStr">
        <is>
          <t>Deferred</t>
        </is>
      </c>
      <c r="D55" s="40" t="inlineStr">
        <is>
          <t>AI/OCR document extraction</t>
        </is>
      </c>
      <c r="E55" s="40" t="inlineStr"/>
      <c r="F55" s="39" t="inlineStr"/>
      <c r="G55" s="41" t="n"/>
      <c r="H55" s="41" t="n"/>
      <c r="I55" s="42" t="str">
        <f>IF(OR(G55="",H55=""),"",H55-G55+1)</f>
        <v/>
      </c>
      <c r="J55" s="43" t="inlineStr">
        <is>
          <t>Deferred</t>
        </is>
      </c>
      <c r="K55" s="40" t="inlineStr"/>
      <c r="L55" s="40" t="inlineStr">
        <is>
          <t>Not required for a credible deterministic prototype; delivered claim would be misleading — Extraction accuracy evaluation, failure handling and integrated acceptance</t>
        </is>
      </c>
      <c r="M55" s="27" t="n"/>
      <c r="N55" s="25" t="n"/>
      <c r="O55" s="25" t="n"/>
      <c r="P55" s="25" t="n"/>
      <c r="Q55" s="25" t="n"/>
      <c r="R55" s="26" t="n"/>
      <c r="S55" s="26" t="n"/>
      <c r="T55" s="25" t="n"/>
      <c r="U55" s="25" t="n"/>
      <c r="V55" s="25" t="n"/>
      <c r="W55" s="25" t="n"/>
      <c r="X55" s="25" t="n"/>
      <c r="Y55" s="26" t="n"/>
      <c r="Z55" s="26" t="n"/>
      <c r="AA55" s="25" t="n"/>
      <c r="AB55" s="25" t="n"/>
      <c r="AC55" s="25" t="n"/>
      <c r="AD55" s="25" t="n"/>
      <c r="AE55" s="25" t="n"/>
      <c r="AF55" s="26" t="n"/>
      <c r="AG55" s="26" t="n"/>
      <c r="AH55" s="25" t="n"/>
      <c r="AI55" s="25" t="n"/>
      <c r="AJ55" s="25" t="n"/>
      <c r="AK55" s="25" t="n"/>
      <c r="AL55" s="25" t="n"/>
      <c r="AM55" s="26" t="n"/>
      <c r="AN55" s="26" t="n"/>
      <c r="AO55" s="25" t="n"/>
      <c r="AP55" s="25" t="n"/>
      <c r="AQ55" s="25" t="n"/>
      <c r="AR55" s="25" t="n"/>
      <c r="AS55" s="25" t="n"/>
      <c r="AT55" s="26" t="n"/>
      <c r="AU55" s="26" t="n"/>
      <c r="AV55" s="25" t="n"/>
      <c r="AW55" s="25" t="n"/>
      <c r="AX55" s="25" t="n"/>
      <c r="AY55" s="25" t="n"/>
      <c r="AZ55" s="25" t="n"/>
      <c r="BA55" s="26" t="n"/>
      <c r="BB55" s="26" t="n"/>
      <c r="BC55" s="25" t="n"/>
      <c r="BD55" s="25" t="n"/>
      <c r="BE55" s="25" t="n"/>
      <c r="BF55" s="25" t="n"/>
      <c r="BG55" s="25" t="n"/>
      <c r="BH55" s="26" t="n"/>
      <c r="BI55" s="26" t="n"/>
      <c r="BJ55" s="25" t="n"/>
      <c r="BK55" s="25" t="n"/>
      <c r="BL55" s="25" t="n"/>
      <c r="BM55" s="25" t="n"/>
      <c r="BN55" s="25" t="n"/>
      <c r="BO55" s="26" t="n"/>
      <c r="BP55" s="26" t="n"/>
      <c r="BQ55" s="25" t="n"/>
      <c r="BR55" s="27" t="n"/>
      <c r="BS55" s="25" t="n"/>
      <c r="BT55" s="25" t="n"/>
      <c r="BU55" s="25" t="n"/>
      <c r="BV55" s="26" t="n"/>
      <c r="BW55" s="26" t="n"/>
      <c r="BX55" s="25" t="n"/>
      <c r="BY55" s="27" t="n"/>
      <c r="BZ55" s="27" t="n"/>
      <c r="CA55" s="25" t="n"/>
      <c r="CB55" s="27" t="n"/>
    </row>
    <row r="56" ht="42" customHeight="1">
      <c r="A56" s="39" t="inlineStr"/>
      <c r="B56" s="39" t="inlineStr">
        <is>
          <t>DEF-02</t>
        </is>
      </c>
      <c r="C56" s="39" t="inlineStr">
        <is>
          <t>Deferred</t>
        </is>
      </c>
      <c r="D56" s="40" t="inlineStr">
        <is>
          <t>Live KYC/KYB and sanctions providers</t>
        </is>
      </c>
      <c r="E56" s="40" t="inlineStr"/>
      <c r="F56" s="39" t="inlineStr"/>
      <c r="G56" s="41" t="n"/>
      <c r="H56" s="41" t="n"/>
      <c r="I56" s="42" t="str">
        <f>IF(OR(G56="",H56=""),"",H56-G56+1)</f>
        <v/>
      </c>
      <c r="J56" s="43" t="inlineStr">
        <is>
          <t>Deferred</t>
        </is>
      </c>
      <c r="K56" s="40" t="inlineStr"/>
      <c r="L56" s="40" t="inlineStr">
        <is>
          <t>Provider, jurisdiction and operational responsibilities are unresolved — Provider selection, contracts, test environment and compliance approval</t>
        </is>
      </c>
      <c r="M56" s="27" t="n"/>
      <c r="N56" s="25" t="n"/>
      <c r="O56" s="25" t="n"/>
      <c r="P56" s="25" t="n"/>
      <c r="Q56" s="25" t="n"/>
      <c r="R56" s="26" t="n"/>
      <c r="S56" s="26" t="n"/>
      <c r="T56" s="25" t="n"/>
      <c r="U56" s="25" t="n"/>
      <c r="V56" s="25" t="n"/>
      <c r="W56" s="25" t="n"/>
      <c r="X56" s="25" t="n"/>
      <c r="Y56" s="26" t="n"/>
      <c r="Z56" s="26" t="n"/>
      <c r="AA56" s="25" t="n"/>
      <c r="AB56" s="25" t="n"/>
      <c r="AC56" s="25" t="n"/>
      <c r="AD56" s="25" t="n"/>
      <c r="AE56" s="25" t="n"/>
      <c r="AF56" s="26" t="n"/>
      <c r="AG56" s="26" t="n"/>
      <c r="AH56" s="25" t="n"/>
      <c r="AI56" s="25" t="n"/>
      <c r="AJ56" s="25" t="n"/>
      <c r="AK56" s="25" t="n"/>
      <c r="AL56" s="25" t="n"/>
      <c r="AM56" s="26" t="n"/>
      <c r="AN56" s="26" t="n"/>
      <c r="AO56" s="25" t="n"/>
      <c r="AP56" s="25" t="n"/>
      <c r="AQ56" s="25" t="n"/>
      <c r="AR56" s="25" t="n"/>
      <c r="AS56" s="25" t="n"/>
      <c r="AT56" s="26" t="n"/>
      <c r="AU56" s="26" t="n"/>
      <c r="AV56" s="25" t="n"/>
      <c r="AW56" s="25" t="n"/>
      <c r="AX56" s="25" t="n"/>
      <c r="AY56" s="25" t="n"/>
      <c r="AZ56" s="25" t="n"/>
      <c r="BA56" s="26" t="n"/>
      <c r="BB56" s="26" t="n"/>
      <c r="BC56" s="25" t="n"/>
      <c r="BD56" s="25" t="n"/>
      <c r="BE56" s="25" t="n"/>
      <c r="BF56" s="25" t="n"/>
      <c r="BG56" s="25" t="n"/>
      <c r="BH56" s="26" t="n"/>
      <c r="BI56" s="26" t="n"/>
      <c r="BJ56" s="25" t="n"/>
      <c r="BK56" s="25" t="n"/>
      <c r="BL56" s="25" t="n"/>
      <c r="BM56" s="25" t="n"/>
      <c r="BN56" s="25" t="n"/>
      <c r="BO56" s="26" t="n"/>
      <c r="BP56" s="26" t="n"/>
      <c r="BQ56" s="25" t="n"/>
      <c r="BR56" s="27" t="n"/>
      <c r="BS56" s="25" t="n"/>
      <c r="BT56" s="25" t="n"/>
      <c r="BU56" s="25" t="n"/>
      <c r="BV56" s="26" t="n"/>
      <c r="BW56" s="26" t="n"/>
      <c r="BX56" s="25" t="n"/>
      <c r="BY56" s="27" t="n"/>
      <c r="BZ56" s="27" t="n"/>
      <c r="CA56" s="25" t="n"/>
      <c r="CB56" s="27" t="n"/>
    </row>
    <row r="57" ht="42" customHeight="1">
      <c r="A57" s="39" t="inlineStr"/>
      <c r="B57" s="39" t="inlineStr">
        <is>
          <t>DEF-03</t>
        </is>
      </c>
      <c r="C57" s="39" t="inlineStr">
        <is>
          <t>Deferred</t>
        </is>
      </c>
      <c r="D57" s="40" t="inlineStr">
        <is>
          <t>Generated or counsel-approved Trade Escrow Agreement</t>
        </is>
      </c>
      <c r="E57" s="40" t="inlineStr"/>
      <c r="F57" s="39" t="inlineStr"/>
      <c r="G57" s="41" t="n"/>
      <c r="H57" s="41" t="n"/>
      <c r="I57" s="42" t="str">
        <f>IF(OR(G57="",H57=""),"",H57-G57+1)</f>
        <v/>
      </c>
      <c r="J57" s="43" t="inlineStr">
        <is>
          <t>Deferred</t>
        </is>
      </c>
      <c r="K57" s="40" t="inlineStr"/>
      <c r="L57" s="40" t="inlineStr">
        <is>
          <t>Legal wrapper is not production-ready — Jurisdiction choice, qualified legal review and signed operating model</t>
        </is>
      </c>
      <c r="M57" s="27" t="n"/>
      <c r="N57" s="25" t="n"/>
      <c r="O57" s="25" t="n"/>
      <c r="P57" s="25" t="n"/>
      <c r="Q57" s="25" t="n"/>
      <c r="R57" s="26" t="n"/>
      <c r="S57" s="26" t="n"/>
      <c r="T57" s="25" t="n"/>
      <c r="U57" s="25" t="n"/>
      <c r="V57" s="25" t="n"/>
      <c r="W57" s="25" t="n"/>
      <c r="X57" s="25" t="n"/>
      <c r="Y57" s="26" t="n"/>
      <c r="Z57" s="26" t="n"/>
      <c r="AA57" s="25" t="n"/>
      <c r="AB57" s="25" t="n"/>
      <c r="AC57" s="25" t="n"/>
      <c r="AD57" s="25" t="n"/>
      <c r="AE57" s="25" t="n"/>
      <c r="AF57" s="26" t="n"/>
      <c r="AG57" s="26" t="n"/>
      <c r="AH57" s="25" t="n"/>
      <c r="AI57" s="25" t="n"/>
      <c r="AJ57" s="25" t="n"/>
      <c r="AK57" s="25" t="n"/>
      <c r="AL57" s="25" t="n"/>
      <c r="AM57" s="26" t="n"/>
      <c r="AN57" s="26" t="n"/>
      <c r="AO57" s="25" t="n"/>
      <c r="AP57" s="25" t="n"/>
      <c r="AQ57" s="25" t="n"/>
      <c r="AR57" s="25" t="n"/>
      <c r="AS57" s="25" t="n"/>
      <c r="AT57" s="26" t="n"/>
      <c r="AU57" s="26" t="n"/>
      <c r="AV57" s="25" t="n"/>
      <c r="AW57" s="25" t="n"/>
      <c r="AX57" s="25" t="n"/>
      <c r="AY57" s="25" t="n"/>
      <c r="AZ57" s="25" t="n"/>
      <c r="BA57" s="26" t="n"/>
      <c r="BB57" s="26" t="n"/>
      <c r="BC57" s="25" t="n"/>
      <c r="BD57" s="25" t="n"/>
      <c r="BE57" s="25" t="n"/>
      <c r="BF57" s="25" t="n"/>
      <c r="BG57" s="25" t="n"/>
      <c r="BH57" s="26" t="n"/>
      <c r="BI57" s="26" t="n"/>
      <c r="BJ57" s="25" t="n"/>
      <c r="BK57" s="25" t="n"/>
      <c r="BL57" s="25" t="n"/>
      <c r="BM57" s="25" t="n"/>
      <c r="BN57" s="25" t="n"/>
      <c r="BO57" s="26" t="n"/>
      <c r="BP57" s="26" t="n"/>
      <c r="BQ57" s="25" t="n"/>
      <c r="BR57" s="27" t="n"/>
      <c r="BS57" s="25" t="n"/>
      <c r="BT57" s="25" t="n"/>
      <c r="BU57" s="25" t="n"/>
      <c r="BV57" s="26" t="n"/>
      <c r="BW57" s="26" t="n"/>
      <c r="BX57" s="25" t="n"/>
      <c r="BY57" s="27" t="n"/>
      <c r="BZ57" s="27" t="n"/>
      <c r="CA57" s="25" t="n"/>
      <c r="CB57" s="27" t="n"/>
    </row>
    <row r="58" ht="42" customHeight="1">
      <c r="A58" s="39" t="inlineStr"/>
      <c r="B58" s="39" t="inlineStr">
        <is>
          <t>DEF-04</t>
        </is>
      </c>
      <c r="C58" s="39" t="inlineStr">
        <is>
          <t>Deferred</t>
        </is>
      </c>
      <c r="D58" s="40" t="inlineStr">
        <is>
          <t>Human document-examiner console and network</t>
        </is>
      </c>
      <c r="E58" s="40" t="inlineStr"/>
      <c r="F58" s="39" t="inlineStr"/>
      <c r="G58" s="41" t="n"/>
      <c r="H58" s="41" t="n"/>
      <c r="I58" s="42" t="str">
        <f>IF(OR(G58="",H58=""),"",H58-G58+1)</f>
        <v/>
      </c>
      <c r="J58" s="43" t="inlineStr">
        <is>
          <t>Deferred</t>
        </is>
      </c>
      <c r="K58" s="40" t="inlineStr"/>
      <c r="L58" s="40" t="inlineStr">
        <is>
          <t>Research exists but the operating service is not delivered — SOP, permissions, audit model, staffing and tested console</t>
        </is>
      </c>
      <c r="M58" s="27" t="n"/>
      <c r="N58" s="25" t="n"/>
      <c r="O58" s="25" t="n"/>
      <c r="P58" s="25" t="n"/>
      <c r="Q58" s="25" t="n"/>
      <c r="R58" s="26" t="n"/>
      <c r="S58" s="26" t="n"/>
      <c r="T58" s="25" t="n"/>
      <c r="U58" s="25" t="n"/>
      <c r="V58" s="25" t="n"/>
      <c r="W58" s="25" t="n"/>
      <c r="X58" s="25" t="n"/>
      <c r="Y58" s="26" t="n"/>
      <c r="Z58" s="26" t="n"/>
      <c r="AA58" s="25" t="n"/>
      <c r="AB58" s="25" t="n"/>
      <c r="AC58" s="25" t="n"/>
      <c r="AD58" s="25" t="n"/>
      <c r="AE58" s="25" t="n"/>
      <c r="AF58" s="26" t="n"/>
      <c r="AG58" s="26" t="n"/>
      <c r="AH58" s="25" t="n"/>
      <c r="AI58" s="25" t="n"/>
      <c r="AJ58" s="25" t="n"/>
      <c r="AK58" s="25" t="n"/>
      <c r="AL58" s="25" t="n"/>
      <c r="AM58" s="26" t="n"/>
      <c r="AN58" s="26" t="n"/>
      <c r="AO58" s="25" t="n"/>
      <c r="AP58" s="25" t="n"/>
      <c r="AQ58" s="25" t="n"/>
      <c r="AR58" s="25" t="n"/>
      <c r="AS58" s="25" t="n"/>
      <c r="AT58" s="26" t="n"/>
      <c r="AU58" s="26" t="n"/>
      <c r="AV58" s="25" t="n"/>
      <c r="AW58" s="25" t="n"/>
      <c r="AX58" s="25" t="n"/>
      <c r="AY58" s="25" t="n"/>
      <c r="AZ58" s="25" t="n"/>
      <c r="BA58" s="26" t="n"/>
      <c r="BB58" s="26" t="n"/>
      <c r="BC58" s="25" t="n"/>
      <c r="BD58" s="25" t="n"/>
      <c r="BE58" s="25" t="n"/>
      <c r="BF58" s="25" t="n"/>
      <c r="BG58" s="25" t="n"/>
      <c r="BH58" s="26" t="n"/>
      <c r="BI58" s="26" t="n"/>
      <c r="BJ58" s="25" t="n"/>
      <c r="BK58" s="25" t="n"/>
      <c r="BL58" s="25" t="n"/>
      <c r="BM58" s="25" t="n"/>
      <c r="BN58" s="25" t="n"/>
      <c r="BO58" s="26" t="n"/>
      <c r="BP58" s="26" t="n"/>
      <c r="BQ58" s="25" t="n"/>
      <c r="BR58" s="27" t="n"/>
      <c r="BS58" s="25" t="n"/>
      <c r="BT58" s="25" t="n"/>
      <c r="BU58" s="25" t="n"/>
      <c r="BV58" s="26" t="n"/>
      <c r="BW58" s="26" t="n"/>
      <c r="BX58" s="25" t="n"/>
      <c r="BY58" s="27" t="n"/>
      <c r="BZ58" s="27" t="n"/>
      <c r="CA58" s="25" t="n"/>
      <c r="CB58" s="27" t="n"/>
    </row>
    <row r="59" ht="42" customHeight="1">
      <c r="A59" s="39" t="inlineStr"/>
      <c r="B59" s="39" t="inlineStr">
        <is>
          <t>DEF-05</t>
        </is>
      </c>
      <c r="C59" s="39" t="inlineStr">
        <is>
          <t>Deferred</t>
        </is>
      </c>
      <c r="D59" s="40" t="inlineStr">
        <is>
          <t>Electronic bill-of-lading title transfer</t>
        </is>
      </c>
      <c r="E59" s="40" t="inlineStr"/>
      <c r="F59" s="39" t="inlineStr"/>
      <c r="G59" s="41" t="n"/>
      <c r="H59" s="41" t="n"/>
      <c r="I59" s="42" t="str">
        <f>IF(OR(G59="",H59=""),"",H59-G59+1)</f>
        <v/>
      </c>
      <c r="J59" s="43" t="inlineStr">
        <is>
          <t>Deferred</t>
        </is>
      </c>
      <c r="K59" s="40" t="inlineStr"/>
      <c r="L59" s="40" t="inlineStr">
        <is>
          <t>Legal and technical scope exceeds the academic MVP — eBL provider/legal framework and end-to-end title controls</t>
        </is>
      </c>
      <c r="M59" s="27" t="n"/>
      <c r="N59" s="25" t="n"/>
      <c r="O59" s="25" t="n"/>
      <c r="P59" s="25" t="n"/>
      <c r="Q59" s="25" t="n"/>
      <c r="R59" s="26" t="n"/>
      <c r="S59" s="26" t="n"/>
      <c r="T59" s="25" t="n"/>
      <c r="U59" s="25" t="n"/>
      <c r="V59" s="25" t="n"/>
      <c r="W59" s="25" t="n"/>
      <c r="X59" s="25" t="n"/>
      <c r="Y59" s="26" t="n"/>
      <c r="Z59" s="26" t="n"/>
      <c r="AA59" s="25" t="n"/>
      <c r="AB59" s="25" t="n"/>
      <c r="AC59" s="25" t="n"/>
      <c r="AD59" s="25" t="n"/>
      <c r="AE59" s="25" t="n"/>
      <c r="AF59" s="26" t="n"/>
      <c r="AG59" s="26" t="n"/>
      <c r="AH59" s="25" t="n"/>
      <c r="AI59" s="25" t="n"/>
      <c r="AJ59" s="25" t="n"/>
      <c r="AK59" s="25" t="n"/>
      <c r="AL59" s="25" t="n"/>
      <c r="AM59" s="26" t="n"/>
      <c r="AN59" s="26" t="n"/>
      <c r="AO59" s="25" t="n"/>
      <c r="AP59" s="25" t="n"/>
      <c r="AQ59" s="25" t="n"/>
      <c r="AR59" s="25" t="n"/>
      <c r="AS59" s="25" t="n"/>
      <c r="AT59" s="26" t="n"/>
      <c r="AU59" s="26" t="n"/>
      <c r="AV59" s="25" t="n"/>
      <c r="AW59" s="25" t="n"/>
      <c r="AX59" s="25" t="n"/>
      <c r="AY59" s="25" t="n"/>
      <c r="AZ59" s="25" t="n"/>
      <c r="BA59" s="26" t="n"/>
      <c r="BB59" s="26" t="n"/>
      <c r="BC59" s="25" t="n"/>
      <c r="BD59" s="25" t="n"/>
      <c r="BE59" s="25" t="n"/>
      <c r="BF59" s="25" t="n"/>
      <c r="BG59" s="25" t="n"/>
      <c r="BH59" s="26" t="n"/>
      <c r="BI59" s="26" t="n"/>
      <c r="BJ59" s="25" t="n"/>
      <c r="BK59" s="25" t="n"/>
      <c r="BL59" s="25" t="n"/>
      <c r="BM59" s="25" t="n"/>
      <c r="BN59" s="25" t="n"/>
      <c r="BO59" s="26" t="n"/>
      <c r="BP59" s="26" t="n"/>
      <c r="BQ59" s="25" t="n"/>
      <c r="BR59" s="27" t="n"/>
      <c r="BS59" s="25" t="n"/>
      <c r="BT59" s="25" t="n"/>
      <c r="BU59" s="25" t="n"/>
      <c r="BV59" s="26" t="n"/>
      <c r="BW59" s="26" t="n"/>
      <c r="BX59" s="25" t="n"/>
      <c r="BY59" s="27" t="n"/>
      <c r="BZ59" s="27" t="n"/>
      <c r="CA59" s="25" t="n"/>
      <c r="CB59" s="27" t="n"/>
    </row>
    <row r="60" ht="42" customHeight="1">
      <c r="A60" s="39" t="inlineStr"/>
      <c r="B60" s="39" t="inlineStr">
        <is>
          <t>DEF-06</t>
        </is>
      </c>
      <c r="C60" s="39" t="inlineStr">
        <is>
          <t>Deferred</t>
        </is>
      </c>
      <c r="D60" s="40" t="inlineStr">
        <is>
          <t>Mainnet, custody and production hardening</t>
        </is>
      </c>
      <c r="E60" s="40" t="inlineStr"/>
      <c r="F60" s="39" t="inlineStr"/>
      <c r="G60" s="41" t="n"/>
      <c r="H60" s="41" t="n"/>
      <c r="I60" s="42" t="str">
        <f>IF(OR(G60="",H60=""),"",H60-G60+1)</f>
        <v/>
      </c>
      <c r="J60" s="43" t="inlineStr">
        <is>
          <t>Deferred</t>
        </is>
      </c>
      <c r="K60" s="40" t="inlineStr"/>
      <c r="L60" s="40" t="inlineStr">
        <is>
          <t>Testnet/local evidence is sufficient for the assessment prototype — Security review, key management, monitoring and production runbook</t>
        </is>
      </c>
      <c r="M60" s="27" t="n"/>
      <c r="N60" s="25" t="n"/>
      <c r="O60" s="25" t="n"/>
      <c r="P60" s="25" t="n"/>
      <c r="Q60" s="25" t="n"/>
      <c r="R60" s="26" t="n"/>
      <c r="S60" s="26" t="n"/>
      <c r="T60" s="25" t="n"/>
      <c r="U60" s="25" t="n"/>
      <c r="V60" s="25" t="n"/>
      <c r="W60" s="25" t="n"/>
      <c r="X60" s="25" t="n"/>
      <c r="Y60" s="26" t="n"/>
      <c r="Z60" s="26" t="n"/>
      <c r="AA60" s="25" t="n"/>
      <c r="AB60" s="25" t="n"/>
      <c r="AC60" s="25" t="n"/>
      <c r="AD60" s="25" t="n"/>
      <c r="AE60" s="25" t="n"/>
      <c r="AF60" s="26" t="n"/>
      <c r="AG60" s="26" t="n"/>
      <c r="AH60" s="25" t="n"/>
      <c r="AI60" s="25" t="n"/>
      <c r="AJ60" s="25" t="n"/>
      <c r="AK60" s="25" t="n"/>
      <c r="AL60" s="25" t="n"/>
      <c r="AM60" s="26" t="n"/>
      <c r="AN60" s="26" t="n"/>
      <c r="AO60" s="25" t="n"/>
      <c r="AP60" s="25" t="n"/>
      <c r="AQ60" s="25" t="n"/>
      <c r="AR60" s="25" t="n"/>
      <c r="AS60" s="25" t="n"/>
      <c r="AT60" s="26" t="n"/>
      <c r="AU60" s="26" t="n"/>
      <c r="AV60" s="25" t="n"/>
      <c r="AW60" s="25" t="n"/>
      <c r="AX60" s="25" t="n"/>
      <c r="AY60" s="25" t="n"/>
      <c r="AZ60" s="25" t="n"/>
      <c r="BA60" s="26" t="n"/>
      <c r="BB60" s="26" t="n"/>
      <c r="BC60" s="25" t="n"/>
      <c r="BD60" s="25" t="n"/>
      <c r="BE60" s="25" t="n"/>
      <c r="BF60" s="25" t="n"/>
      <c r="BG60" s="25" t="n"/>
      <c r="BH60" s="26" t="n"/>
      <c r="BI60" s="26" t="n"/>
      <c r="BJ60" s="25" t="n"/>
      <c r="BK60" s="25" t="n"/>
      <c r="BL60" s="25" t="n"/>
      <c r="BM60" s="25" t="n"/>
      <c r="BN60" s="25" t="n"/>
      <c r="BO60" s="26" t="n"/>
      <c r="BP60" s="26" t="n"/>
      <c r="BQ60" s="25" t="n"/>
      <c r="BR60" s="27" t="n"/>
      <c r="BS60" s="25" t="n"/>
      <c r="BT60" s="25" t="n"/>
      <c r="BU60" s="25" t="n"/>
      <c r="BV60" s="26" t="n"/>
      <c r="BW60" s="26" t="n"/>
      <c r="BX60" s="25" t="n"/>
      <c r="BY60" s="27" t="n"/>
      <c r="BZ60" s="27" t="n"/>
      <c r="CA60" s="25" t="n"/>
      <c r="CB60" s="27" t="n"/>
    </row>
    <row r="61" ht="42" customHeight="1">
      <c r="A61" s="39" t="inlineStr"/>
      <c r="B61" s="39" t="inlineStr">
        <is>
          <t>DEF-07</t>
        </is>
      </c>
      <c r="C61" s="39" t="inlineStr">
        <is>
          <t>Deferred</t>
        </is>
      </c>
      <c r="D61" s="40" t="inlineStr">
        <is>
          <t>Partner logistics, bank and compliance APIs</t>
        </is>
      </c>
      <c r="E61" s="40" t="inlineStr"/>
      <c r="F61" s="39" t="inlineStr"/>
      <c r="G61" s="41" t="n"/>
      <c r="H61" s="41" t="n"/>
      <c r="I61" s="42" t="str">
        <f>IF(OR(G61="",H61=""),"",H61-G61+1)</f>
        <v/>
      </c>
      <c r="J61" s="43" t="inlineStr">
        <is>
          <t>Deferred</t>
        </is>
      </c>
      <c r="K61" s="40" t="inlineStr"/>
      <c r="L61" s="40" t="inlineStr">
        <is>
          <t>External coordination and reliability are outside the submission window — Selected partners, sandbox access, contracts and integration tests</t>
        </is>
      </c>
      <c r="M61" s="27" t="n"/>
      <c r="N61" s="25" t="n"/>
      <c r="O61" s="25" t="n"/>
      <c r="P61" s="25" t="n"/>
      <c r="Q61" s="25" t="n"/>
      <c r="R61" s="26" t="n"/>
      <c r="S61" s="26" t="n"/>
      <c r="T61" s="25" t="n"/>
      <c r="U61" s="25" t="n"/>
      <c r="V61" s="25" t="n"/>
      <c r="W61" s="25" t="n"/>
      <c r="X61" s="25" t="n"/>
      <c r="Y61" s="26" t="n"/>
      <c r="Z61" s="26" t="n"/>
      <c r="AA61" s="25" t="n"/>
      <c r="AB61" s="25" t="n"/>
      <c r="AC61" s="25" t="n"/>
      <c r="AD61" s="25" t="n"/>
      <c r="AE61" s="25" t="n"/>
      <c r="AF61" s="26" t="n"/>
      <c r="AG61" s="26" t="n"/>
      <c r="AH61" s="25" t="n"/>
      <c r="AI61" s="25" t="n"/>
      <c r="AJ61" s="25" t="n"/>
      <c r="AK61" s="25" t="n"/>
      <c r="AL61" s="25" t="n"/>
      <c r="AM61" s="26" t="n"/>
      <c r="AN61" s="26" t="n"/>
      <c r="AO61" s="25" t="n"/>
      <c r="AP61" s="25" t="n"/>
      <c r="AQ61" s="25" t="n"/>
      <c r="AR61" s="25" t="n"/>
      <c r="AS61" s="25" t="n"/>
      <c r="AT61" s="26" t="n"/>
      <c r="AU61" s="26" t="n"/>
      <c r="AV61" s="25" t="n"/>
      <c r="AW61" s="25" t="n"/>
      <c r="AX61" s="25" t="n"/>
      <c r="AY61" s="25" t="n"/>
      <c r="AZ61" s="25" t="n"/>
      <c r="BA61" s="26" t="n"/>
      <c r="BB61" s="26" t="n"/>
      <c r="BC61" s="25" t="n"/>
      <c r="BD61" s="25" t="n"/>
      <c r="BE61" s="25" t="n"/>
      <c r="BF61" s="25" t="n"/>
      <c r="BG61" s="25" t="n"/>
      <c r="BH61" s="26" t="n"/>
      <c r="BI61" s="26" t="n"/>
      <c r="BJ61" s="25" t="n"/>
      <c r="BK61" s="25" t="n"/>
      <c r="BL61" s="25" t="n"/>
      <c r="BM61" s="25" t="n"/>
      <c r="BN61" s="25" t="n"/>
      <c r="BO61" s="26" t="n"/>
      <c r="BP61" s="26" t="n"/>
      <c r="BQ61" s="25" t="n"/>
      <c r="BR61" s="27" t="n"/>
      <c r="BS61" s="25" t="n"/>
      <c r="BT61" s="25" t="n"/>
      <c r="BU61" s="25" t="n"/>
      <c r="BV61" s="26" t="n"/>
      <c r="BW61" s="26" t="n"/>
      <c r="BX61" s="25" t="n"/>
      <c r="BY61" s="27" t="n"/>
      <c r="BZ61" s="27" t="n"/>
      <c r="CA61" s="25" t="n"/>
      <c r="CB61" s="27" t="n"/>
    </row>
    <row r="62" ht="42" customHeight="1">
      <c r="A62" s="39" t="inlineStr"/>
      <c r="B62" s="39" t="inlineStr">
        <is>
          <t>DEF-08</t>
        </is>
      </c>
      <c r="C62" s="39" t="inlineStr">
        <is>
          <t>Deferred</t>
        </is>
      </c>
      <c r="D62" s="40" t="inlineStr">
        <is>
          <t>User-facing multi-agent runtime</t>
        </is>
      </c>
      <c r="E62" s="40" t="inlineStr"/>
      <c r="F62" s="39" t="inlineStr"/>
      <c r="G62" s="41" t="n"/>
      <c r="H62" s="41" t="n"/>
      <c r="I62" s="42" t="str">
        <f>IF(OR(G62="",H62=""),"",H62-G62+1)</f>
        <v/>
      </c>
      <c r="J62" s="43" t="inlineStr">
        <is>
          <t>Deferred</t>
        </is>
      </c>
      <c r="K62" s="40" t="inlineStr"/>
      <c r="L62" s="40" t="inlineStr">
        <is>
          <t>Agent scaffold is not the same as a delivered product runtime — Approved use cases, API integration, safety controls and UX acceptance</t>
        </is>
      </c>
      <c r="M62" s="27" t="n"/>
      <c r="N62" s="25" t="n"/>
      <c r="O62" s="25" t="n"/>
      <c r="P62" s="25" t="n"/>
      <c r="Q62" s="25" t="n"/>
      <c r="R62" s="26" t="n"/>
      <c r="S62" s="26" t="n"/>
      <c r="T62" s="25" t="n"/>
      <c r="U62" s="25" t="n"/>
      <c r="V62" s="25" t="n"/>
      <c r="W62" s="25" t="n"/>
      <c r="X62" s="25" t="n"/>
      <c r="Y62" s="26" t="n"/>
      <c r="Z62" s="26" t="n"/>
      <c r="AA62" s="25" t="n"/>
      <c r="AB62" s="25" t="n"/>
      <c r="AC62" s="25" t="n"/>
      <c r="AD62" s="25" t="n"/>
      <c r="AE62" s="25" t="n"/>
      <c r="AF62" s="26" t="n"/>
      <c r="AG62" s="26" t="n"/>
      <c r="AH62" s="25" t="n"/>
      <c r="AI62" s="25" t="n"/>
      <c r="AJ62" s="25" t="n"/>
      <c r="AK62" s="25" t="n"/>
      <c r="AL62" s="25" t="n"/>
      <c r="AM62" s="26" t="n"/>
      <c r="AN62" s="26" t="n"/>
      <c r="AO62" s="25" t="n"/>
      <c r="AP62" s="25" t="n"/>
      <c r="AQ62" s="25" t="n"/>
      <c r="AR62" s="25" t="n"/>
      <c r="AS62" s="25" t="n"/>
      <c r="AT62" s="26" t="n"/>
      <c r="AU62" s="26" t="n"/>
      <c r="AV62" s="25" t="n"/>
      <c r="AW62" s="25" t="n"/>
      <c r="AX62" s="25" t="n"/>
      <c r="AY62" s="25" t="n"/>
      <c r="AZ62" s="25" t="n"/>
      <c r="BA62" s="26" t="n"/>
      <c r="BB62" s="26" t="n"/>
      <c r="BC62" s="25" t="n"/>
      <c r="BD62" s="25" t="n"/>
      <c r="BE62" s="25" t="n"/>
      <c r="BF62" s="25" t="n"/>
      <c r="BG62" s="25" t="n"/>
      <c r="BH62" s="26" t="n"/>
      <c r="BI62" s="26" t="n"/>
      <c r="BJ62" s="25" t="n"/>
      <c r="BK62" s="25" t="n"/>
      <c r="BL62" s="25" t="n"/>
      <c r="BM62" s="25" t="n"/>
      <c r="BN62" s="25" t="n"/>
      <c r="BO62" s="26" t="n"/>
      <c r="BP62" s="26" t="n"/>
      <c r="BQ62" s="25" t="n"/>
      <c r="BR62" s="27" t="n"/>
      <c r="BS62" s="25" t="n"/>
      <c r="BT62" s="25" t="n"/>
      <c r="BU62" s="25" t="n"/>
      <c r="BV62" s="26" t="n"/>
      <c r="BW62" s="26" t="n"/>
      <c r="BX62" s="25" t="n"/>
      <c r="BY62" s="27" t="n"/>
      <c r="BZ62" s="27" t="n"/>
      <c r="CA62" s="25" t="n"/>
      <c r="CB62" s="27" t="n"/>
    </row>
  </sheetData>
  <autoFilter ref="A10:CB62"/>
  <mergeCells count="18">
    <mergeCell ref="M9:AI9"/>
    <mergeCell ref="A2:CB2"/>
    <mergeCell ref="AJ9:BN9"/>
    <mergeCell ref="BI5:CB6"/>
    <mergeCell ref="A1:CB1"/>
    <mergeCell ref="A5:L6"/>
    <mergeCell ref="BI4:CB4"/>
    <mergeCell ref="A8:L8"/>
    <mergeCell ref="AK5:AV6"/>
    <mergeCell ref="BO9:CB9"/>
    <mergeCell ref="M5:X6"/>
    <mergeCell ref="AK4:AV4"/>
    <mergeCell ref="Y5:AJ6"/>
    <mergeCell ref="M4:X4"/>
    <mergeCell ref="Y4:AJ4"/>
    <mergeCell ref="AW5:BH6"/>
    <mergeCell ref="A4:L4"/>
    <mergeCell ref="AW4:BH4"/>
  </mergeCells>
  <conditionalFormatting sqref="M11:CB62">
    <cfRule type="expression" priority="1" dxfId="0">
      <formula>AND(M$10&gt;=$G11,M$10&lt;=$H11,$J11="Done")</formula>
    </cfRule>
    <cfRule type="expression" priority="2" dxfId="1">
      <formula>AND(M$10&gt;=$G11,M$10&lt;=$H11,$J11="Review")</formula>
    </cfRule>
    <cfRule type="expression" priority="3" dxfId="2">
      <formula>AND(M$10&gt;=$G11,M$10&lt;=$H11,$J11="Doing")</formula>
    </cfRule>
    <cfRule type="expression" priority="4" dxfId="3">
      <formula>AND(M$10&gt;=$G11,M$10&lt;=$H11,$J11="To Do")</formula>
    </cfRule>
    <cfRule type="expression" priority="5" dxfId="4">
      <formula>AND(M$10&gt;=$G11,M$10&lt;=$H11,$J11="Deferred")</formula>
    </cfRule>
  </conditionalFormatting>
  <pageMargins left="0.75" right="0.75" top="1" bottom="1" header="0.5" footer="0.5"/>
  <pageSetup orientation="landscape" paperSize="8" fitToHeight="0" fitToWidth="1"/>
  <headerFooter>
    <oddHeader/>
    <oddFooter>&amp;LSource-controlled governance view — not the obsolete M0–M8 legacy Gantt&amp;CBlockmediary | Status date 12 Aug 2026&amp;RPage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showGridLines="0" zoomScale="85"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24" customWidth="1" min="4" max="4"/>
    <col width="15" customWidth="1" min="5" max="5"/>
    <col width="13" customWidth="1" min="6" max="6"/>
    <col width="13" customWidth="1" min="7" max="7"/>
    <col width="13" customWidth="1" min="8" max="8"/>
    <col width="12" customWidth="1" min="9" max="9"/>
    <col width="11" customWidth="1" min="10" max="10"/>
    <col width="10" customWidth="1" min="11" max="11"/>
    <col width="13" customWidth="1" min="12" max="12"/>
    <col width="32" customWidth="1" min="13" max="13"/>
    <col width="28" customWidth="1" min="14" max="14"/>
    <col width="58" customWidth="1" min="15" max="15"/>
    <col width="14" customWidth="1" min="16" max="16"/>
    <col width="14" customWidth="1" min="17" max="17"/>
    <col width="27" customWidth="1" min="18" max="18"/>
  </cols>
  <sheetData>
    <row r="1" ht="34" customHeight="1">
      <c r="A1" s="1" t="inlineStr">
        <is>
          <t>Blockmediary — Controlled Task Register</t>
        </is>
      </c>
    </row>
    <row r="2" ht="22" customHeight="1">
      <c r="A2" s="2" t="inlineStr">
        <is>
          <t>Auditable 12 August 2026 snapshot | Group work only | Authoritative sources: master project plan, Kanban and RACI v2.1</t>
        </is>
      </c>
    </row>
    <row r="4">
      <c r="A4" s="44" t="inlineStr">
        <is>
          <t>CONTROLLED CARDS</t>
        </is>
      </c>
      <c r="B4" s="4" t="n"/>
      <c r="C4" s="4" t="n"/>
      <c r="D4" s="9" t="inlineStr">
        <is>
          <t>ACTIVE CARDS</t>
        </is>
      </c>
      <c r="E4" s="4" t="n"/>
      <c r="F4" s="4" t="n"/>
      <c r="G4" s="3" t="inlineStr">
        <is>
          <t>DONE</t>
        </is>
      </c>
      <c r="H4" s="4" t="n"/>
      <c r="I4" s="4" t="n"/>
      <c r="J4" s="5" t="inlineStr">
        <is>
          <t>AT ACCEPTANCE</t>
        </is>
      </c>
      <c r="K4" s="4" t="n"/>
      <c r="L4" s="4" t="n"/>
      <c r="M4" s="6" t="inlineStr">
        <is>
          <t>IN FLIGHT</t>
        </is>
      </c>
      <c r="N4" s="4" t="n"/>
      <c r="O4" s="4" t="n"/>
      <c r="P4" s="8" t="inlineStr">
        <is>
          <t>DEFERRED</t>
        </is>
      </c>
      <c r="Q4" s="4" t="n"/>
      <c r="R4" s="4" t="n"/>
    </row>
    <row r="5">
      <c r="A5" s="10">
        <f>COUNTA(A9:A60)</f>
        <v>52</v>
      </c>
      <c r="B5" s="4" t="n"/>
      <c r="C5" s="4" t="n"/>
      <c r="D5" s="10">
        <f>COUNTIF(J9:J60,"&lt;&gt;Deferred")</f>
        <v>44</v>
      </c>
      <c r="E5" s="4" t="n"/>
      <c r="F5" s="4" t="n"/>
      <c r="G5" s="10">
        <f>COUNTIF(J9:J60,"Done")</f>
        <v>24</v>
      </c>
      <c r="H5" s="4" t="n"/>
      <c r="I5" s="4" t="n"/>
      <c r="J5" s="10">
        <f>COUNTIF(J9:J60,"Review")</f>
        <v>8</v>
      </c>
      <c r="K5" s="4" t="n"/>
      <c r="L5" s="4" t="n"/>
      <c r="M5" s="10">
        <f>COUNTIF(J9:J60,"Doing")</f>
        <v>6</v>
      </c>
      <c r="N5" s="4" t="n"/>
      <c r="O5" s="4" t="n"/>
      <c r="P5" s="10">
        <f>COUNTIF(J9:J60,"Deferred")</f>
        <v>8</v>
      </c>
      <c r="Q5" s="4" t="n"/>
      <c r="R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8" ht="32" customHeight="1">
      <c r="A8" s="16" t="inlineStr">
        <is>
          <t>Task ID</t>
        </is>
      </c>
      <c r="B8" s="16" t="inlineStr">
        <is>
          <t>Workstream</t>
        </is>
      </c>
      <c r="C8" s="16" t="inlineStr">
        <is>
          <t>Task / outcome</t>
        </is>
      </c>
      <c r="D8" s="16" t="inlineStr">
        <is>
          <t>Responsible owner(s)</t>
        </is>
      </c>
      <c r="E8" s="16" t="inlineStr">
        <is>
          <t>Accountable</t>
        </is>
      </c>
      <c r="F8" s="16" t="inlineStr">
        <is>
          <t>Baseline start</t>
        </is>
      </c>
      <c r="G8" s="16" t="inlineStr">
        <is>
          <t>Baseline finish</t>
        </is>
      </c>
      <c r="H8" s="16" t="inlineStr">
        <is>
          <t>Current due</t>
        </is>
      </c>
      <c r="I8" s="16" t="inlineStr">
        <is>
          <t>Duration (days)</t>
        </is>
      </c>
      <c r="J8" s="16" t="inlineStr">
        <is>
          <t>Status</t>
        </is>
      </c>
      <c r="K8" s="16" t="inlineStr">
        <is>
          <t>Progress</t>
        </is>
      </c>
      <c r="L8" s="16" t="inlineStr">
        <is>
          <t>Observed date</t>
        </is>
      </c>
      <c r="M8" s="16" t="inlineStr">
        <is>
          <t>Source timing</t>
        </is>
      </c>
      <c r="N8" s="16" t="inlineStr">
        <is>
          <t>Dependencies / aliases</t>
        </is>
      </c>
      <c r="O8" s="16" t="inlineStr">
        <is>
          <t>Acceptance and evidence</t>
        </is>
      </c>
      <c r="P8" s="16" t="inlineStr">
        <is>
          <t>Criticality</t>
        </is>
      </c>
      <c r="Q8" s="16" t="inlineStr">
        <is>
          <t>Overdue control</t>
        </is>
      </c>
      <c r="R8" s="16" t="inlineStr">
        <is>
          <t>Source report</t>
        </is>
      </c>
    </row>
    <row r="9" ht="50" customHeight="1">
      <c r="A9" s="45" t="inlineStr">
        <is>
          <t>GOV-01</t>
        </is>
      </c>
      <c r="B9" s="45" t="inlineStr">
        <is>
          <t>GOV</t>
        </is>
      </c>
      <c r="C9" s="46" t="inlineStr">
        <is>
          <t>Proposal handoff and assessed build gate established</t>
        </is>
      </c>
      <c r="D9" s="46" t="inlineStr">
        <is>
          <t>Tamer</t>
        </is>
      </c>
      <c r="E9" s="45" t="inlineStr">
        <is>
          <t>Tamer</t>
        </is>
      </c>
      <c r="F9" s="47" t="n">
        <v>46181</v>
      </c>
      <c r="G9" s="47" t="n">
        <v>46181</v>
      </c>
      <c r="H9" s="47" t="n"/>
      <c r="I9" s="48">
        <f>IF(F9="","",IF(H9&lt;&gt;"",H9,G9)-F9+1)</f>
        <v>1</v>
      </c>
      <c r="J9" s="49" t="inlineStr">
        <is>
          <t>Done</t>
        </is>
      </c>
      <c r="K9" s="50">
        <f>IFERROR(VLOOKUP(J9,'Milestones &amp; Controls'!$A$39:$B$43,2,FALSE),0)</f>
        <v>1.0</v>
      </c>
      <c r="L9" s="47" t="n">
        <v>46181</v>
      </c>
      <c r="M9" s="46" t="inlineStr">
        <is>
          <t>Planned: 8 Jun | Observed: 8 Jun</t>
        </is>
      </c>
      <c r="N9" s="46" t="inlineStr"/>
      <c r="O9" s="46" t="inlineStr">
        <is>
          <t>Proposal artifact and fixed deadline retained — proposal/Pitch-Deck-June-8.pptx; T1</t>
        </is>
      </c>
      <c r="P9" s="51" t="inlineStr"/>
      <c r="Q9" s="52" t="str">
        <f>IF(OR(H9="",J9="Done",J9="Deferred"),"",IF(H9&lt;DATE(2026,8,12),"OVERDUE",IF(H9=DATE(2026,8,12),"DUE","")))</f>
        <v/>
      </c>
      <c r="R9" s="46" t="inlineStr">
        <is>
          <t>Master Kanban — Done</t>
        </is>
      </c>
    </row>
    <row r="10" ht="50" customHeight="1">
      <c r="A10" s="53" t="inlineStr">
        <is>
          <t>GOV-02</t>
        </is>
      </c>
      <c r="B10" s="53" t="inlineStr">
        <is>
          <t>GOV</t>
        </is>
      </c>
      <c r="C10" s="54" t="inlineStr">
        <is>
          <t>Initial governance framework created</t>
        </is>
      </c>
      <c r="D10" s="54" t="inlineStr">
        <is>
          <t>Tamer, Dan</t>
        </is>
      </c>
      <c r="E10" s="53" t="inlineStr">
        <is>
          <t>Tamer</t>
        </is>
      </c>
      <c r="F10" s="55" t="n">
        <v>46182</v>
      </c>
      <c r="G10" s="55" t="n">
        <v>46189</v>
      </c>
      <c r="H10" s="55" t="n"/>
      <c r="I10" s="56">
        <f>IF(F10="","",IF(H10&lt;&gt;"",H10,G10)-F10+1)</f>
        <v>8</v>
      </c>
      <c r="J10" s="49" t="inlineStr">
        <is>
          <t>Done</t>
        </is>
      </c>
      <c r="K10" s="57">
        <f>IFERROR(VLOOKUP(J10,'Milestones &amp; Controls'!$A$39:$B$43,2,FALSE),0)</f>
        <v>1.0</v>
      </c>
      <c r="L10" s="55" t="n">
        <v>46190</v>
      </c>
      <c r="M10" s="54" t="inlineStr">
        <is>
          <t>Planned: 9–16 Jun | Observed: 17 Jun</t>
        </is>
      </c>
      <c r="N10" s="54" t="inlineStr"/>
      <c r="O10" s="54" t="inlineStr">
        <is>
          <t>Kanban, Gantt and RACI committed — Commit 5c4daba; T7, T8, D3</t>
        </is>
      </c>
      <c r="P10" s="58" t="inlineStr"/>
      <c r="Q10" s="59" t="str">
        <f>IF(OR(H10="",J10="Done",J10="Deferred"),"",IF(H10&lt;DATE(2026,8,12),"OVERDUE",IF(H10=DATE(2026,8,12),"DUE","")))</f>
        <v/>
      </c>
      <c r="R10" s="54" t="inlineStr">
        <is>
          <t>Master Kanban — Done</t>
        </is>
      </c>
    </row>
    <row r="11" ht="50" customHeight="1">
      <c r="A11" s="45" t="inlineStr">
        <is>
          <t>GOV-03</t>
        </is>
      </c>
      <c r="B11" s="45" t="inlineStr">
        <is>
          <t>GOV</t>
        </is>
      </c>
      <c r="C11" s="46" t="inlineStr">
        <is>
          <t>BRD v1.0 reconciled to delivered prototype</t>
        </is>
      </c>
      <c r="D11" s="46" t="inlineStr">
        <is>
          <t>Nick</t>
        </is>
      </c>
      <c r="E11" s="45" t="inlineStr">
        <is>
          <t>Tamer</t>
        </is>
      </c>
      <c r="F11" s="47" t="n">
        <v>46182</v>
      </c>
      <c r="G11" s="47" t="n">
        <v>46194</v>
      </c>
      <c r="H11" s="47" t="n"/>
      <c r="I11" s="48">
        <f>IF(F11="","",IF(H11&lt;&gt;"",H11,G11)-F11+1)</f>
        <v>13</v>
      </c>
      <c r="J11" s="49" t="inlineStr">
        <is>
          <t>Done</t>
        </is>
      </c>
      <c r="K11" s="50">
        <f>IFERROR(VLOOKUP(J11,'Milestones &amp; Controls'!$A$39:$B$43,2,FALSE),0)</f>
        <v>1.0</v>
      </c>
      <c r="L11" s="47" t="n">
        <v>46243</v>
      </c>
      <c r="M11" s="46" t="inlineStr">
        <is>
          <t>Planned: 9–21 Jun | Observed: 9 Aug</t>
        </is>
      </c>
      <c r="N11" s="46" t="inlineStr"/>
      <c r="O11" s="46" t="inlineStr">
        <is>
          <t>Versioned BRD baseline exists — docs/business-requirements.md; 3b3e82e; T1</t>
        </is>
      </c>
      <c r="P11" s="51" t="inlineStr"/>
      <c r="Q11" s="52" t="str">
        <f>IF(OR(H11="",J11="Done",J11="Deferred"),"",IF(H11&lt;DATE(2026,8,12),"OVERDUE",IF(H11=DATE(2026,8,12),"DUE","")))</f>
        <v/>
      </c>
      <c r="R11" s="46" t="inlineStr">
        <is>
          <t>Master Kanban — Done</t>
        </is>
      </c>
    </row>
    <row r="12" ht="50" customHeight="1">
      <c r="A12" s="53" t="inlineStr">
        <is>
          <t>PRD-01</t>
        </is>
      </c>
      <c r="B12" s="53" t="inlineStr">
        <is>
          <t>PRD</t>
        </is>
      </c>
      <c r="C12" s="54" t="inlineStr">
        <is>
          <t>End-to-end operating workflow documented</t>
        </is>
      </c>
      <c r="D12" s="54" t="inlineStr">
        <is>
          <t>Dan</t>
        </is>
      </c>
      <c r="E12" s="53" t="inlineStr">
        <is>
          <t>Dan</t>
        </is>
      </c>
      <c r="F12" s="55" t="n">
        <v>46182</v>
      </c>
      <c r="G12" s="55" t="n">
        <v>46194</v>
      </c>
      <c r="H12" s="55" t="n"/>
      <c r="I12" s="56">
        <f>IF(F12="","",IF(H12&lt;&gt;"",H12,G12)-F12+1)</f>
        <v>13</v>
      </c>
      <c r="J12" s="49" t="inlineStr">
        <is>
          <t>Done</t>
        </is>
      </c>
      <c r="K12" s="57">
        <f>IFERROR(VLOOKUP(J12,'Milestones &amp; Controls'!$A$39:$B$43,2,FALSE),0)</f>
        <v>1.0</v>
      </c>
      <c r="L12" s="55" t="n">
        <v>46198</v>
      </c>
      <c r="M12" s="54" t="inlineStr">
        <is>
          <t>Planned: 9–21 Jun | Observed: 25 Jun</t>
        </is>
      </c>
      <c r="N12" s="54" t="inlineStr"/>
      <c r="O12" s="54" t="inlineStr">
        <is>
          <t>Happy path and verification layers documented — docs/Flow Guidance/operational-flow-v1.md; D1</t>
        </is>
      </c>
      <c r="P12" s="58" t="inlineStr"/>
      <c r="Q12" s="59" t="str">
        <f>IF(OR(H12="",J12="Done",J12="Deferred"),"",IF(H12&lt;DATE(2026,8,12),"OVERDUE",IF(H12=DATE(2026,8,12),"DUE","")))</f>
        <v/>
      </c>
      <c r="R12" s="54" t="inlineStr">
        <is>
          <t>Master Kanban — Done</t>
        </is>
      </c>
    </row>
    <row r="13" ht="50" customHeight="1">
      <c r="A13" s="45" t="inlineStr">
        <is>
          <t>PRD-02</t>
        </is>
      </c>
      <c r="B13" s="45" t="inlineStr">
        <is>
          <t>PRD</t>
        </is>
      </c>
      <c r="C13" s="46" t="inlineStr">
        <is>
          <t>Deal, state and deterministic release rules implemented</t>
        </is>
      </c>
      <c r="D13" s="46" t="inlineStr">
        <is>
          <t>Nick, Dan</t>
        </is>
      </c>
      <c r="E13" s="45" t="inlineStr">
        <is>
          <t>Dan</t>
        </is>
      </c>
      <c r="F13" s="47" t="n">
        <v>46188</v>
      </c>
      <c r="G13" s="47" t="n">
        <v>46201</v>
      </c>
      <c r="H13" s="47" t="n"/>
      <c r="I13" s="48">
        <f>IF(F13="","",IF(H13&lt;&gt;"",H13,G13)-F13+1)</f>
        <v>14</v>
      </c>
      <c r="J13" s="49" t="inlineStr">
        <is>
          <t>Done</t>
        </is>
      </c>
      <c r="K13" s="50">
        <f>IFERROR(VLOOKUP(J13,'Milestones &amp; Controls'!$A$39:$B$43,2,FALSE),0)</f>
        <v>1.0</v>
      </c>
      <c r="L13" s="47" t="n">
        <v>46213</v>
      </c>
      <c r="M13" s="46" t="inlineStr">
        <is>
          <t>Planned: 15–28 Jun | Observed: 10 Jul</t>
        </is>
      </c>
      <c r="N13" s="46" t="inlineStr"/>
      <c r="O13" s="46" t="inlineStr">
        <is>
          <t>app/lib/escrow/rules.ts contains 428 lines and grades DOC-01–DOC-06 using GRADE, CROSS and FLAG rule kinds; relevant application tests pass — Commit 73f1bf7; N4, D1</t>
        </is>
      </c>
      <c r="P13" s="51" t="inlineStr"/>
      <c r="Q13" s="52" t="str">
        <f>IF(OR(H13="",J13="Done",J13="Deferred"),"",IF(H13&lt;DATE(2026,8,12),"OVERDUE",IF(H13=DATE(2026,8,12),"DUE","")))</f>
        <v/>
      </c>
      <c r="R13" s="46" t="inlineStr">
        <is>
          <t>Master Kanban — Done</t>
        </is>
      </c>
    </row>
    <row r="14" ht="50" customHeight="1">
      <c r="A14" s="53" t="inlineStr">
        <is>
          <t>TEC-01</t>
        </is>
      </c>
      <c r="B14" s="53" t="inlineStr">
        <is>
          <t>TEC</t>
        </is>
      </c>
      <c r="C14" s="54" t="inlineStr">
        <is>
          <t>Escrow smart contract implemented</t>
        </is>
      </c>
      <c r="D14" s="54" t="inlineStr">
        <is>
          <t>Nick, Dan</t>
        </is>
      </c>
      <c r="E14" s="53" t="inlineStr">
        <is>
          <t>Nick</t>
        </is>
      </c>
      <c r="F14" s="55" t="n">
        <v>46188</v>
      </c>
      <c r="G14" s="55" t="n">
        <v>46208</v>
      </c>
      <c r="H14" s="55" t="n"/>
      <c r="I14" s="56">
        <f>IF(F14="","",IF(H14&lt;&gt;"",H14,G14)-F14+1)</f>
        <v>21</v>
      </c>
      <c r="J14" s="49" t="inlineStr">
        <is>
          <t>Done</t>
        </is>
      </c>
      <c r="K14" s="57">
        <f>IFERROR(VLOOKUP(J14,'Milestones &amp; Controls'!$A$39:$B$43,2,FALSE),0)</f>
        <v>1.0</v>
      </c>
      <c r="L14" s="55" t="n">
        <v>46208</v>
      </c>
      <c r="M14" s="54" t="inlineStr">
        <is>
          <t>Planned: 15 Jun–5 Jul | Observed: 5 Jul</t>
        </is>
      </c>
      <c r="N14" s="54" t="inlineStr"/>
      <c r="O14" s="54" t="inlineStr">
        <is>
          <t>contracts/contracts/Escrow.sol, tests and Ignition deployment module exist; forced compilation from source succeeds — 36222dd; N1</t>
        </is>
      </c>
      <c r="P14" s="58" t="inlineStr"/>
      <c r="Q14" s="59" t="str">
        <f>IF(OR(H14="",J14="Done",J14="Deferred"),"",IF(H14&lt;DATE(2026,8,12),"OVERDUE",IF(H14=DATE(2026,8,12),"DUE","")))</f>
        <v/>
      </c>
      <c r="R14" s="54" t="inlineStr">
        <is>
          <t>Master Kanban — Done</t>
        </is>
      </c>
    </row>
    <row r="15" ht="50" customHeight="1">
      <c r="A15" s="45" t="inlineStr">
        <is>
          <t>TEC-02</t>
        </is>
      </c>
      <c r="B15" s="45" t="inlineStr">
        <is>
          <t>TEC</t>
        </is>
      </c>
      <c r="C15" s="46" t="inlineStr">
        <is>
          <t>Contract tests and unfunded cancellation path authored</t>
        </is>
      </c>
      <c r="D15" s="46" t="inlineStr">
        <is>
          <t>Dan</t>
        </is>
      </c>
      <c r="E15" s="45" t="inlineStr">
        <is>
          <t>Nick</t>
        </is>
      </c>
      <c r="F15" s="47" t="n">
        <v>46202</v>
      </c>
      <c r="G15" s="47" t="n">
        <v>46213</v>
      </c>
      <c r="H15" s="47" t="n"/>
      <c r="I15" s="48">
        <f>IF(F15="","",IF(H15&lt;&gt;"",H15,G15)-F15+1)</f>
        <v>12</v>
      </c>
      <c r="J15" s="49" t="inlineStr">
        <is>
          <t>Done</t>
        </is>
      </c>
      <c r="K15" s="50">
        <f>IFERROR(VLOOKUP(J15,'Milestones &amp; Controls'!$A$39:$B$43,2,FALSE),0)</f>
        <v>1.0</v>
      </c>
      <c r="L15" s="47" t="n">
        <v>46213</v>
      </c>
      <c r="M15" s="46" t="inlineStr">
        <is>
          <t>Planned: 29 Jun–10 Jul | Observed: 10 Jul</t>
        </is>
      </c>
      <c r="N15" s="46" t="inlineStr"/>
      <c r="O15" s="46" t="inlineStr">
        <is>
          <t>Six test files cover happy path, access control, state guards, refund, release/pause and cancellation; 21/21 pass in the standard compiled run — 36222dd, a186f98; verified 12 Aug; N1</t>
        </is>
      </c>
      <c r="P15" s="51" t="inlineStr"/>
      <c r="Q15" s="52" t="str">
        <f>IF(OR(H15="",J15="Done",J15="Deferred"),"",IF(H15&lt;DATE(2026,8,12),"OVERDUE",IF(H15=DATE(2026,8,12),"DUE","")))</f>
        <v/>
      </c>
      <c r="R15" s="46" t="inlineStr">
        <is>
          <t>Master Kanban — Done</t>
        </is>
      </c>
    </row>
    <row r="16" ht="50" customHeight="1">
      <c r="A16" s="53" t="inlineStr">
        <is>
          <t>TEC-03</t>
        </is>
      </c>
      <c r="B16" s="53" t="inlineStr">
        <is>
          <t>TEC</t>
        </is>
      </c>
      <c r="C16" s="54" t="inlineStr">
        <is>
          <t>Off-chain store, API and rule-engine core implemented</t>
        </is>
      </c>
      <c r="D16" s="54" t="inlineStr">
        <is>
          <t>Nick, Dan</t>
        </is>
      </c>
      <c r="E16" s="53" t="inlineStr">
        <is>
          <t>Nick</t>
        </is>
      </c>
      <c r="F16" s="55" t="n">
        <v>46195</v>
      </c>
      <c r="G16" s="55" t="n">
        <v>46222</v>
      </c>
      <c r="H16" s="55" t="n"/>
      <c r="I16" s="56">
        <f>IF(F16="","",IF(H16&lt;&gt;"",H16,G16)-F16+1)</f>
        <v>28</v>
      </c>
      <c r="J16" s="49" t="inlineStr">
        <is>
          <t>Done</t>
        </is>
      </c>
      <c r="K16" s="57">
        <f>IFERROR(VLOOKUP(J16,'Milestones &amp; Controls'!$A$39:$B$43,2,FALSE),0)</f>
        <v>1.0</v>
      </c>
      <c r="L16" s="55" t="n">
        <v>46213</v>
      </c>
      <c r="M16" s="54" t="inlineStr">
        <is>
          <t>Planned: 22 Jun–19 Jul | Observed: 10 Jul</t>
        </is>
      </c>
      <c r="N16" s="54" t="inlineStr"/>
      <c r="O16" s="54" t="inlineStr">
        <is>
          <t>28 API route handlers and the lifecycle/rules core exist — 73f1bf7, 6515a51; N2, N3, D5</t>
        </is>
      </c>
      <c r="P16" s="58" t="inlineStr"/>
      <c r="Q16" s="59" t="str">
        <f>IF(OR(H16="",J16="Done",J16="Deferred"),"",IF(H16&lt;DATE(2026,8,12),"OVERDUE",IF(H16=DATE(2026,8,12),"DUE","")))</f>
        <v/>
      </c>
      <c r="R16" s="54" t="inlineStr">
        <is>
          <t>Master Kanban — Done</t>
        </is>
      </c>
    </row>
    <row r="17" ht="50" customHeight="1">
      <c r="A17" s="45" t="inlineStr">
        <is>
          <t>TEC-04</t>
        </is>
      </c>
      <c r="B17" s="45" t="inlineStr">
        <is>
          <t>TEC</t>
        </is>
      </c>
      <c r="C17" s="46" t="inlineStr">
        <is>
          <t>Buyer/seller lifecycle wired to real deal state</t>
        </is>
      </c>
      <c r="D17" s="46" t="inlineStr">
        <is>
          <t>Nick, Dan</t>
        </is>
      </c>
      <c r="E17" s="45" t="inlineStr">
        <is>
          <t>Nick</t>
        </is>
      </c>
      <c r="F17" s="47" t="n">
        <v>46209</v>
      </c>
      <c r="G17" s="47" t="n">
        <v>46222</v>
      </c>
      <c r="H17" s="47" t="n"/>
      <c r="I17" s="48">
        <f>IF(F17="","",IF(H17&lt;&gt;"",H17,G17)-F17+1)</f>
        <v>14</v>
      </c>
      <c r="J17" s="49" t="inlineStr">
        <is>
          <t>Done</t>
        </is>
      </c>
      <c r="K17" s="50">
        <f>IFERROR(VLOOKUP(J17,'Milestones &amp; Controls'!$A$39:$B$43,2,FALSE),0)</f>
        <v>1.0</v>
      </c>
      <c r="L17" s="47" t="n">
        <v>46216</v>
      </c>
      <c r="M17" s="46" t="inlineStr">
        <is>
          <t>Planned: 6–19 Jul | Observed: 13 Jul</t>
        </is>
      </c>
      <c r="N17" s="46" t="inlineStr"/>
      <c r="O17" s="46" t="inlineStr">
        <is>
          <t>Fund, submit and verdict journeys merged — 06efff6, fcdfaad; N2, N3</t>
        </is>
      </c>
      <c r="P17" s="51" t="inlineStr"/>
      <c r="Q17" s="52" t="str">
        <f>IF(OR(H17="",J17="Done",J17="Deferred"),"",IF(H17&lt;DATE(2026,8,12),"OVERDUE",IF(H17=DATE(2026,8,12),"DUE","")))</f>
        <v/>
      </c>
      <c r="R17" s="46" t="inlineStr">
        <is>
          <t>Master Kanban — Done</t>
        </is>
      </c>
    </row>
    <row r="18" ht="50" customHeight="1">
      <c r="A18" s="53" t="inlineStr">
        <is>
          <t>TEC-05</t>
        </is>
      </c>
      <c r="B18" s="53" t="inlineStr">
        <is>
          <t>TEC</t>
        </is>
      </c>
      <c r="C18" s="54" t="inlineStr">
        <is>
          <t>Objection, refund and audit paths implemented</t>
        </is>
      </c>
      <c r="D18" s="54" t="inlineStr">
        <is>
          <t>Dan</t>
        </is>
      </c>
      <c r="E18" s="53" t="inlineStr">
        <is>
          <t>Nick</t>
        </is>
      </c>
      <c r="F18" s="55" t="n">
        <v>46223</v>
      </c>
      <c r="G18" s="55" t="n">
        <v>46236</v>
      </c>
      <c r="H18" s="55" t="n"/>
      <c r="I18" s="56">
        <f>IF(F18="","",IF(H18&lt;&gt;"",H18,G18)-F18+1)</f>
        <v>14</v>
      </c>
      <c r="J18" s="49" t="inlineStr">
        <is>
          <t>Done</t>
        </is>
      </c>
      <c r="K18" s="57">
        <f>IFERROR(VLOOKUP(J18,'Milestones &amp; Controls'!$A$39:$B$43,2,FALSE),0)</f>
        <v>1.0</v>
      </c>
      <c r="L18" s="55" t="n">
        <v>46234</v>
      </c>
      <c r="M18" s="54" t="inlineStr">
        <is>
          <t>Planned: 20 Jul–2 Aug | Observed: 31 Jul</t>
        </is>
      </c>
      <c r="N18" s="54" t="inlineStr"/>
      <c r="O18" s="54" t="inlineStr">
        <is>
          <t>Objection withdrawal, refund and audit commits exist — 5688cc3, 77cf5f6; N2, D5</t>
        </is>
      </c>
      <c r="P18" s="58" t="inlineStr"/>
      <c r="Q18" s="59" t="str">
        <f>IF(OR(H18="",J18="Done",J18="Deferred"),"",IF(H18&lt;DATE(2026,8,12),"OVERDUE",IF(H18=DATE(2026,8,12),"DUE","")))</f>
        <v/>
      </c>
      <c r="R18" s="54" t="inlineStr">
        <is>
          <t>Master Kanban — Done</t>
        </is>
      </c>
    </row>
    <row r="19" ht="50" customHeight="1">
      <c r="A19" s="45" t="inlineStr">
        <is>
          <t>TEC-06</t>
        </is>
      </c>
      <c r="B19" s="45" t="inlineStr">
        <is>
          <t>TEC</t>
        </is>
      </c>
      <c r="C19" s="46" t="inlineStr">
        <is>
          <t>SQL persistence, account auth and SIWE implemented</t>
        </is>
      </c>
      <c r="D19" s="46" t="inlineStr">
        <is>
          <t>Dan, Nick</t>
        </is>
      </c>
      <c r="E19" s="45" t="inlineStr">
        <is>
          <t>Nick</t>
        </is>
      </c>
      <c r="F19" s="47" t="n">
        <v>46216</v>
      </c>
      <c r="G19" s="47" t="n">
        <v>46236</v>
      </c>
      <c r="H19" s="47" t="n"/>
      <c r="I19" s="48">
        <f>IF(F19="","",IF(H19&lt;&gt;"",H19,G19)-F19+1)</f>
        <v>21</v>
      </c>
      <c r="J19" s="49" t="inlineStr">
        <is>
          <t>Done</t>
        </is>
      </c>
      <c r="K19" s="50">
        <f>IFERROR(VLOOKUP(J19,'Milestones &amp; Controls'!$A$39:$B$43,2,FALSE),0)</f>
        <v>1.0</v>
      </c>
      <c r="L19" s="47" t="n">
        <v>46239</v>
      </c>
      <c r="M19" s="46" t="inlineStr">
        <is>
          <t>Planned: 13 Jul–2 Aug | Observed: 5 Aug</t>
        </is>
      </c>
      <c r="N19" s="46" t="inlineStr"/>
      <c r="O19" s="46" t="inlineStr">
        <is>
          <t>Prisma persistence, server sessions and SIWE wallet linking are present; application suite passes — f8cc7a9, 3123538, a2052a2; N2, N3</t>
        </is>
      </c>
      <c r="P19" s="51" t="inlineStr"/>
      <c r="Q19" s="52" t="str">
        <f>IF(OR(H19="",J19="Done",J19="Deferred"),"",IF(H19&lt;DATE(2026,8,12),"OVERDUE",IF(H19=DATE(2026,8,12),"DUE","")))</f>
        <v/>
      </c>
      <c r="R19" s="46" t="inlineStr">
        <is>
          <t>Master Kanban — Done</t>
        </is>
      </c>
    </row>
    <row r="20" ht="50" customHeight="1">
      <c r="A20" s="53" t="inlineStr">
        <is>
          <t>TEC-07</t>
        </is>
      </c>
      <c r="B20" s="53" t="inlineStr">
        <is>
          <t>TEC</t>
        </is>
      </c>
      <c r="C20" s="54" t="inlineStr">
        <is>
          <t>Base Sepolia deployment evidence created</t>
        </is>
      </c>
      <c r="D20" s="54" t="inlineStr">
        <is>
          <t>Dan</t>
        </is>
      </c>
      <c r="E20" s="53" t="inlineStr">
        <is>
          <t>Nick</t>
        </is>
      </c>
      <c r="F20" s="55" t="n">
        <v>46203</v>
      </c>
      <c r="G20" s="55" t="n">
        <v>46208</v>
      </c>
      <c r="H20" s="55" t="n"/>
      <c r="I20" s="56">
        <f>IF(F20="","",IF(H20&lt;&gt;"",H20,G20)-F20+1)</f>
        <v>6</v>
      </c>
      <c r="J20" s="49" t="inlineStr">
        <is>
          <t>Done</t>
        </is>
      </c>
      <c r="K20" s="57">
        <f>IFERROR(VLOOKUP(J20,'Milestones &amp; Controls'!$A$39:$B$43,2,FALSE),0)</f>
        <v>1.0</v>
      </c>
      <c r="L20" s="55" t="n">
        <v>46244</v>
      </c>
      <c r="M20" s="54" t="inlineStr">
        <is>
          <t>Planned: 30 Jun–5 Jul | Observed: 4 Aug deployment; 10 Aug merge</t>
        </is>
      </c>
      <c r="N20" s="54" t="inlineStr"/>
      <c r="O20" s="54" t="inlineStr">
        <is>
          <t>Deployment record identifies Base Sepolia chain ID 84532 and real test USDC configuration — c4887db, 3e9b4ed; N1</t>
        </is>
      </c>
      <c r="P20" s="58" t="inlineStr"/>
      <c r="Q20" s="59" t="str">
        <f>IF(OR(H20="",J20="Done",J20="Deferred"),"",IF(H20&lt;DATE(2026,8,12),"OVERDUE",IF(H20=DATE(2026,8,12),"DUE","")))</f>
        <v/>
      </c>
      <c r="R20" s="54" t="inlineStr">
        <is>
          <t>Master Kanban — Done</t>
        </is>
      </c>
    </row>
    <row r="21" ht="50" customHeight="1">
      <c r="A21" s="45" t="inlineStr">
        <is>
          <t>TEC-08</t>
        </is>
      </c>
      <c r="B21" s="45" t="inlineStr">
        <is>
          <t>TEC</t>
        </is>
      </c>
      <c r="C21" s="46" t="inlineStr">
        <is>
          <t>KYB data collection and onboarding gate implemented</t>
        </is>
      </c>
      <c r="D21" s="46" t="inlineStr">
        <is>
          <t>Dan</t>
        </is>
      </c>
      <c r="E21" s="45" t="inlineStr">
        <is>
          <t>Nick</t>
        </is>
      </c>
      <c r="F21" s="47" t="n">
        <v>46223</v>
      </c>
      <c r="G21" s="47" t="n">
        <v>46236</v>
      </c>
      <c r="H21" s="47" t="n"/>
      <c r="I21" s="48">
        <f>IF(F21="","",IF(H21&lt;&gt;"",H21,G21)-F21+1)</f>
        <v>14</v>
      </c>
      <c r="J21" s="49" t="inlineStr">
        <is>
          <t>Done</t>
        </is>
      </c>
      <c r="K21" s="50">
        <f>IFERROR(VLOOKUP(J21,'Milestones &amp; Controls'!$A$39:$B$43,2,FALSE),0)</f>
        <v>1.0</v>
      </c>
      <c r="L21" s="47" t="n">
        <v>46242</v>
      </c>
      <c r="M21" s="46" t="inlineStr">
        <is>
          <t>Planned: 20 Jul–2 Aug | Observed: 8 Aug</t>
        </is>
      </c>
      <c r="N21" s="46" t="inlineStr"/>
      <c r="O21" s="46" t="inlineStr">
        <is>
          <t>Unonboarded companies are blocked from deal creation — 10d3730, dc1de9f; B1/N2</t>
        </is>
      </c>
      <c r="P21" s="51" t="inlineStr"/>
      <c r="Q21" s="52" t="str">
        <f>IF(OR(H21="",J21="Done",J21="Deferred"),"",IF(H21&lt;DATE(2026,8,12),"OVERDUE",IF(H21=DATE(2026,8,12),"DUE","")))</f>
        <v/>
      </c>
      <c r="R21" s="46" t="inlineStr">
        <is>
          <t>Master Kanban — Done</t>
        </is>
      </c>
    </row>
    <row r="22" ht="50" customHeight="1">
      <c r="A22" s="53" t="inlineStr">
        <is>
          <t>UX-01</t>
        </is>
      </c>
      <c r="B22" s="53" t="inlineStr">
        <is>
          <t>UX</t>
        </is>
      </c>
      <c r="C22" s="54" t="inlineStr">
        <is>
          <t>UX foundation and dashboard flows implemented</t>
        </is>
      </c>
      <c r="D22" s="54" t="inlineStr">
        <is>
          <t>Mo</t>
        </is>
      </c>
      <c r="E22" s="53" t="inlineStr">
        <is>
          <t>Mo</t>
        </is>
      </c>
      <c r="F22" s="55" t="n">
        <v>46195</v>
      </c>
      <c r="G22" s="55" t="n">
        <v>46208</v>
      </c>
      <c r="H22" s="55" t="n"/>
      <c r="I22" s="56">
        <f>IF(F22="","",IF(H22&lt;&gt;"",H22,G22)-F22+1)</f>
        <v>14</v>
      </c>
      <c r="J22" s="49" t="inlineStr">
        <is>
          <t>Done</t>
        </is>
      </c>
      <c r="K22" s="57">
        <f>IFERROR(VLOOKUP(J22,'Milestones &amp; Controls'!$A$39:$B$43,2,FALSE),0)</f>
        <v>1.0</v>
      </c>
      <c r="L22" s="55" t="n">
        <v>46212</v>
      </c>
      <c r="M22" s="54" t="inlineStr">
        <is>
          <t>Planned: 22 Jun–5 Jul | Observed: 9 Jul</t>
        </is>
      </c>
      <c r="N22" s="54" t="inlineStr"/>
      <c r="O22" s="54" t="inlineStr">
        <is>
          <t>Landing page and dashboard flows committed — 6dbc53a; M1, M2</t>
        </is>
      </c>
      <c r="P22" s="58" t="inlineStr"/>
      <c r="Q22" s="59" t="str">
        <f>IF(OR(H22="",J22="Done",J22="Deferred"),"",IF(H22&lt;DATE(2026,8,12),"OVERDUE",IF(H22=DATE(2026,8,12),"DUE","")))</f>
        <v/>
      </c>
      <c r="R22" s="54" t="inlineStr">
        <is>
          <t>Master Kanban — Done</t>
        </is>
      </c>
    </row>
    <row r="23" ht="50" customHeight="1">
      <c r="A23" s="45" t="inlineStr">
        <is>
          <t>UX-02</t>
        </is>
      </c>
      <c r="B23" s="45" t="inlineStr">
        <is>
          <t>UX</t>
        </is>
      </c>
      <c r="C23" s="46" t="inlineStr">
        <is>
          <t>Role-separated buyer and seller journeys implemented</t>
        </is>
      </c>
      <c r="D23" s="46" t="inlineStr">
        <is>
          <t>Mo, Nick</t>
        </is>
      </c>
      <c r="E23" s="45" t="inlineStr">
        <is>
          <t>Mo</t>
        </is>
      </c>
      <c r="F23" s="47" t="n">
        <v>46209</v>
      </c>
      <c r="G23" s="47" t="n">
        <v>46222</v>
      </c>
      <c r="H23" s="47" t="n"/>
      <c r="I23" s="48">
        <f>IF(F23="","",IF(H23&lt;&gt;"",H23,G23)-F23+1)</f>
        <v>14</v>
      </c>
      <c r="J23" s="49" t="inlineStr">
        <is>
          <t>Done</t>
        </is>
      </c>
      <c r="K23" s="50">
        <f>IFERROR(VLOOKUP(J23,'Milestones &amp; Controls'!$A$39:$B$43,2,FALSE),0)</f>
        <v>1.0</v>
      </c>
      <c r="L23" s="47" t="n">
        <v>46216</v>
      </c>
      <c r="M23" s="46" t="inlineStr">
        <is>
          <t>Planned: 6–19 Jul | Observed: 13 Jul</t>
        </is>
      </c>
      <c r="N23" s="46" t="inlineStr"/>
      <c r="O23" s="46" t="inlineStr">
        <is>
          <t>Role isolation and wizard wiring merged — 95cfb0b, 06efff6; M1, M2</t>
        </is>
      </c>
      <c r="P23" s="51" t="inlineStr"/>
      <c r="Q23" s="52" t="str">
        <f>IF(OR(H23="",J23="Done",J23="Deferred"),"",IF(H23&lt;DATE(2026,8,12),"OVERDUE",IF(H23=DATE(2026,8,12),"DUE","")))</f>
        <v/>
      </c>
      <c r="R23" s="46" t="inlineStr">
        <is>
          <t>Master Kanban — Done</t>
        </is>
      </c>
    </row>
    <row r="24" ht="50" customHeight="1">
      <c r="A24" s="53" t="inlineStr">
        <is>
          <t>UX-03</t>
        </is>
      </c>
      <c r="B24" s="53" t="inlineStr">
        <is>
          <t>UX</t>
        </is>
      </c>
      <c r="C24" s="54" t="inlineStr">
        <is>
          <t>Consolidated multi-deal dashboard assembled</t>
        </is>
      </c>
      <c r="D24" s="54" t="inlineStr">
        <is>
          <t>Mo, Dan</t>
        </is>
      </c>
      <c r="E24" s="53" t="inlineStr">
        <is>
          <t>Mo</t>
        </is>
      </c>
      <c r="F24" s="55" t="n">
        <v>46223</v>
      </c>
      <c r="G24" s="55" t="n">
        <v>46236</v>
      </c>
      <c r="H24" s="55" t="n"/>
      <c r="I24" s="56">
        <f>IF(F24="","",IF(H24&lt;&gt;"",H24,G24)-F24+1)</f>
        <v>14</v>
      </c>
      <c r="J24" s="49" t="inlineStr">
        <is>
          <t>Done</t>
        </is>
      </c>
      <c r="K24" s="57">
        <f>IFERROR(VLOOKUP(J24,'Milestones &amp; Controls'!$A$39:$B$43,2,FALSE),0)</f>
        <v>1.0</v>
      </c>
      <c r="L24" s="55" t="n">
        <v>46242</v>
      </c>
      <c r="M24" s="54" t="inlineStr">
        <is>
          <t>Planned: 20 Jul–2 Aug | Observed: 8 Aug</t>
        </is>
      </c>
      <c r="N24" s="54" t="inlineStr"/>
      <c r="O24" s="54" t="inlineStr">
        <is>
          <t>Refined dashboard merged with lifecycle work — e09bd51, 3779262, c61b1a6; M1–M3</t>
        </is>
      </c>
      <c r="P24" s="58" t="inlineStr"/>
      <c r="Q24" s="59" t="str">
        <f>IF(OR(H24="",J24="Done",J24="Deferred"),"",IF(H24&lt;DATE(2026,8,12),"OVERDUE",IF(H24=DATE(2026,8,12),"DUE","")))</f>
        <v/>
      </c>
      <c r="R24" s="54" t="inlineStr">
        <is>
          <t>Master Kanban — Done</t>
        </is>
      </c>
    </row>
    <row r="25" ht="50" customHeight="1">
      <c r="A25" s="45" t="inlineStr">
        <is>
          <t>RISK-01</t>
        </is>
      </c>
      <c r="B25" s="45" t="inlineStr">
        <is>
          <t>RISK</t>
        </is>
      </c>
      <c r="C25" s="46" t="inlineStr">
        <is>
          <t>UCP 600 and Incoterms source pack assembled</t>
        </is>
      </c>
      <c r="D25" s="46" t="inlineStr">
        <is>
          <t>Badhri</t>
        </is>
      </c>
      <c r="E25" s="45" t="inlineStr">
        <is>
          <t>Badhri</t>
        </is>
      </c>
      <c r="F25" s="47" t="n">
        <v>46182</v>
      </c>
      <c r="G25" s="47" t="n">
        <v>46187</v>
      </c>
      <c r="H25" s="47" t="n"/>
      <c r="I25" s="48">
        <f>IF(F25="","",IF(H25&lt;&gt;"",H25,G25)-F25+1)</f>
        <v>6</v>
      </c>
      <c r="J25" s="49" t="inlineStr">
        <is>
          <t>Done</t>
        </is>
      </c>
      <c r="K25" s="50">
        <f>IFERROR(VLOOKUP(J25,'Milestones &amp; Controls'!$A$39:$B$43,2,FALSE),0)</f>
        <v>1.0</v>
      </c>
      <c r="L25" s="47" t="n">
        <v>46187</v>
      </c>
      <c r="M25" s="46" t="inlineStr">
        <is>
          <t>Planned: 9–14 Jun | Observed: 14 Jun</t>
        </is>
      </c>
      <c r="N25" s="46" t="inlineStr"/>
      <c r="O25" s="46" t="inlineStr">
        <is>
          <t>Source documents and Markdown references exist — 5fe28c1; B4</t>
        </is>
      </c>
      <c r="P25" s="51" t="inlineStr"/>
      <c r="Q25" s="52" t="str">
        <f>IF(OR(H25="",J25="Done",J25="Deferred"),"",IF(H25&lt;DATE(2026,8,12),"OVERDUE",IF(H25=DATE(2026,8,12),"DUE","")))</f>
        <v/>
      </c>
      <c r="R25" s="46" t="inlineStr">
        <is>
          <t>Master Kanban — Done</t>
        </is>
      </c>
    </row>
    <row r="26" ht="50" customHeight="1">
      <c r="A26" s="53" t="inlineStr">
        <is>
          <t>RISK-02</t>
        </is>
      </c>
      <c r="B26" s="53" t="inlineStr">
        <is>
          <t>RISK</t>
        </is>
      </c>
      <c r="C26" s="54" t="inlineStr">
        <is>
          <t>Legal-risk register developed</t>
        </is>
      </c>
      <c r="D26" s="54" t="inlineStr">
        <is>
          <t>Badhri</t>
        </is>
      </c>
      <c r="E26" s="53" t="inlineStr">
        <is>
          <t>Badhri</t>
        </is>
      </c>
      <c r="F26" s="55" t="n">
        <v>46182</v>
      </c>
      <c r="G26" s="55" t="n">
        <v>46201</v>
      </c>
      <c r="H26" s="55" t="n"/>
      <c r="I26" s="56">
        <f>IF(F26="","",IF(H26&lt;&gt;"",H26,G26)-F26+1)</f>
        <v>20</v>
      </c>
      <c r="J26" s="49" t="inlineStr">
        <is>
          <t>Done</t>
        </is>
      </c>
      <c r="K26" s="57">
        <f>IFERROR(VLOOKUP(J26,'Milestones &amp; Controls'!$A$39:$B$43,2,FALSE),0)</f>
        <v>1.0</v>
      </c>
      <c r="L26" s="55" t="n">
        <v>46196</v>
      </c>
      <c r="M26" s="54" t="inlineStr">
        <is>
          <t>Planned: 9–28 Jun | Observed: 23 Jun</t>
        </is>
      </c>
      <c r="N26" s="54" t="inlineStr"/>
      <c r="O26" s="54" t="inlineStr">
        <is>
          <t>Legal-risk artifact and update history exist — docs/legal-risk.md; 7b18837; B1–B4</t>
        </is>
      </c>
      <c r="P26" s="58" t="inlineStr"/>
      <c r="Q26" s="59" t="str">
        <f>IF(OR(H26="",J26="Done",J26="Deferred"),"",IF(H26&lt;DATE(2026,8,12),"OVERDUE",IF(H26=DATE(2026,8,12),"DUE","")))</f>
        <v/>
      </c>
      <c r="R26" s="54" t="inlineStr">
        <is>
          <t>Master Kanban — Done</t>
        </is>
      </c>
    </row>
    <row r="27" ht="50" customHeight="1">
      <c r="A27" s="45" t="inlineStr">
        <is>
          <t>RISK-03</t>
        </is>
      </c>
      <c r="B27" s="45" t="inlineStr">
        <is>
          <t>RISK</t>
        </is>
      </c>
      <c r="C27" s="46" t="inlineStr">
        <is>
          <t>Operational verification model documented</t>
        </is>
      </c>
      <c r="D27" s="46" t="inlineStr">
        <is>
          <t>Dan, Badhri</t>
        </is>
      </c>
      <c r="E27" s="45" t="inlineStr">
        <is>
          <t>Badhri</t>
        </is>
      </c>
      <c r="F27" s="47" t="n">
        <v>46188</v>
      </c>
      <c r="G27" s="47" t="n">
        <v>46208</v>
      </c>
      <c r="H27" s="47" t="n"/>
      <c r="I27" s="48">
        <f>IF(F27="","",IF(H27&lt;&gt;"",H27,G27)-F27+1)</f>
        <v>21</v>
      </c>
      <c r="J27" s="49" t="inlineStr">
        <is>
          <t>Done</t>
        </is>
      </c>
      <c r="K27" s="50">
        <f>IFERROR(VLOOKUP(J27,'Milestones &amp; Controls'!$A$39:$B$43,2,FALSE),0)</f>
        <v>1.0</v>
      </c>
      <c r="L27" s="47" t="n">
        <v>46204</v>
      </c>
      <c r="M27" s="46" t="inlineStr">
        <is>
          <t>Planned: 15 Jun–5 Jul | Observed: 1 Jul</t>
        </is>
      </c>
      <c r="N27" s="46" t="inlineStr"/>
      <c r="O27" s="46" t="inlineStr">
        <is>
          <t>Workflow and verification model artifacts exist — docs/verification-model-v2.md; D1, D2</t>
        </is>
      </c>
      <c r="P27" s="51" t="inlineStr"/>
      <c r="Q27" s="52" t="str">
        <f>IF(OR(H27="",J27="Done",J27="Deferred"),"",IF(H27&lt;DATE(2026,8,12),"OVERDUE",IF(H27=DATE(2026,8,12),"DUE","")))</f>
        <v/>
      </c>
      <c r="R27" s="46" t="inlineStr">
        <is>
          <t>Master Kanban — Done</t>
        </is>
      </c>
    </row>
    <row r="28" ht="50" customHeight="1">
      <c r="A28" s="53" t="inlineStr">
        <is>
          <t>RISK-04</t>
        </is>
      </c>
      <c r="B28" s="53" t="inlineStr">
        <is>
          <t>RISK</t>
        </is>
      </c>
      <c r="C28" s="54" t="inlineStr">
        <is>
          <t>Trade-document template catalogue assembled</t>
        </is>
      </c>
      <c r="D28" s="54" t="inlineStr">
        <is>
          <t>Badhri</t>
        </is>
      </c>
      <c r="E28" s="53" t="inlineStr">
        <is>
          <t>Badhri</t>
        </is>
      </c>
      <c r="F28" s="55" t="n">
        <v>46195</v>
      </c>
      <c r="G28" s="55" t="n">
        <v>46222</v>
      </c>
      <c r="H28" s="55" t="n"/>
      <c r="I28" s="56">
        <f>IF(F28="","",IF(H28&lt;&gt;"",H28,G28)-F28+1)</f>
        <v>28</v>
      </c>
      <c r="J28" s="49" t="inlineStr">
        <is>
          <t>Done</t>
        </is>
      </c>
      <c r="K28" s="57">
        <f>IFERROR(VLOOKUP(J28,'Milestones &amp; Controls'!$A$39:$B$43,2,FALSE),0)</f>
        <v>1.0</v>
      </c>
      <c r="L28" s="55" t="n">
        <v>46239</v>
      </c>
      <c r="M28" s="54" t="inlineStr">
        <is>
          <t>Planned: 22 Jun–19 Jul | Observed: 5 Aug</t>
        </is>
      </c>
      <c r="N28" s="54" t="inlineStr"/>
      <c r="O28" s="54" t="inlineStr">
        <is>
          <t>Structured document-template catalogue exists — docs/document-templates.md; 28c6968; B3, D2</t>
        </is>
      </c>
      <c r="P28" s="58" t="inlineStr"/>
      <c r="Q28" s="59" t="str">
        <f>IF(OR(H28="",J28="Done",J28="Deferred"),"",IF(H28&lt;DATE(2026,8,12),"OVERDUE",IF(H28=DATE(2026,8,12),"DUE","")))</f>
        <v/>
      </c>
      <c r="R28" s="54" t="inlineStr">
        <is>
          <t>Master Kanban — Done</t>
        </is>
      </c>
    </row>
    <row r="29" ht="50" customHeight="1">
      <c r="A29" s="45" t="inlineStr">
        <is>
          <t>RISK-05</t>
        </is>
      </c>
      <c r="B29" s="45" t="inlineStr">
        <is>
          <t>RISK</t>
        </is>
      </c>
      <c r="C29" s="46" t="inlineStr">
        <is>
          <t>UAE licensing and corridor analysis documented</t>
        </is>
      </c>
      <c r="D29" s="46" t="inlineStr">
        <is>
          <t>Badhri, Tamer</t>
        </is>
      </c>
      <c r="E29" s="45" t="inlineStr">
        <is>
          <t>Badhri</t>
        </is>
      </c>
      <c r="F29" s="47" t="n">
        <v>46195</v>
      </c>
      <c r="G29" s="47" t="n">
        <v>46215</v>
      </c>
      <c r="H29" s="47" t="n"/>
      <c r="I29" s="48">
        <f>IF(F29="","",IF(H29&lt;&gt;"",H29,G29)-F29+1)</f>
        <v>21</v>
      </c>
      <c r="J29" s="49" t="inlineStr">
        <is>
          <t>Done</t>
        </is>
      </c>
      <c r="K29" s="50">
        <f>IFERROR(VLOOKUP(J29,'Milestones &amp; Controls'!$A$39:$B$43,2,FALSE),0)</f>
        <v>1.0</v>
      </c>
      <c r="L29" s="47" t="n">
        <v>46225</v>
      </c>
      <c r="M29" s="46" t="inlineStr">
        <is>
          <t>Planned: 22 Jun–12 Jul | Observed: 22 Jul</t>
        </is>
      </c>
      <c r="N29" s="46" t="inlineStr"/>
      <c r="O29" s="46" t="inlineStr">
        <is>
          <t>UAE licensing research artifact exists — docs/Dubai_Fintech_License_Requirements.md; B4, B5</t>
        </is>
      </c>
      <c r="P29" s="51" t="inlineStr"/>
      <c r="Q29" s="52" t="str">
        <f>IF(OR(H29="",J29="Done",J29="Deferred"),"",IF(H29&lt;DATE(2026,8,12),"OVERDUE",IF(H29=DATE(2026,8,12),"DUE","")))</f>
        <v/>
      </c>
      <c r="R29" s="46" t="inlineStr">
        <is>
          <t>Master Kanban — Done</t>
        </is>
      </c>
    </row>
    <row r="30" ht="50" customHeight="1">
      <c r="A30" s="53" t="inlineStr">
        <is>
          <t>BUS-01</t>
        </is>
      </c>
      <c r="B30" s="53" t="inlineStr">
        <is>
          <t>BUS</t>
        </is>
      </c>
      <c r="C30" s="54" t="inlineStr">
        <is>
          <t>Financial model refined</t>
        </is>
      </c>
      <c r="D30" s="54" t="inlineStr">
        <is>
          <t>Conrad</t>
        </is>
      </c>
      <c r="E30" s="53" t="inlineStr">
        <is>
          <t>Conrad</t>
        </is>
      </c>
      <c r="F30" s="55" t="n">
        <v>46182</v>
      </c>
      <c r="G30" s="55" t="n">
        <v>46208</v>
      </c>
      <c r="H30" s="55" t="n"/>
      <c r="I30" s="56">
        <f>IF(F30="","",IF(H30&lt;&gt;"",H30,G30)-F30+1)</f>
        <v>27</v>
      </c>
      <c r="J30" s="49" t="inlineStr">
        <is>
          <t>Done</t>
        </is>
      </c>
      <c r="K30" s="57">
        <f>IFERROR(VLOOKUP(J30,'Milestones &amp; Controls'!$A$39:$B$43,2,FALSE),0)</f>
        <v>1.0</v>
      </c>
      <c r="L30" s="55" t="n">
        <v>46204</v>
      </c>
      <c r="M30" s="54" t="inlineStr">
        <is>
          <t>Planned: 9 Jun–5 Jul | Observed: 1 Jul</t>
        </is>
      </c>
      <c r="N30" s="54" t="inlineStr"/>
      <c r="O30" s="54" t="inlineStr">
        <is>
          <t>Five-year model artifact exists — financial-projections/Blockmediary_Financial_Model_FullRisk.xlsx; 56e5e6a; C1, C2</t>
        </is>
      </c>
      <c r="P30" s="58" t="inlineStr"/>
      <c r="Q30" s="59" t="str">
        <f>IF(OR(H30="",J30="Done",J30="Deferred"),"",IF(H30&lt;DATE(2026,8,12),"OVERDUE",IF(H30=DATE(2026,8,12),"DUE","")))</f>
        <v/>
      </c>
      <c r="R30" s="54" t="inlineStr">
        <is>
          <t>Master Kanban — Done</t>
        </is>
      </c>
    </row>
    <row r="31" ht="50" customHeight="1">
      <c r="A31" s="45" t="inlineStr">
        <is>
          <t>BUS-02</t>
        </is>
      </c>
      <c r="B31" s="45" t="inlineStr">
        <is>
          <t>BUS</t>
        </is>
      </c>
      <c r="C31" s="46" t="inlineStr">
        <is>
          <t>Customer-demographic analysis produced</t>
        </is>
      </c>
      <c r="D31" s="46" t="inlineStr">
        <is>
          <t>Mo, Conrad</t>
        </is>
      </c>
      <c r="E31" s="45" t="inlineStr">
        <is>
          <t>Mo</t>
        </is>
      </c>
      <c r="F31" s="47" t="n">
        <v>46182</v>
      </c>
      <c r="G31" s="47" t="n">
        <v>46201</v>
      </c>
      <c r="H31" s="47" t="n"/>
      <c r="I31" s="48">
        <f>IF(F31="","",IF(H31&lt;&gt;"",H31,G31)-F31+1)</f>
        <v>20</v>
      </c>
      <c r="J31" s="49" t="inlineStr">
        <is>
          <t>Done</t>
        </is>
      </c>
      <c r="K31" s="50">
        <f>IFERROR(VLOOKUP(J31,'Milestones &amp; Controls'!$A$39:$B$43,2,FALSE),0)</f>
        <v>1.0</v>
      </c>
      <c r="L31" s="47" t="n">
        <v>46204</v>
      </c>
      <c r="M31" s="46" t="inlineStr">
        <is>
          <t>Planned: 9–28 Jun | Observed: 1 Jul</t>
        </is>
      </c>
      <c r="N31" s="46" t="inlineStr"/>
      <c r="O31" s="46" t="inlineStr">
        <is>
          <t>Customer profile research exists — project-initialisation/customer-demographics.md; 99400ce; M5, M7</t>
        </is>
      </c>
      <c r="P31" s="51" t="inlineStr"/>
      <c r="Q31" s="52" t="str">
        <f>IF(OR(H31="",J31="Done",J31="Deferred"),"",IF(H31&lt;DATE(2026,8,12),"OVERDUE",IF(H31=DATE(2026,8,12),"DUE","")))</f>
        <v/>
      </c>
      <c r="R31" s="46" t="inlineStr">
        <is>
          <t>Master Kanban — Done</t>
        </is>
      </c>
    </row>
    <row r="32" ht="50" customHeight="1">
      <c r="A32" s="53" t="inlineStr">
        <is>
          <t>BUS-06</t>
        </is>
      </c>
      <c r="B32" s="53" t="inlineStr">
        <is>
          <t>BUS</t>
        </is>
      </c>
      <c r="C32" s="54" t="inlineStr">
        <is>
          <t>Original Business Model Canvas produced</t>
        </is>
      </c>
      <c r="D32" s="54" t="inlineStr">
        <is>
          <t>Tamer, Conrad, Mo</t>
        </is>
      </c>
      <c r="E32" s="53" t="inlineStr">
        <is>
          <t>Conrad</t>
        </is>
      </c>
      <c r="F32" s="55" t="n">
        <v>46181</v>
      </c>
      <c r="G32" s="55" t="n">
        <v>46181</v>
      </c>
      <c r="H32" s="55" t="n"/>
      <c r="I32" s="56">
        <f>IF(F32="","",IF(H32&lt;&gt;"",H32,G32)-F32+1)</f>
        <v>1</v>
      </c>
      <c r="J32" s="49" t="inlineStr">
        <is>
          <t>Done</t>
        </is>
      </c>
      <c r="K32" s="57">
        <f>IFERROR(VLOOKUP(J32,'Milestones &amp; Controls'!$A$39:$B$43,2,FALSE),0)</f>
        <v>1.0</v>
      </c>
      <c r="L32" s="55" t="n">
        <v>46181</v>
      </c>
      <c r="M32" s="54" t="inlineStr">
        <is>
          <t>Planned: G0 handoff | Observed: 8 Jun baseline artifact</t>
        </is>
      </c>
      <c r="N32" s="54" t="inlineStr"/>
      <c r="O32" s="54" t="inlineStr">
        <is>
          <t>Eight-block canvas exists with opportunity, market, revenue, cost, channels and competition — proposal/business-model-slide.md; T2</t>
        </is>
      </c>
      <c r="P32" s="58" t="inlineStr"/>
      <c r="Q32" s="59" t="str">
        <f>IF(OR(H32="",J32="Done",J32="Deferred"),"",IF(H32&lt;DATE(2026,8,12),"OVERDUE",IF(H32=DATE(2026,8,12),"DUE","")))</f>
        <v/>
      </c>
      <c r="R32" s="54" t="inlineStr">
        <is>
          <t>Master Kanban — Done</t>
        </is>
      </c>
    </row>
    <row r="33" ht="50" customHeight="1">
      <c r="A33" s="45" t="inlineStr">
        <is>
          <t>GOV-04</t>
        </is>
      </c>
      <c r="B33" s="45" t="inlineStr">
        <is>
          <t>GOV</t>
        </is>
      </c>
      <c r="C33" s="46" t="inlineStr">
        <is>
          <t>TRD and A1–A8 acceptance baseline reconciled</t>
        </is>
      </c>
      <c r="D33" s="46" t="inlineStr">
        <is>
          <t>Nick</t>
        </is>
      </c>
      <c r="E33" s="45" t="inlineStr">
        <is>
          <t>Tamer</t>
        </is>
      </c>
      <c r="F33" s="47" t="n">
        <v>46188</v>
      </c>
      <c r="G33" s="47" t="n">
        <v>46201</v>
      </c>
      <c r="H33" s="47" t="n">
        <v>46246</v>
      </c>
      <c r="I33" s="48">
        <f>IF(F33="","",IF(H33&lt;&gt;"",H33,G33)-F33+1)</f>
        <v>59</v>
      </c>
      <c r="J33" s="60" t="inlineStr">
        <is>
          <t>Review</t>
        </is>
      </c>
      <c r="K33" s="50">
        <f>IFERROR(VLOOKUP(J33,'Milestones &amp; Controls'!$A$39:$B$43,2,FALSE),0)</f>
        <v>0.85</v>
      </c>
      <c r="L33" s="47" t="n">
        <v>46245</v>
      </c>
      <c r="M33" s="46" t="inlineStr">
        <is>
          <t>Planned: 15–28 Jun | Observed: 11 Aug</t>
        </is>
      </c>
      <c r="N33" s="46" t="inlineStr"/>
      <c r="O33" s="46" t="inlineStr">
        <is>
          <t>Run and record every acceptance case; remove any remaining delivered-status contradiction — docs/technical-requirements.md; 42aa948; T1</t>
        </is>
      </c>
      <c r="P33" s="51" t="inlineStr">
        <is>
          <t>Zero float</t>
        </is>
      </c>
      <c r="Q33" s="52" t="str">
        <f>IF(OR(H33="",J33="Done",J33="Deferred"),"",IF(H33&lt;DATE(2026,8,12),"OVERDUE",IF(H33=DATE(2026,8,12),"DUE","")))</f>
        <v>DUE</v>
      </c>
      <c r="R33" s="46" t="inlineStr">
        <is>
          <t>Master Kanban — Review</t>
        </is>
      </c>
    </row>
    <row r="34" ht="50" customHeight="1">
      <c r="A34" s="53" t="inlineStr">
        <is>
          <t>PRD-03</t>
        </is>
      </c>
      <c r="B34" s="53" t="inlineStr">
        <is>
          <t>PRD</t>
        </is>
      </c>
      <c r="C34" s="54" t="inlineStr">
        <is>
          <t>Full document-pack and corridor release rules aligned</t>
        </is>
      </c>
      <c r="D34" s="54" t="inlineStr">
        <is>
          <t>Nick, Badhri</t>
        </is>
      </c>
      <c r="E34" s="53" t="inlineStr">
        <is>
          <t>Dan</t>
        </is>
      </c>
      <c r="F34" s="55" t="n">
        <v>46195</v>
      </c>
      <c r="G34" s="55" t="n">
        <v>46208</v>
      </c>
      <c r="H34" s="55" t="n">
        <v>46246</v>
      </c>
      <c r="I34" s="56">
        <f>IF(F34="","",IF(H34&lt;&gt;"",H34,G34)-F34+1)</f>
        <v>52</v>
      </c>
      <c r="J34" s="60" t="inlineStr">
        <is>
          <t>Review</t>
        </is>
      </c>
      <c r="K34" s="57">
        <f>IFERROR(VLOOKUP(J34,'Milestones &amp; Controls'!$A$39:$B$43,2,FALSE),0)</f>
        <v>0.85</v>
      </c>
      <c r="L34" s="55" t="n">
        <v>46243</v>
      </c>
      <c r="M34" s="54" t="inlineStr">
        <is>
          <t>Planned: 22 Jun–5 Jul | Observed: 9 Aug</t>
        </is>
      </c>
      <c r="N34" s="54" t="inlineStr"/>
      <c r="O34" s="54" t="inlineStr">
        <is>
          <t>Cold test required documents and reconcile BRD language with implemented pack — 9e697cf, f9bbd27, 498751d; N4/B5</t>
        </is>
      </c>
      <c r="P34" s="58" t="inlineStr">
        <is>
          <t>Zero float</t>
        </is>
      </c>
      <c r="Q34" s="59" t="str">
        <f>IF(OR(H34="",J34="Done",J34="Deferred"),"",IF(H34&lt;DATE(2026,8,12),"OVERDUE",IF(H34=DATE(2026,8,12),"DUE","")))</f>
        <v>DUE</v>
      </c>
      <c r="R34" s="54" t="inlineStr">
        <is>
          <t>Master Kanban — Review</t>
        </is>
      </c>
    </row>
    <row r="35" ht="50" customHeight="1">
      <c r="A35" s="45" t="inlineStr">
        <is>
          <t>PRD-04</t>
        </is>
      </c>
      <c r="B35" s="45" t="inlineStr">
        <is>
          <t>PRD</t>
        </is>
      </c>
      <c r="C35" s="46" t="inlineStr">
        <is>
          <t>Final product-to-pitch traceability approved</t>
        </is>
      </c>
      <c r="D35" s="46" t="inlineStr">
        <is>
          <t>Dan, Tamer</t>
        </is>
      </c>
      <c r="E35" s="45" t="inlineStr">
        <is>
          <t>Dan</t>
        </is>
      </c>
      <c r="F35" s="47" t="n">
        <v>46230</v>
      </c>
      <c r="G35" s="47" t="n">
        <v>46245</v>
      </c>
      <c r="H35" s="47" t="n">
        <v>46246</v>
      </c>
      <c r="I35" s="48">
        <f>IF(F35="","",IF(H35&lt;&gt;"",H35,G35)-F35+1)</f>
        <v>17</v>
      </c>
      <c r="J35" s="60" t="inlineStr">
        <is>
          <t>Review</t>
        </is>
      </c>
      <c r="K35" s="50">
        <f>IFERROR(VLOOKUP(J35,'Milestones &amp; Controls'!$A$39:$B$43,2,FALSE),0)</f>
        <v>0.85</v>
      </c>
      <c r="L35" s="47" t="n">
        <v>46245</v>
      </c>
      <c r="M35" s="46" t="inlineStr">
        <is>
          <t>Planned: 27 Jul–11 Aug | Observed: 11 Aug draft</t>
        </is>
      </c>
      <c r="N35" s="46" t="inlineStr"/>
      <c r="O35" s="46" t="inlineStr">
        <is>
          <t>Every script claim maps to delivered evidence or roadmap label — BRD/TRD reconciliation; commit 42aa948; saved claims register still pending under DEC-13; T5</t>
        </is>
      </c>
      <c r="P35" s="51" t="inlineStr">
        <is>
          <t>Zero float</t>
        </is>
      </c>
      <c r="Q35" s="52" t="str">
        <f>IF(OR(H35="",J35="Done",J35="Deferred"),"",IF(H35&lt;DATE(2026,8,12),"OVERDUE",IF(H35=DATE(2026,8,12),"DUE","")))</f>
        <v>DUE</v>
      </c>
      <c r="R35" s="46" t="inlineStr">
        <is>
          <t>Master Kanban — Review</t>
        </is>
      </c>
    </row>
    <row r="36" ht="50" customHeight="1">
      <c r="A36" s="53" t="inlineStr">
        <is>
          <t>TEC-09</t>
        </is>
      </c>
      <c r="B36" s="53" t="inlineStr">
        <is>
          <t>TEC</t>
        </is>
      </c>
      <c r="C36" s="54" t="inlineStr">
        <is>
          <t>Technical acceptance A1–A8 completed</t>
        </is>
      </c>
      <c r="D36" s="54" t="inlineStr">
        <is>
          <t>Nick, Dan</t>
        </is>
      </c>
      <c r="E36" s="53" t="inlineStr">
        <is>
          <t>Nick</t>
        </is>
      </c>
      <c r="F36" s="55" t="n">
        <v>46237</v>
      </c>
      <c r="G36" s="55" t="n">
        <v>46245</v>
      </c>
      <c r="H36" s="55" t="n">
        <v>46246</v>
      </c>
      <c r="I36" s="56">
        <f>IF(F36="","",IF(H36&lt;&gt;"",H36,G36)-F36+1)</f>
        <v>10</v>
      </c>
      <c r="J36" s="60" t="inlineStr">
        <is>
          <t>Review</t>
        </is>
      </c>
      <c r="K36" s="57">
        <f>IFERROR(VLOOKUP(J36,'Milestones &amp; Controls'!$A$39:$B$43,2,FALSE),0)</f>
        <v>0.85</v>
      </c>
      <c r="L36" s="55" t="n">
        <v>46246</v>
      </c>
      <c r="M36" s="54" t="inlineStr">
        <is>
          <t>Planned: 3–11 Aug | Observed: Partial on 12 Aug</t>
        </is>
      </c>
      <c r="N36" s="54" t="inlineStr"/>
      <c r="O36" s="54" t="inlineStr">
        <is>
          <t>A1 achieved: forced source compile and 21/21 contract tests pass. Supporting evidence: 187/187 application tests pass. Open: A2–A7 integrated authenticated walkthrough, A8 control record, production build and lint — Test/compile evidence 12 Aug; TRD Section 11; N1–N4/D5</t>
        </is>
      </c>
      <c r="P36" s="58" t="inlineStr">
        <is>
          <t>Zero float</t>
        </is>
      </c>
      <c r="Q36" s="59" t="str">
        <f>IF(OR(H36="",J36="Done",J36="Deferred"),"",IF(H36&lt;DATE(2026,8,12),"OVERDUE",IF(H36=DATE(2026,8,12),"DUE","")))</f>
        <v>DUE</v>
      </c>
      <c r="R36" s="54" t="inlineStr">
        <is>
          <t>Master Kanban — Review</t>
        </is>
      </c>
    </row>
    <row r="37" ht="50" customHeight="1">
      <c r="A37" s="45" t="inlineStr">
        <is>
          <t>TEC-10</t>
        </is>
      </c>
      <c r="B37" s="45" t="inlineStr">
        <is>
          <t>TEC</t>
        </is>
      </c>
      <c r="C37" s="46" t="inlineStr">
        <is>
          <t>Repository sync and clean-build reproducibility verified</t>
        </is>
      </c>
      <c r="D37" s="46" t="inlineStr">
        <is>
          <t>Nick</t>
        </is>
      </c>
      <c r="E37" s="45" t="inlineStr">
        <is>
          <t>Nick</t>
        </is>
      </c>
      <c r="F37" s="47" t="n">
        <v>46244</v>
      </c>
      <c r="G37" s="47" t="n">
        <v>46246</v>
      </c>
      <c r="H37" s="47" t="n">
        <v>46246</v>
      </c>
      <c r="I37" s="48">
        <f>IF(F37="","",IF(H37&lt;&gt;"",H37,G37)-F37+1)</f>
        <v>3</v>
      </c>
      <c r="J37" s="60" t="inlineStr">
        <is>
          <t>Review</t>
        </is>
      </c>
      <c r="K37" s="50">
        <f>IFERROR(VLOOKUP(J37,'Milestones &amp; Controls'!$A$39:$B$43,2,FALSE),0)</f>
        <v>0.85</v>
      </c>
      <c r="L37" s="47" t="n">
        <v>46246</v>
      </c>
      <c r="M37" s="46" t="inlineStr">
        <is>
          <t>Planned: 10–12 Aug | Observed: Failure confirmed 12 Aug</t>
        </is>
      </c>
      <c r="N37" s="46" t="inlineStr"/>
      <c r="O37" s="46" t="inlineStr">
        <is>
          <t>Known failing: Prisma postinstall loads untracked app/.env; no app-level example exists; npm and pnpm lockfiles compete; production build and focused lint fail — Configuration/build/lint evidence 12 Aug; D3</t>
        </is>
      </c>
      <c r="P37" s="51" t="inlineStr">
        <is>
          <t>Zero float</t>
        </is>
      </c>
      <c r="Q37" s="52" t="str">
        <f>IF(OR(H37="",J37="Done",J37="Deferred"),"",IF(H37&lt;DATE(2026,8,12),"OVERDUE",IF(H37=DATE(2026,8,12),"DUE","")))</f>
        <v>DUE</v>
      </c>
      <c r="R37" s="46" t="inlineStr">
        <is>
          <t>Master Kanban — Review</t>
        </is>
      </c>
    </row>
    <row r="38" ht="50" customHeight="1">
      <c r="A38" s="53" t="inlineStr">
        <is>
          <t>RISK-06</t>
        </is>
      </c>
      <c r="B38" s="53" t="inlineStr">
        <is>
          <t>RISK</t>
        </is>
      </c>
      <c r="C38" s="54" t="inlineStr">
        <is>
          <t>Legal/compliance claims and delivery boundary signed off</t>
        </is>
      </c>
      <c r="D38" s="54" t="inlineStr">
        <is>
          <t>Badhri, Tamer</t>
        </is>
      </c>
      <c r="E38" s="53" t="inlineStr">
        <is>
          <t>Badhri</t>
        </is>
      </c>
      <c r="F38" s="55" t="n">
        <v>46237</v>
      </c>
      <c r="G38" s="55" t="n">
        <v>46246</v>
      </c>
      <c r="H38" s="55" t="n">
        <v>46246</v>
      </c>
      <c r="I38" s="56">
        <f>IF(F38="","",IF(H38&lt;&gt;"",H38,G38)-F38+1)</f>
        <v>10</v>
      </c>
      <c r="J38" s="60" t="inlineStr">
        <is>
          <t>Review</t>
        </is>
      </c>
      <c r="K38" s="57">
        <f>IFERROR(VLOOKUP(J38,'Milestones &amp; Controls'!$A$39:$B$43,2,FALSE),0)</f>
        <v>0.85</v>
      </c>
      <c r="L38" s="55" t="n"/>
      <c r="M38" s="54" t="inlineStr">
        <is>
          <t>Planned: 3–12 Aug | Observed: Research exists</t>
        </is>
      </c>
      <c r="N38" s="54" t="inlineStr"/>
      <c r="O38" s="54" t="inlineStr">
        <is>
          <t>No legal-advice claim; live screening, TEA and examiner functions labelled roadmap — Legal and document sources; B1–B4</t>
        </is>
      </c>
      <c r="P38" s="58" t="inlineStr">
        <is>
          <t>Zero float</t>
        </is>
      </c>
      <c r="Q38" s="59" t="str">
        <f>IF(OR(H38="",J38="Done",J38="Deferred"),"",IF(H38&lt;DATE(2026,8,12),"OVERDUE",IF(H38=DATE(2026,8,12),"DUE","")))</f>
        <v>DUE</v>
      </c>
      <c r="R38" s="54" t="inlineStr">
        <is>
          <t>Master Kanban — Review</t>
        </is>
      </c>
    </row>
    <row r="39" ht="50" customHeight="1">
      <c r="A39" s="45" t="inlineStr">
        <is>
          <t>BUS-03</t>
        </is>
      </c>
      <c r="B39" s="45" t="inlineStr">
        <is>
          <t>BUS</t>
        </is>
      </c>
      <c r="C39" s="46" t="inlineStr">
        <is>
          <t>Competitor analysis verified for pitch use</t>
        </is>
      </c>
      <c r="D39" s="46" t="inlineStr">
        <is>
          <t>Badhri, Mo</t>
        </is>
      </c>
      <c r="E39" s="45" t="inlineStr">
        <is>
          <t>Mo</t>
        </is>
      </c>
      <c r="F39" s="47" t="n">
        <v>46188</v>
      </c>
      <c r="G39" s="47" t="n">
        <v>46208</v>
      </c>
      <c r="H39" s="47" t="n">
        <v>46246</v>
      </c>
      <c r="I39" s="48">
        <f>IF(F39="","",IF(H39&lt;&gt;"",H39,G39)-F39+1)</f>
        <v>59</v>
      </c>
      <c r="J39" s="60" t="inlineStr">
        <is>
          <t>Review</t>
        </is>
      </c>
      <c r="K39" s="50">
        <f>IFERROR(VLOOKUP(J39,'Milestones &amp; Controls'!$A$39:$B$43,2,FALSE),0)</f>
        <v>0.85</v>
      </c>
      <c r="L39" s="47" t="n">
        <v>46238</v>
      </c>
      <c r="M39" s="46" t="inlineStr">
        <is>
          <t>Planned: 15 Jun–5 Jul | Observed: 4 Aug</t>
        </is>
      </c>
      <c r="N39" s="46" t="inlineStr"/>
      <c r="O39" s="46" t="inlineStr">
        <is>
          <t>Fees, automation and corridor claims are source-checked and not overstated — docs/Competitor-analysis.md; 9b9601b; T10</t>
        </is>
      </c>
      <c r="P39" s="51" t="inlineStr"/>
      <c r="Q39" s="52" t="str">
        <f>IF(OR(H39="",J39="Done",J39="Deferred"),"",IF(H39&lt;DATE(2026,8,12),"OVERDUE",IF(H39=DATE(2026,8,12),"DUE","")))</f>
        <v>DUE</v>
      </c>
      <c r="R39" s="46" t="inlineStr">
        <is>
          <t>Master Kanban — Review</t>
        </is>
      </c>
    </row>
    <row r="40" ht="50" customHeight="1">
      <c r="A40" s="53" t="inlineStr">
        <is>
          <t>BUS-04</t>
        </is>
      </c>
      <c r="B40" s="53" t="inlineStr">
        <is>
          <t>BUS</t>
        </is>
      </c>
      <c r="C40" s="54" t="inlineStr">
        <is>
          <t>Pricing, unit economics, funding ask and beachhead approved</t>
        </is>
      </c>
      <c r="D40" s="54" t="inlineStr">
        <is>
          <t>Conrad, Mo</t>
        </is>
      </c>
      <c r="E40" s="53" t="inlineStr">
        <is>
          <t>Conrad</t>
        </is>
      </c>
      <c r="F40" s="55" t="n">
        <v>46188</v>
      </c>
      <c r="G40" s="55" t="n">
        <v>46215</v>
      </c>
      <c r="H40" s="55" t="n">
        <v>46246</v>
      </c>
      <c r="I40" s="56">
        <f>IF(F40="","",IF(H40&lt;&gt;"",H40,G40)-F40+1)</f>
        <v>59</v>
      </c>
      <c r="J40" s="60" t="inlineStr">
        <is>
          <t>Review</t>
        </is>
      </c>
      <c r="K40" s="57">
        <f>IFERROR(VLOOKUP(J40,'Milestones &amp; Controls'!$A$39:$B$43,2,FALSE),0)</f>
        <v>0.85</v>
      </c>
      <c r="L40" s="55" t="n"/>
      <c r="M40" s="54" t="inlineStr">
        <is>
          <t>Planned: 15 Jun–12 Jul | Observed: Model/research exist</t>
        </is>
      </c>
      <c r="N40" s="54" t="inlineStr"/>
      <c r="O40" s="54" t="inlineStr">
        <is>
          <t>One assumption set is recorded and used consistently in deck and script — Financial model and customer research; C2–C4/M5/M8</t>
        </is>
      </c>
      <c r="P40" s="58" t="inlineStr"/>
      <c r="Q40" s="59" t="str">
        <f>IF(OR(H40="",J40="Done",J40="Deferred"),"",IF(H40&lt;DATE(2026,8,12),"OVERDUE",IF(H40=DATE(2026,8,12),"DUE","")))</f>
        <v>DUE</v>
      </c>
      <c r="R40" s="54" t="inlineStr">
        <is>
          <t>Master Kanban — Review</t>
        </is>
      </c>
    </row>
    <row r="41" ht="50" customHeight="1">
      <c r="A41" s="45" t="inlineStr">
        <is>
          <t>GOV-05</t>
        </is>
      </c>
      <c r="B41" s="45" t="inlineStr">
        <is>
          <t>GOV</t>
        </is>
      </c>
      <c r="C41" s="46" t="inlineStr">
        <is>
          <t>Governance, decision, risk and blocker control maintained through submission</t>
        </is>
      </c>
      <c r="D41" s="46" t="inlineStr">
        <is>
          <t>Tamer, Dan</t>
        </is>
      </c>
      <c r="E41" s="45" t="inlineStr">
        <is>
          <t>Tamer</t>
        </is>
      </c>
      <c r="F41" s="47" t="n">
        <v>46182</v>
      </c>
      <c r="G41" s="47" t="n">
        <v>46248</v>
      </c>
      <c r="H41" s="47" t="n">
        <v>46248</v>
      </c>
      <c r="I41" s="48">
        <f>IF(F41="","",IF(H41&lt;&gt;"",H41,G41)-F41+1)</f>
        <v>67</v>
      </c>
      <c r="J41" s="61" t="inlineStr">
        <is>
          <t>Doing</t>
        </is>
      </c>
      <c r="K41" s="50">
        <f>IFERROR(VLOOKUP(J41,'Milestones &amp; Controls'!$A$39:$B$43,2,FALSE),0)</f>
        <v>0.55</v>
      </c>
      <c r="L41" s="47" t="n"/>
      <c r="M41" s="46" t="inlineStr">
        <is>
          <t>Planned: 9 Jun–14 Aug</t>
        </is>
      </c>
      <c r="N41" s="46" t="inlineStr">
        <is>
          <t>All workstreams; T7, T8, D3</t>
        </is>
      </c>
      <c r="O41" s="46" t="inlineStr">
        <is>
          <t>Daily critical-path update; decisions and variances reflected in all reports</t>
        </is>
      </c>
      <c r="P41" s="51" t="inlineStr"/>
      <c r="Q41" s="52" t="str">
        <f>IF(OR(H41="",J41="Done",J41="Deferred"),"",IF(H41&lt;DATE(2026,8,12),"OVERDUE",IF(H41=DATE(2026,8,12),"DUE","")))</f>
        <v/>
      </c>
      <c r="R41" s="46" t="inlineStr">
        <is>
          <t>Master Kanban — Doing</t>
        </is>
      </c>
    </row>
    <row r="42" ht="50" customHeight="1">
      <c r="A42" s="53" t="inlineStr">
        <is>
          <t>UX-04</t>
        </is>
      </c>
      <c r="B42" s="53" t="inlineStr">
        <is>
          <t>UX</t>
        </is>
      </c>
      <c r="C42" s="54" t="inlineStr">
        <is>
          <t>/dashboard approved as the single recorded product route</t>
        </is>
      </c>
      <c r="D42" s="54" t="inlineStr">
        <is>
          <t>Mo, Dan</t>
        </is>
      </c>
      <c r="E42" s="53" t="inlineStr">
        <is>
          <t>Mo</t>
        </is>
      </c>
      <c r="F42" s="55" t="n">
        <v>46237</v>
      </c>
      <c r="G42" s="55" t="n">
        <v>46243</v>
      </c>
      <c r="H42" s="55" t="n">
        <v>46245</v>
      </c>
      <c r="I42" s="56">
        <f>IF(F42="","",IF(H42&lt;&gt;"",H42,G42)-F42+1)</f>
        <v>9</v>
      </c>
      <c r="J42" s="61" t="inlineStr">
        <is>
          <t>Doing</t>
        </is>
      </c>
      <c r="K42" s="57">
        <f>IFERROR(VLOOKUP(J42,'Milestones &amp; Controls'!$A$39:$B$43,2,FALSE),0)</f>
        <v>0.55</v>
      </c>
      <c r="L42" s="55" t="n"/>
      <c r="M42" s="54" t="inlineStr">
        <is>
          <t>Planned: 3–9 Aug</t>
        </is>
      </c>
      <c r="N42" s="54" t="inlineStr">
        <is>
          <t>TEC-09; M1–M3</t>
        </is>
      </c>
      <c r="O42" s="54" t="inlineStr">
        <is>
          <t>Overdue at 12 Aug: team decision, route allowlist, demo accounts and exact click path must be recorded; legacy/dev/admin navigation must be excluded</t>
        </is>
      </c>
      <c r="P42" s="58" t="inlineStr">
        <is>
          <t>Zero float</t>
        </is>
      </c>
      <c r="Q42" s="59" t="str">
        <f>IF(OR(H42="",J42="Done",J42="Deferred"),"",IF(H42&lt;DATE(2026,8,12),"OVERDUE",IF(H42=DATE(2026,8,12),"DUE","")))</f>
        <v>OVERDUE</v>
      </c>
      <c r="R42" s="54" t="inlineStr">
        <is>
          <t>Master Kanban — Doing</t>
        </is>
      </c>
    </row>
    <row r="43" ht="50" customHeight="1">
      <c r="A43" s="45" t="inlineStr">
        <is>
          <t>UX-05</t>
        </is>
      </c>
      <c r="B43" s="45" t="inlineStr">
        <is>
          <t>UX</t>
        </is>
      </c>
      <c r="C43" s="46" t="inlineStr">
        <is>
          <t>Demo polish, empty/error states and accessibility pass completed</t>
        </is>
      </c>
      <c r="D43" s="46" t="inlineStr">
        <is>
          <t>Mo</t>
        </is>
      </c>
      <c r="E43" s="45" t="inlineStr">
        <is>
          <t>Mo</t>
        </is>
      </c>
      <c r="F43" s="47" t="n">
        <v>46237</v>
      </c>
      <c r="G43" s="47" t="n">
        <v>46246</v>
      </c>
      <c r="H43" s="47" t="n">
        <v>46246</v>
      </c>
      <c r="I43" s="48">
        <f>IF(F43="","",IF(H43&lt;&gt;"",H43,G43)-F43+1)</f>
        <v>10</v>
      </c>
      <c r="J43" s="61" t="inlineStr">
        <is>
          <t>Doing</t>
        </is>
      </c>
      <c r="K43" s="50">
        <f>IFERROR(VLOOKUP(J43,'Milestones &amp; Controls'!$A$39:$B$43,2,FALSE),0)</f>
        <v>0.55</v>
      </c>
      <c r="L43" s="47" t="n"/>
      <c r="M43" s="46" t="inlineStr">
        <is>
          <t>Planned: 3–12 Aug</t>
        </is>
      </c>
      <c r="N43" s="46" t="inlineStr">
        <is>
          <t>UX-04, TEC-09; M4</t>
        </is>
      </c>
      <c r="O43" s="46" t="inlineStr">
        <is>
          <t>Recorded path has no broken/legacy navigation; key text and states are legible</t>
        </is>
      </c>
      <c r="P43" s="51" t="inlineStr">
        <is>
          <t>Zero float</t>
        </is>
      </c>
      <c r="Q43" s="52" t="str">
        <f>IF(OR(H43="",J43="Done",J43="Deferred"),"",IF(H43&lt;DATE(2026,8,12),"OVERDUE",IF(H43=DATE(2026,8,12),"DUE","")))</f>
        <v>DUE</v>
      </c>
      <c r="R43" s="46" t="inlineStr">
        <is>
          <t>Master Kanban — Doing</t>
        </is>
      </c>
    </row>
    <row r="44" ht="50" customHeight="1">
      <c r="A44" s="53" t="inlineStr">
        <is>
          <t>BUS-05</t>
        </is>
      </c>
      <c r="B44" s="53" t="inlineStr">
        <is>
          <t>BUS</t>
        </is>
      </c>
      <c r="C44" s="54" t="inlineStr">
        <is>
          <t>Final real-value and commercial narrative locked</t>
        </is>
      </c>
      <c r="D44" s="54" t="inlineStr">
        <is>
          <t>Conrad, Mo, Tamer</t>
        </is>
      </c>
      <c r="E44" s="53" t="inlineStr">
        <is>
          <t>Conrad</t>
        </is>
      </c>
      <c r="F44" s="55" t="n">
        <v>46230</v>
      </c>
      <c r="G44" s="55" t="n">
        <v>46246</v>
      </c>
      <c r="H44" s="55" t="n">
        <v>46246</v>
      </c>
      <c r="I44" s="56">
        <f>IF(F44="","",IF(H44&lt;&gt;"",H44,G44)-F44+1)</f>
        <v>17</v>
      </c>
      <c r="J44" s="61" t="inlineStr">
        <is>
          <t>Doing</t>
        </is>
      </c>
      <c r="K44" s="57">
        <f>IFERROR(VLOOKUP(J44,'Milestones &amp; Controls'!$A$39:$B$43,2,FALSE),0)</f>
        <v>0.55</v>
      </c>
      <c r="L44" s="55" t="n"/>
      <c r="M44" s="54" t="inlineStr">
        <is>
          <t>Planned: 27 Jul–12 Aug</t>
        </is>
      </c>
      <c r="N44" s="54" t="inlineStr">
        <is>
          <t>BUS-03, BUS-04; T2, T9</t>
        </is>
      </c>
      <c r="O44" s="54" t="inlineStr">
        <is>
          <t>Problem, beachhead, differentiation, business model, evidence and ask use one approved story</t>
        </is>
      </c>
      <c r="P44" s="58" t="inlineStr">
        <is>
          <t>Zero float</t>
        </is>
      </c>
      <c r="Q44" s="59" t="str">
        <f>IF(OR(H44="",J44="Done",J44="Deferred"),"",IF(H44&lt;DATE(2026,8,12),"OVERDUE",IF(H44=DATE(2026,8,12),"DUE","")))</f>
        <v>DUE</v>
      </c>
      <c r="R44" s="54" t="inlineStr">
        <is>
          <t>Master Kanban — Doing</t>
        </is>
      </c>
    </row>
    <row r="45" ht="50" customHeight="1">
      <c r="A45" s="45" t="inlineStr">
        <is>
          <t>BUS-07</t>
        </is>
      </c>
      <c r="B45" s="45" t="inlineStr">
        <is>
          <t>BUS</t>
        </is>
      </c>
      <c r="C45" s="46" t="inlineStr">
        <is>
          <t>Evidence-aligned BMC v2 approved for final pitch</t>
        </is>
      </c>
      <c r="D45" s="46" t="inlineStr">
        <is>
          <t>Conrad, Tamer, Mo, Badhri</t>
        </is>
      </c>
      <c r="E45" s="45" t="inlineStr">
        <is>
          <t>Conrad</t>
        </is>
      </c>
      <c r="F45" s="47" t="n">
        <v>46246</v>
      </c>
      <c r="G45" s="47" t="n">
        <v>46246</v>
      </c>
      <c r="H45" s="47" t="n">
        <v>46246</v>
      </c>
      <c r="I45" s="48">
        <f>IF(F45="","",IF(H45&lt;&gt;"",H45,G45)-F45+1)</f>
        <v>1</v>
      </c>
      <c r="J45" s="61" t="inlineStr">
        <is>
          <t>Doing</t>
        </is>
      </c>
      <c r="K45" s="50">
        <f>IFERROR(VLOOKUP(J45,'Milestones &amp; Controls'!$A$39:$B$43,2,FALSE),0)</f>
        <v>0.55</v>
      </c>
      <c r="L45" s="47" t="n"/>
      <c r="M45" s="46" t="inlineStr">
        <is>
          <t>Planned: 12 Aug</t>
        </is>
      </c>
      <c r="N45" s="46" t="inlineStr">
        <is>
          <t>BUS-03, BUS-04, BUS-06; T2</t>
        </is>
      </c>
      <c r="O45" s="46" t="inlineStr">
        <is>
          <t>Zero float: close before SUB-01 or remove unresolved BMC claims; narrow beachhead, financing distinction, minimum-plus-% fee and delivered/roadmap split required</t>
        </is>
      </c>
      <c r="P45" s="51" t="inlineStr">
        <is>
          <t>Zero float</t>
        </is>
      </c>
      <c r="Q45" s="52" t="str">
        <f>IF(OR(H45="",J45="Done",J45="Deferred"),"",IF(H45&lt;DATE(2026,8,12),"OVERDUE",IF(H45=DATE(2026,8,12),"DUE","")))</f>
        <v>DUE</v>
      </c>
      <c r="R45" s="46" t="inlineStr">
        <is>
          <t>Master Kanban — Doing</t>
        </is>
      </c>
    </row>
    <row r="46" ht="50" customHeight="1">
      <c r="A46" s="53" t="inlineStr">
        <is>
          <t>SUB-01</t>
        </is>
      </c>
      <c r="B46" s="53" t="inlineStr">
        <is>
          <t>SUB</t>
        </is>
      </c>
      <c r="C46" s="54" t="inlineStr">
        <is>
          <t>Five-minute deck and timed script locked</t>
        </is>
      </c>
      <c r="D46" s="54" t="inlineStr">
        <is>
          <t>Tamer, all leads</t>
        </is>
      </c>
      <c r="E46" s="53" t="inlineStr">
        <is>
          <t>Tamer</t>
        </is>
      </c>
      <c r="F46" s="55" t="n">
        <v>46230</v>
      </c>
      <c r="G46" s="55" t="n">
        <v>46243</v>
      </c>
      <c r="H46" s="55" t="n">
        <v>46246</v>
      </c>
      <c r="I46" s="56">
        <f>IF(F46="","",IF(H46&lt;&gt;"",H46,G46)-F46+1)</f>
        <v>17</v>
      </c>
      <c r="J46" s="61" t="inlineStr">
        <is>
          <t>Doing</t>
        </is>
      </c>
      <c r="K46" s="57">
        <f>IFERROR(VLOOKUP(J46,'Milestones &amp; Controls'!$A$39:$B$43,2,FALSE),0)</f>
        <v>0.55</v>
      </c>
      <c r="L46" s="55" t="n"/>
      <c r="M46" s="54" t="inlineStr">
        <is>
          <t>Planned: 27 Jul–9 Aug</t>
        </is>
      </c>
      <c r="N46" s="54" t="inlineStr">
        <is>
          <t>PRD-04, RISK-06, BUS-05; D4</t>
        </is>
      </c>
      <c r="O46" s="54" t="inlineStr">
        <is>
          <t>Script is under five minutes and weights real value above technical detail</t>
        </is>
      </c>
      <c r="P46" s="58" t="inlineStr">
        <is>
          <t>Zero float</t>
        </is>
      </c>
      <c r="Q46" s="59" t="str">
        <f>IF(OR(H46="",J46="Done",J46="Deferred"),"",IF(H46&lt;DATE(2026,8,12),"OVERDUE",IF(H46=DATE(2026,8,12),"DUE","")))</f>
        <v>DUE</v>
      </c>
      <c r="R46" s="54" t="inlineStr">
        <is>
          <t>Master Kanban — Doing</t>
        </is>
      </c>
    </row>
    <row r="47" ht="50" customHeight="1">
      <c r="A47" s="45" t="inlineStr">
        <is>
          <t>SUB-02</t>
        </is>
      </c>
      <c r="B47" s="45" t="inlineStr">
        <is>
          <t>SUB</t>
        </is>
      </c>
      <c r="C47" s="46" t="inlineStr">
        <is>
          <t>Deterministic demo runbook and seed/reset procedure completed</t>
        </is>
      </c>
      <c r="D47" s="46" t="inlineStr">
        <is>
          <t>Dan, Nick</t>
        </is>
      </c>
      <c r="E47" s="45" t="inlineStr">
        <is>
          <t>Dan</t>
        </is>
      </c>
      <c r="F47" s="47" t="n">
        <v>46237</v>
      </c>
      <c r="G47" s="47" t="n">
        <v>46246</v>
      </c>
      <c r="H47" s="47" t="n">
        <v>46246</v>
      </c>
      <c r="I47" s="48">
        <f>IF(F47="","",IF(H47&lt;&gt;"",H47,G47)-F47+1)</f>
        <v>10</v>
      </c>
      <c r="J47" s="62" t="inlineStr">
        <is>
          <t>To Do</t>
        </is>
      </c>
      <c r="K47" s="50">
        <f>IFERROR(VLOOKUP(J47,'Milestones &amp; Controls'!$A$39:$B$43,2,FALSE),0)</f>
        <v>0.0</v>
      </c>
      <c r="L47" s="47" t="n"/>
      <c r="M47" s="46" t="inlineStr">
        <is>
          <t>Planned: 3–12 Aug</t>
        </is>
      </c>
      <c r="N47" s="46" t="inlineStr">
        <is>
          <t>TEC-09, UX-04; D4</t>
        </is>
      </c>
      <c r="O47" s="46" t="inlineStr">
        <is>
          <t>Another member can reproduce the happy path without improvisation</t>
        </is>
      </c>
      <c r="P47" s="51" t="inlineStr">
        <is>
          <t>Zero float</t>
        </is>
      </c>
      <c r="Q47" s="52" t="str">
        <f>IF(OR(H47="",J47="Done",J47="Deferred"),"",IF(H47&lt;DATE(2026,8,12),"OVERDUE",IF(H47=DATE(2026,8,12),"DUE","")))</f>
        <v>DUE</v>
      </c>
      <c r="R47" s="46" t="inlineStr">
        <is>
          <t>Master Kanban — To Do</t>
        </is>
      </c>
    </row>
    <row r="48" ht="50" customHeight="1">
      <c r="A48" s="53" t="inlineStr">
        <is>
          <t>SUB-03</t>
        </is>
      </c>
      <c r="B48" s="53" t="inlineStr">
        <is>
          <t>SUB</t>
        </is>
      </c>
      <c r="C48" s="54" t="inlineStr">
        <is>
          <t>Two cold end-to-end rehearsals completed</t>
        </is>
      </c>
      <c r="D48" s="54" t="inlineStr">
        <is>
          <t>Dan, Mo</t>
        </is>
      </c>
      <c r="E48" s="53" t="inlineStr">
        <is>
          <t>Dan</t>
        </is>
      </c>
      <c r="F48" s="55" t="n">
        <v>46244</v>
      </c>
      <c r="G48" s="55" t="n">
        <v>46247</v>
      </c>
      <c r="H48" s="55" t="n">
        <v>46247</v>
      </c>
      <c r="I48" s="56">
        <f>IF(F48="","",IF(H48&lt;&gt;"",H48,G48)-F48+1)</f>
        <v>4</v>
      </c>
      <c r="J48" s="62" t="inlineStr">
        <is>
          <t>To Do</t>
        </is>
      </c>
      <c r="K48" s="57">
        <f>IFERROR(VLOOKUP(J48,'Milestones &amp; Controls'!$A$39:$B$43,2,FALSE),0)</f>
        <v>0.0</v>
      </c>
      <c r="L48" s="55" t="n"/>
      <c r="M48" s="54" t="inlineStr">
        <is>
          <t>Planned: 10–13 Aug</t>
        </is>
      </c>
      <c r="N48" s="54" t="inlineStr">
        <is>
          <t>SUB-01, SUB-02</t>
        </is>
      </c>
      <c r="O48" s="54" t="inlineStr">
        <is>
          <t>Both runs complete within the timed allocation; defects and workarounds logged</t>
        </is>
      </c>
      <c r="P48" s="58" t="inlineStr">
        <is>
          <t>Critical path</t>
        </is>
      </c>
      <c r="Q48" s="59" t="str">
        <f>IF(OR(H48="",J48="Done",J48="Deferred"),"",IF(H48&lt;DATE(2026,8,12),"OVERDUE",IF(H48=DATE(2026,8,12),"DUE","")))</f>
        <v/>
      </c>
      <c r="R48" s="54" t="inlineStr">
        <is>
          <t>Master Kanban — To Do</t>
        </is>
      </c>
    </row>
    <row r="49" ht="50" customHeight="1">
      <c r="A49" s="45" t="inlineStr">
        <is>
          <t>SUB-04</t>
        </is>
      </c>
      <c r="B49" s="45" t="inlineStr">
        <is>
          <t>SUB</t>
        </is>
      </c>
      <c r="C49" s="46" t="inlineStr">
        <is>
          <t>Primary presentation recorded, edited and captioned</t>
        </is>
      </c>
      <c r="D49" s="46" t="inlineStr">
        <is>
          <t>Dan, Mo, Tamer</t>
        </is>
      </c>
      <c r="E49" s="45" t="inlineStr">
        <is>
          <t>Dan</t>
        </is>
      </c>
      <c r="F49" s="47" t="n">
        <v>46246</v>
      </c>
      <c r="G49" s="47" t="n">
        <v>46247</v>
      </c>
      <c r="H49" s="47" t="n">
        <v>46247</v>
      </c>
      <c r="I49" s="48">
        <f>IF(F49="","",IF(H49&lt;&gt;"",H49,G49)-F49+1)</f>
        <v>2</v>
      </c>
      <c r="J49" s="62" t="inlineStr">
        <is>
          <t>To Do</t>
        </is>
      </c>
      <c r="K49" s="50">
        <f>IFERROR(VLOOKUP(J49,'Milestones &amp; Controls'!$A$39:$B$43,2,FALSE),0)</f>
        <v>0.0</v>
      </c>
      <c r="L49" s="47" t="n"/>
      <c r="M49" s="46" t="inlineStr">
        <is>
          <t>Planned: 12–13 Aug</t>
        </is>
      </c>
      <c r="N49" s="46" t="inlineStr">
        <is>
          <t>SUB-03</t>
        </is>
      </c>
      <c r="O49" s="46" t="inlineStr">
        <is>
          <t>Final render is clear, below five minutes and uses approved product claims</t>
        </is>
      </c>
      <c r="P49" s="51" t="inlineStr">
        <is>
          <t>Critical path</t>
        </is>
      </c>
      <c r="Q49" s="52" t="str">
        <f>IF(OR(H49="",J49="Done",J49="Deferred"),"",IF(H49&lt;DATE(2026,8,12),"OVERDUE",IF(H49=DATE(2026,8,12),"DUE","")))</f>
        <v/>
      </c>
      <c r="R49" s="46" t="inlineStr">
        <is>
          <t>Master Kanban — To Do</t>
        </is>
      </c>
    </row>
    <row r="50" ht="50" customHeight="1">
      <c r="A50" s="53" t="inlineStr">
        <is>
          <t>SUB-05</t>
        </is>
      </c>
      <c r="B50" s="53" t="inlineStr">
        <is>
          <t>SUB</t>
        </is>
      </c>
      <c r="C50" s="54" t="inlineStr">
        <is>
          <t>Fallback demo recording retained</t>
        </is>
      </c>
      <c r="D50" s="54" t="inlineStr">
        <is>
          <t>Dan, Nick</t>
        </is>
      </c>
      <c r="E50" s="53" t="inlineStr">
        <is>
          <t>Dan</t>
        </is>
      </c>
      <c r="F50" s="55" t="n">
        <v>46246</v>
      </c>
      <c r="G50" s="55" t="n">
        <v>46247</v>
      </c>
      <c r="H50" s="55" t="n">
        <v>46247</v>
      </c>
      <c r="I50" s="56">
        <f>IF(F50="","",IF(H50&lt;&gt;"",H50,G50)-F50+1)</f>
        <v>2</v>
      </c>
      <c r="J50" s="62" t="inlineStr">
        <is>
          <t>To Do</t>
        </is>
      </c>
      <c r="K50" s="57">
        <f>IFERROR(VLOOKUP(J50,'Milestones &amp; Controls'!$A$39:$B$43,2,FALSE),0)</f>
        <v>0.0</v>
      </c>
      <c r="L50" s="55" t="n"/>
      <c r="M50" s="54" t="inlineStr">
        <is>
          <t>Planned: 12–13 Aug</t>
        </is>
      </c>
      <c r="N50" s="54" t="inlineStr">
        <is>
          <t>SUB-02, TEC-09</t>
        </is>
      </c>
      <c r="O50" s="54" t="inlineStr">
        <is>
          <t>Standalone fallback opens and shows the approved workflow</t>
        </is>
      </c>
      <c r="P50" s="58" t="inlineStr">
        <is>
          <t>Critical path</t>
        </is>
      </c>
      <c r="Q50" s="59" t="str">
        <f>IF(OR(H50="",J50="Done",J50="Deferred"),"",IF(H50&lt;DATE(2026,8,12),"OVERDUE",IF(H50=DATE(2026,8,12),"DUE","")))</f>
        <v/>
      </c>
      <c r="R50" s="54" t="inlineStr">
        <is>
          <t>Master Kanban — To Do</t>
        </is>
      </c>
    </row>
    <row r="51" ht="50" customHeight="1">
      <c r="A51" s="45" t="inlineStr">
        <is>
          <t>SUB-06</t>
        </is>
      </c>
      <c r="B51" s="45" t="inlineStr">
        <is>
          <t>SUB</t>
        </is>
      </c>
      <c r="C51" s="46" t="inlineStr">
        <is>
          <t>Video link, PDF and permission QA completed independently</t>
        </is>
      </c>
      <c r="D51" s="46" t="inlineStr">
        <is>
          <t>Tamer, independent checker (TBD)</t>
        </is>
      </c>
      <c r="E51" s="45" t="inlineStr">
        <is>
          <t>Tamer</t>
        </is>
      </c>
      <c r="F51" s="47" t="n">
        <v>46247</v>
      </c>
      <c r="G51" s="47" t="n">
        <v>46248</v>
      </c>
      <c r="H51" s="47" t="n">
        <v>46248</v>
      </c>
      <c r="I51" s="48">
        <f>IF(F51="","",IF(H51&lt;&gt;"",H51,G51)-F51+1)</f>
        <v>2</v>
      </c>
      <c r="J51" s="62" t="inlineStr">
        <is>
          <t>To Do</t>
        </is>
      </c>
      <c r="K51" s="50">
        <f>IFERROR(VLOOKUP(J51,'Milestones &amp; Controls'!$A$39:$B$43,2,FALSE),0)</f>
        <v>0.0</v>
      </c>
      <c r="L51" s="47" t="n"/>
      <c r="M51" s="46" t="inlineStr">
        <is>
          <t>Planned: 13–14 Aug</t>
        </is>
      </c>
      <c r="N51" s="46" t="inlineStr">
        <is>
          <t>SUB-04, SUB-05</t>
        </is>
      </c>
      <c r="O51" s="46" t="inlineStr">
        <is>
          <t>Link works in private browser; PDF renders; filename and permissions pass</t>
        </is>
      </c>
      <c r="P51" s="51" t="inlineStr">
        <is>
          <t>Critical path</t>
        </is>
      </c>
      <c r="Q51" s="52" t="str">
        <f>IF(OR(H51="",J51="Done",J51="Deferred"),"",IF(H51&lt;DATE(2026,8,12),"OVERDUE",IF(H51=DATE(2026,8,12),"DUE","")))</f>
        <v/>
      </c>
      <c r="R51" s="46" t="inlineStr">
        <is>
          <t>Master Kanban — To Do</t>
        </is>
      </c>
    </row>
    <row r="52" ht="50" customHeight="1">
      <c r="A52" s="53" t="inlineStr">
        <is>
          <t>SUB-07</t>
        </is>
      </c>
      <c r="B52" s="53" t="inlineStr">
        <is>
          <t>SUB</t>
        </is>
      </c>
      <c r="C52" s="54" t="inlineStr">
        <is>
          <t>Main group video submission completed</t>
        </is>
      </c>
      <c r="D52" s="54" t="inlineStr">
        <is>
          <t>Tamer</t>
        </is>
      </c>
      <c r="E52" s="53" t="inlineStr">
        <is>
          <t>Tamer</t>
        </is>
      </c>
      <c r="F52" s="55" t="n">
        <v>46248</v>
      </c>
      <c r="G52" s="55" t="n">
        <v>46248</v>
      </c>
      <c r="H52" s="55" t="n">
        <v>46248</v>
      </c>
      <c r="I52" s="56">
        <f>IF(F52="","",IF(H52&lt;&gt;"",H52,G52)-F52+1)</f>
        <v>1</v>
      </c>
      <c r="J52" s="62" t="inlineStr">
        <is>
          <t>To Do</t>
        </is>
      </c>
      <c r="K52" s="57">
        <f>IFERROR(VLOOKUP(J52,'Milestones &amp; Controls'!$A$39:$B$43,2,FALSE),0)</f>
        <v>0.0</v>
      </c>
      <c r="L52" s="55" t="n"/>
      <c r="M52" s="54" t="inlineStr">
        <is>
          <t>Planned: 14 Aug</t>
        </is>
      </c>
      <c r="N52" s="54" t="inlineStr">
        <is>
          <t>SUB-06</t>
        </is>
      </c>
      <c r="O52" s="54" t="inlineStr">
        <is>
          <t>Submission receipt and final artifacts preserved</t>
        </is>
      </c>
      <c r="P52" s="58" t="inlineStr">
        <is>
          <t>Critical path</t>
        </is>
      </c>
      <c r="Q52" s="59" t="str">
        <f>IF(OR(H52="",J52="Done",J52="Deferred"),"",IF(H52&lt;DATE(2026,8,12),"OVERDUE",IF(H52=DATE(2026,8,12),"DUE","")))</f>
        <v/>
      </c>
      <c r="R52" s="54" t="inlineStr">
        <is>
          <t>Master Kanban — To Do</t>
        </is>
      </c>
    </row>
    <row r="53" ht="50" customHeight="1">
      <c r="A53" s="63" t="inlineStr">
        <is>
          <t>DEF-01</t>
        </is>
      </c>
      <c r="B53" s="63" t="inlineStr">
        <is>
          <t>Deferred</t>
        </is>
      </c>
      <c r="C53" s="64" t="inlineStr">
        <is>
          <t>AI/OCR document extraction</t>
        </is>
      </c>
      <c r="D53" s="64" t="inlineStr"/>
      <c r="E53" s="63" t="inlineStr"/>
      <c r="F53" s="65" t="n"/>
      <c r="G53" s="65" t="n"/>
      <c r="H53" s="65" t="n"/>
      <c r="I53" s="66" t="str">
        <f>IF(F53="","",IF(H53&lt;&gt;"",H53,G53)-F53+1)</f>
        <v/>
      </c>
      <c r="J53" s="67" t="inlineStr">
        <is>
          <t>Deferred</t>
        </is>
      </c>
      <c r="K53" s="68">
        <f>IFERROR(VLOOKUP(J53,'Milestones &amp; Controls'!$A$39:$B$43,2,FALSE),0)</f>
        <v>0.0</v>
      </c>
      <c r="L53" s="65" t="n"/>
      <c r="M53" s="64" t="inlineStr">
        <is>
          <t>Planned: not scheduled</t>
        </is>
      </c>
      <c r="N53" s="64" t="inlineStr"/>
      <c r="O53" s="64" t="inlineStr">
        <is>
          <t>Not required for a credible deterministic prototype; delivered claim would be misleading — Extraction accuracy evaluation, failure handling and integrated acceptance</t>
        </is>
      </c>
      <c r="P53" s="69" t="inlineStr"/>
      <c r="Q53" s="67" t="str">
        <f>IF(OR(H53="",J53="Done",J53="Deferred"),"",IF(H53&lt;DATE(2026,8,12),"OVERDUE",IF(H53=DATE(2026,8,12),"DUE","")))</f>
        <v/>
      </c>
      <c r="R53" s="64" t="inlineStr">
        <is>
          <t>Master Kanban — Deferred / post-MVP</t>
        </is>
      </c>
    </row>
    <row r="54" ht="50" customHeight="1">
      <c r="A54" s="63" t="inlineStr">
        <is>
          <t>DEF-02</t>
        </is>
      </c>
      <c r="B54" s="63" t="inlineStr">
        <is>
          <t>Deferred</t>
        </is>
      </c>
      <c r="C54" s="64" t="inlineStr">
        <is>
          <t>Live KYC/KYB and sanctions providers</t>
        </is>
      </c>
      <c r="D54" s="64" t="inlineStr"/>
      <c r="E54" s="63" t="inlineStr"/>
      <c r="F54" s="65" t="n"/>
      <c r="G54" s="65" t="n"/>
      <c r="H54" s="65" t="n"/>
      <c r="I54" s="66" t="str">
        <f>IF(F54="","",IF(H54&lt;&gt;"",H54,G54)-F54+1)</f>
        <v/>
      </c>
      <c r="J54" s="67" t="inlineStr">
        <is>
          <t>Deferred</t>
        </is>
      </c>
      <c r="K54" s="68">
        <f>IFERROR(VLOOKUP(J54,'Milestones &amp; Controls'!$A$39:$B$43,2,FALSE),0)</f>
        <v>0.0</v>
      </c>
      <c r="L54" s="65" t="n"/>
      <c r="M54" s="64" t="inlineStr">
        <is>
          <t>Planned: not scheduled</t>
        </is>
      </c>
      <c r="N54" s="64" t="inlineStr"/>
      <c r="O54" s="64" t="inlineStr">
        <is>
          <t>Provider, jurisdiction and operational responsibilities are unresolved — Provider selection, contracts, test environment and compliance approval</t>
        </is>
      </c>
      <c r="P54" s="69" t="inlineStr"/>
      <c r="Q54" s="67" t="str">
        <f>IF(OR(H54="",J54="Done",J54="Deferred"),"",IF(H54&lt;DATE(2026,8,12),"OVERDUE",IF(H54=DATE(2026,8,12),"DUE","")))</f>
        <v/>
      </c>
      <c r="R54" s="64" t="inlineStr">
        <is>
          <t>Master Kanban — Deferred / post-MVP</t>
        </is>
      </c>
    </row>
    <row r="55" ht="50" customHeight="1">
      <c r="A55" s="63" t="inlineStr">
        <is>
          <t>DEF-03</t>
        </is>
      </c>
      <c r="B55" s="63" t="inlineStr">
        <is>
          <t>Deferred</t>
        </is>
      </c>
      <c r="C55" s="64" t="inlineStr">
        <is>
          <t>Generated or counsel-approved Trade Escrow Agreement</t>
        </is>
      </c>
      <c r="D55" s="64" t="inlineStr"/>
      <c r="E55" s="63" t="inlineStr"/>
      <c r="F55" s="65" t="n"/>
      <c r="G55" s="65" t="n"/>
      <c r="H55" s="65" t="n"/>
      <c r="I55" s="66" t="str">
        <f>IF(F55="","",IF(H55&lt;&gt;"",H55,G55)-F55+1)</f>
        <v/>
      </c>
      <c r="J55" s="67" t="inlineStr">
        <is>
          <t>Deferred</t>
        </is>
      </c>
      <c r="K55" s="68">
        <f>IFERROR(VLOOKUP(J55,'Milestones &amp; Controls'!$A$39:$B$43,2,FALSE),0)</f>
        <v>0.0</v>
      </c>
      <c r="L55" s="65" t="n"/>
      <c r="M55" s="64" t="inlineStr">
        <is>
          <t>Planned: not scheduled</t>
        </is>
      </c>
      <c r="N55" s="64" t="inlineStr"/>
      <c r="O55" s="64" t="inlineStr">
        <is>
          <t>Legal wrapper is not production-ready — Jurisdiction choice, qualified legal review and signed operating model</t>
        </is>
      </c>
      <c r="P55" s="69" t="inlineStr"/>
      <c r="Q55" s="67" t="str">
        <f>IF(OR(H55="",J55="Done",J55="Deferred"),"",IF(H55&lt;DATE(2026,8,12),"OVERDUE",IF(H55=DATE(2026,8,12),"DUE","")))</f>
        <v/>
      </c>
      <c r="R55" s="64" t="inlineStr">
        <is>
          <t>Master Kanban — Deferred / post-MVP</t>
        </is>
      </c>
    </row>
    <row r="56" ht="50" customHeight="1">
      <c r="A56" s="63" t="inlineStr">
        <is>
          <t>DEF-04</t>
        </is>
      </c>
      <c r="B56" s="63" t="inlineStr">
        <is>
          <t>Deferred</t>
        </is>
      </c>
      <c r="C56" s="64" t="inlineStr">
        <is>
          <t>Human document-examiner console and network</t>
        </is>
      </c>
      <c r="D56" s="64" t="inlineStr"/>
      <c r="E56" s="63" t="inlineStr"/>
      <c r="F56" s="65" t="n"/>
      <c r="G56" s="65" t="n"/>
      <c r="H56" s="65" t="n"/>
      <c r="I56" s="66" t="str">
        <f>IF(F56="","",IF(H56&lt;&gt;"",H56,G56)-F56+1)</f>
        <v/>
      </c>
      <c r="J56" s="67" t="inlineStr">
        <is>
          <t>Deferred</t>
        </is>
      </c>
      <c r="K56" s="68">
        <f>IFERROR(VLOOKUP(J56,'Milestones &amp; Controls'!$A$39:$B$43,2,FALSE),0)</f>
        <v>0.0</v>
      </c>
      <c r="L56" s="65" t="n"/>
      <c r="M56" s="64" t="inlineStr">
        <is>
          <t>Planned: not scheduled</t>
        </is>
      </c>
      <c r="N56" s="64" t="inlineStr"/>
      <c r="O56" s="64" t="inlineStr">
        <is>
          <t>Research exists but the operating service is not delivered — SOP, permissions, audit model, staffing and tested console</t>
        </is>
      </c>
      <c r="P56" s="69" t="inlineStr"/>
      <c r="Q56" s="67" t="str">
        <f>IF(OR(H56="",J56="Done",J56="Deferred"),"",IF(H56&lt;DATE(2026,8,12),"OVERDUE",IF(H56=DATE(2026,8,12),"DUE","")))</f>
        <v/>
      </c>
      <c r="R56" s="64" t="inlineStr">
        <is>
          <t>Master Kanban — Deferred / post-MVP</t>
        </is>
      </c>
    </row>
    <row r="57" ht="50" customHeight="1">
      <c r="A57" s="63" t="inlineStr">
        <is>
          <t>DEF-05</t>
        </is>
      </c>
      <c r="B57" s="63" t="inlineStr">
        <is>
          <t>Deferred</t>
        </is>
      </c>
      <c r="C57" s="64" t="inlineStr">
        <is>
          <t>Electronic bill-of-lading title transfer</t>
        </is>
      </c>
      <c r="D57" s="64" t="inlineStr"/>
      <c r="E57" s="63" t="inlineStr"/>
      <c r="F57" s="65" t="n"/>
      <c r="G57" s="65" t="n"/>
      <c r="H57" s="65" t="n"/>
      <c r="I57" s="66" t="str">
        <f>IF(F57="","",IF(H57&lt;&gt;"",H57,G57)-F57+1)</f>
        <v/>
      </c>
      <c r="J57" s="67" t="inlineStr">
        <is>
          <t>Deferred</t>
        </is>
      </c>
      <c r="K57" s="68">
        <f>IFERROR(VLOOKUP(J57,'Milestones &amp; Controls'!$A$39:$B$43,2,FALSE),0)</f>
        <v>0.0</v>
      </c>
      <c r="L57" s="65" t="n"/>
      <c r="M57" s="64" t="inlineStr">
        <is>
          <t>Planned: not scheduled</t>
        </is>
      </c>
      <c r="N57" s="64" t="inlineStr"/>
      <c r="O57" s="64" t="inlineStr">
        <is>
          <t>Legal and technical scope exceeds the academic MVP — eBL provider/legal framework and end-to-end title controls</t>
        </is>
      </c>
      <c r="P57" s="69" t="inlineStr"/>
      <c r="Q57" s="67" t="str">
        <f>IF(OR(H57="",J57="Done",J57="Deferred"),"",IF(H57&lt;DATE(2026,8,12),"OVERDUE",IF(H57=DATE(2026,8,12),"DUE","")))</f>
        <v/>
      </c>
      <c r="R57" s="64" t="inlineStr">
        <is>
          <t>Master Kanban — Deferred / post-MVP</t>
        </is>
      </c>
    </row>
    <row r="58" ht="50" customHeight="1">
      <c r="A58" s="63" t="inlineStr">
        <is>
          <t>DEF-06</t>
        </is>
      </c>
      <c r="B58" s="63" t="inlineStr">
        <is>
          <t>Deferred</t>
        </is>
      </c>
      <c r="C58" s="64" t="inlineStr">
        <is>
          <t>Mainnet, custody and production hardening</t>
        </is>
      </c>
      <c r="D58" s="64" t="inlineStr"/>
      <c r="E58" s="63" t="inlineStr"/>
      <c r="F58" s="65" t="n"/>
      <c r="G58" s="65" t="n"/>
      <c r="H58" s="65" t="n"/>
      <c r="I58" s="66" t="str">
        <f>IF(F58="","",IF(H58&lt;&gt;"",H58,G58)-F58+1)</f>
        <v/>
      </c>
      <c r="J58" s="67" t="inlineStr">
        <is>
          <t>Deferred</t>
        </is>
      </c>
      <c r="K58" s="68">
        <f>IFERROR(VLOOKUP(J58,'Milestones &amp; Controls'!$A$39:$B$43,2,FALSE),0)</f>
        <v>0.0</v>
      </c>
      <c r="L58" s="65" t="n"/>
      <c r="M58" s="64" t="inlineStr">
        <is>
          <t>Planned: not scheduled</t>
        </is>
      </c>
      <c r="N58" s="64" t="inlineStr"/>
      <c r="O58" s="64" t="inlineStr">
        <is>
          <t>Testnet/local evidence is sufficient for the assessment prototype — Security review, key management, monitoring and production runbook</t>
        </is>
      </c>
      <c r="P58" s="69" t="inlineStr"/>
      <c r="Q58" s="67" t="str">
        <f>IF(OR(H58="",J58="Done",J58="Deferred"),"",IF(H58&lt;DATE(2026,8,12),"OVERDUE",IF(H58=DATE(2026,8,12),"DUE","")))</f>
        <v/>
      </c>
      <c r="R58" s="64" t="inlineStr">
        <is>
          <t>Master Kanban — Deferred / post-MVP</t>
        </is>
      </c>
    </row>
    <row r="59" ht="50" customHeight="1">
      <c r="A59" s="63" t="inlineStr">
        <is>
          <t>DEF-07</t>
        </is>
      </c>
      <c r="B59" s="63" t="inlineStr">
        <is>
          <t>Deferred</t>
        </is>
      </c>
      <c r="C59" s="64" t="inlineStr">
        <is>
          <t>Partner logistics, bank and compliance APIs</t>
        </is>
      </c>
      <c r="D59" s="64" t="inlineStr"/>
      <c r="E59" s="63" t="inlineStr"/>
      <c r="F59" s="65" t="n"/>
      <c r="G59" s="65" t="n"/>
      <c r="H59" s="65" t="n"/>
      <c r="I59" s="66" t="str">
        <f>IF(F59="","",IF(H59&lt;&gt;"",H59,G59)-F59+1)</f>
        <v/>
      </c>
      <c r="J59" s="67" t="inlineStr">
        <is>
          <t>Deferred</t>
        </is>
      </c>
      <c r="K59" s="68">
        <f>IFERROR(VLOOKUP(J59,'Milestones &amp; Controls'!$A$39:$B$43,2,FALSE),0)</f>
        <v>0.0</v>
      </c>
      <c r="L59" s="65" t="n"/>
      <c r="M59" s="64" t="inlineStr">
        <is>
          <t>Planned: not scheduled</t>
        </is>
      </c>
      <c r="N59" s="64" t="inlineStr"/>
      <c r="O59" s="64" t="inlineStr">
        <is>
          <t>External coordination and reliability are outside the submission window — Selected partners, sandbox access, contracts and integration tests</t>
        </is>
      </c>
      <c r="P59" s="69" t="inlineStr"/>
      <c r="Q59" s="67" t="str">
        <f>IF(OR(H59="",J59="Done",J59="Deferred"),"",IF(H59&lt;DATE(2026,8,12),"OVERDUE",IF(H59=DATE(2026,8,12),"DUE","")))</f>
        <v/>
      </c>
      <c r="R59" s="64" t="inlineStr">
        <is>
          <t>Master Kanban — Deferred / post-MVP</t>
        </is>
      </c>
    </row>
    <row r="60" ht="50" customHeight="1">
      <c r="A60" s="63" t="inlineStr">
        <is>
          <t>DEF-08</t>
        </is>
      </c>
      <c r="B60" s="63" t="inlineStr">
        <is>
          <t>Deferred</t>
        </is>
      </c>
      <c r="C60" s="64" t="inlineStr">
        <is>
          <t>User-facing multi-agent runtime</t>
        </is>
      </c>
      <c r="D60" s="64" t="inlineStr"/>
      <c r="E60" s="63" t="inlineStr"/>
      <c r="F60" s="65" t="n"/>
      <c r="G60" s="65" t="n"/>
      <c r="H60" s="65" t="n"/>
      <c r="I60" s="66" t="str">
        <f>IF(F60="","",IF(H60&lt;&gt;"",H60,G60)-F60+1)</f>
        <v/>
      </c>
      <c r="J60" s="67" t="inlineStr">
        <is>
          <t>Deferred</t>
        </is>
      </c>
      <c r="K60" s="68">
        <f>IFERROR(VLOOKUP(J60,'Milestones &amp; Controls'!$A$39:$B$43,2,FALSE),0)</f>
        <v>0.0</v>
      </c>
      <c r="L60" s="65" t="n"/>
      <c r="M60" s="64" t="inlineStr">
        <is>
          <t>Planned: not scheduled</t>
        </is>
      </c>
      <c r="N60" s="64" t="inlineStr"/>
      <c r="O60" s="64" t="inlineStr">
        <is>
          <t>Agent scaffold is not the same as a delivered product runtime — Approved use cases, API integration, safety controls and UX acceptance</t>
        </is>
      </c>
      <c r="P60" s="69" t="inlineStr"/>
      <c r="Q60" s="67" t="str">
        <f>IF(OR(H60="",J60="Done",J60="Deferred"),"",IF(H60&lt;DATE(2026,8,12),"OVERDUE",IF(H60=DATE(2026,8,12),"DUE","")))</f>
        <v/>
      </c>
      <c r="R60" s="64" t="inlineStr">
        <is>
          <t>Master Kanban — Deferred / post-MVP</t>
        </is>
      </c>
    </row>
  </sheetData>
  <autoFilter ref="A8:R60"/>
  <mergeCells count="14">
    <mergeCell ref="A2:R2"/>
    <mergeCell ref="A5:C6"/>
    <mergeCell ref="D5:F6"/>
    <mergeCell ref="D4:F4"/>
    <mergeCell ref="G5:I6"/>
    <mergeCell ref="M4:O4"/>
    <mergeCell ref="P5:R6"/>
    <mergeCell ref="M5:O6"/>
    <mergeCell ref="J5:L6"/>
    <mergeCell ref="G4:I4"/>
    <mergeCell ref="A1:R1"/>
    <mergeCell ref="J4:L4"/>
    <mergeCell ref="A4:C4"/>
    <mergeCell ref="P4:R4"/>
  </mergeCells>
  <conditionalFormatting sqref="A9:R60">
    <cfRule type="expression" priority="1" dxfId="5">
      <formula>$J9="Done"</formula>
    </cfRule>
    <cfRule type="expression" priority="2" dxfId="6">
      <formula>$J9="Review"</formula>
    </cfRule>
    <cfRule type="expression" priority="3" dxfId="7">
      <formula>$J9="Doing"</formula>
    </cfRule>
    <cfRule type="expression" priority="4" dxfId="8">
      <formula>$J9="To Do"</formula>
    </cfRule>
    <cfRule type="expression" priority="5" dxfId="9">
      <formula>$J9="Deferred"</formula>
    </cfRule>
  </conditionalFormatting>
  <conditionalFormatting sqref="Q9:Q60">
    <cfRule type="expression" priority="6" dxfId="10">
      <formula>$Q9="OVERDUE"</formula>
    </cfRule>
  </conditionalFormatting>
  <conditionalFormatting sqref="P9:P60">
    <cfRule type="expression" priority="7" dxfId="11">
      <formula>$P9="Zero float"</formula>
    </cfRule>
  </conditionalFormatting>
  <dataValidations count="1">
    <dataValidation sqref="J9:J60" showDropDown="0" showInputMessage="0" showErrorMessage="0" allowBlank="0" errorTitle="Invalid status" error="Choose a controlled Kanban state." promptTitle="Controlled status" prompt="Select Done, Review, Doing, To Do or Deferred." type="list">
      <formula1>"Done,Review,Doing,To Do,Deferred"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&amp;CBlockmediary governance snapshot — 12 August 2026&amp;RPage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7" customWidth="1" min="3" max="3"/>
    <col width="48" customWidth="1" min="4" max="4"/>
    <col width="48" customWidth="1" min="5" max="5"/>
    <col width="20" customWidth="1" min="6" max="6"/>
    <col width="28" customWidth="1" min="7" max="7"/>
    <col width="24" customWidth="1" min="8" max="8"/>
  </cols>
  <sheetData>
    <row r="1" ht="34" customHeight="1">
      <c r="A1" s="1" t="inlineStr">
        <is>
          <t>Blockmediary — Milestones &amp; Controls</t>
        </is>
      </c>
    </row>
    <row r="2" ht="22" customHeight="1">
      <c r="A2" s="2" t="inlineStr">
        <is>
          <t>Submission gates, acceptance conditions, unresolved blockers and workbook-control notes | Honest pre-remediation snapshot at 12 August 2026</t>
        </is>
      </c>
    </row>
    <row r="4">
      <c r="A4" s="70" t="inlineStr">
        <is>
          <t>MILESTONE GATES</t>
        </is>
      </c>
    </row>
    <row r="5">
      <c r="A5" s="71" t="inlineStr">
        <is>
          <t>Gate date</t>
        </is>
      </c>
      <c r="B5" s="71" t="inlineStr">
        <is>
          <t>Milestone</t>
        </is>
      </c>
      <c r="C5" s="71" t="inlineStr">
        <is>
          <t>Accountable</t>
        </is>
      </c>
      <c r="D5" s="71" t="inlineStr">
        <is>
          <t>Acceptance condition</t>
        </is>
      </c>
      <c r="E5" s="71" t="inlineStr">
        <is>
          <t>Current evidence</t>
        </is>
      </c>
      <c r="F5" s="71" t="inlineStr">
        <is>
          <t>Status</t>
        </is>
      </c>
      <c r="G5" s="71" t="inlineStr">
        <is>
          <t>Variance / control</t>
        </is>
      </c>
      <c r="H5" s="71" t="inlineStr">
        <is>
          <t>Marker</t>
        </is>
      </c>
    </row>
    <row r="6" ht="44" customHeight="1">
      <c r="A6" s="72" t="n">
        <v>46181</v>
      </c>
      <c r="B6" s="73" t="inlineStr">
        <is>
          <t>Proposal handoff</t>
        </is>
      </c>
      <c r="C6" s="74" t="inlineStr">
        <is>
          <t>Tamer</t>
        </is>
      </c>
      <c r="D6" s="73" t="inlineStr">
        <is>
          <t>Proposal evidence retained and assessed build window opened</t>
        </is>
      </c>
      <c r="E6" s="73" t="inlineStr">
        <is>
          <t>proposal/Pitch-Deck-June-8.pptx retained</t>
        </is>
      </c>
      <c r="F6" s="75" t="inlineStr">
        <is>
          <t>Done</t>
        </is>
      </c>
      <c r="G6" s="73" t="inlineStr">
        <is>
          <t>On baseline</t>
        </is>
      </c>
      <c r="H6" s="76" t="inlineStr">
        <is>
          <t>◆</t>
        </is>
      </c>
    </row>
    <row r="7" ht="44" customHeight="1">
      <c r="A7" s="77" t="n">
        <v>46238</v>
      </c>
      <c r="B7" s="78" t="inlineStr">
        <is>
          <t>Base Sepolia deployment evidence</t>
        </is>
      </c>
      <c r="C7" s="79" t="inlineStr">
        <is>
          <t>Nick</t>
        </is>
      </c>
      <c r="D7" s="78" t="inlineStr">
        <is>
          <t>Deployment address, network and chain evidence retained</t>
        </is>
      </c>
      <c r="E7" s="78" t="inlineStr">
        <is>
          <t>Base Sepolia chain ID 84532; deployment record dated 4 Aug</t>
        </is>
      </c>
      <c r="F7" s="80" t="inlineStr">
        <is>
          <t>Done</t>
        </is>
      </c>
      <c r="G7" s="78" t="inlineStr">
        <is>
          <t>Deployment evidence achieved; integration merge 10 Aug</t>
        </is>
      </c>
      <c r="H7" s="81" t="inlineStr">
        <is>
          <t>◆</t>
        </is>
      </c>
    </row>
    <row r="8" ht="44" customHeight="1">
      <c r="A8" s="72" t="n">
        <v>46245</v>
      </c>
      <c r="B8" s="73" t="inlineStr">
        <is>
          <t>Scope and demo-route freeze</t>
        </is>
      </c>
      <c r="C8" s="74" t="inlineStr">
        <is>
          <t>Tamer</t>
        </is>
      </c>
      <c r="D8" s="73" t="inlineStr">
        <is>
          <t>Approved /dashboard route, allowlist and exact click path</t>
        </is>
      </c>
      <c r="E8" s="73" t="inlineStr">
        <is>
          <t>Canonical route decision not formally recorded</t>
        </is>
      </c>
      <c r="F8" s="75" t="inlineStr">
        <is>
          <t>Overdue</t>
        </is>
      </c>
      <c r="G8" s="73" t="inlineStr">
        <is>
          <t>Zero float at status date</t>
        </is>
      </c>
      <c r="H8" s="76" t="inlineStr">
        <is>
          <t>◆</t>
        </is>
      </c>
    </row>
    <row r="9" ht="44" customHeight="1">
      <c r="A9" s="77" t="n">
        <v>46246</v>
      </c>
      <c r="B9" s="78" t="inlineStr">
        <is>
          <t>Acceptance and claim freeze</t>
        </is>
      </c>
      <c r="C9" s="79" t="inlineStr">
        <is>
          <t>Nick / Tamer</t>
        </is>
      </c>
      <c r="D9" s="78" t="inlineStr">
        <is>
          <t>A1–A8, build/lint, BMC and domain claims accepted</t>
        </is>
      </c>
      <c r="E9" s="78" t="inlineStr">
        <is>
          <t>A1 achieved; A2–A8, build/lint and domain approvals remain open</t>
        </is>
      </c>
      <c r="F9" s="80" t="inlineStr">
        <is>
          <t>At risk / Partial</t>
        </is>
      </c>
      <c r="G9" s="78" t="inlineStr">
        <is>
          <t>DEL-05 at risk; do not report remediation complete</t>
        </is>
      </c>
      <c r="H9" s="81" t="inlineStr">
        <is>
          <t>◆</t>
        </is>
      </c>
    </row>
    <row r="10" ht="44" customHeight="1">
      <c r="A10" s="72" t="n">
        <v>46247</v>
      </c>
      <c r="B10" s="73" t="inlineStr">
        <is>
          <t>Recording package</t>
        </is>
      </c>
      <c r="C10" s="74" t="inlineStr">
        <is>
          <t>Dan</t>
        </is>
      </c>
      <c r="D10" s="73" t="inlineStr">
        <is>
          <t>Two cold rehearsals, primary recording and fallback retained</t>
        </is>
      </c>
      <c r="E10" s="73" t="inlineStr">
        <is>
          <t>Not evidenced at status date</t>
        </is>
      </c>
      <c r="F10" s="75" t="inlineStr">
        <is>
          <t>To Do</t>
        </is>
      </c>
      <c r="G10" s="73" t="inlineStr">
        <is>
          <t>Depends on accepted runbook and claim freeze</t>
        </is>
      </c>
      <c r="H10" s="76" t="inlineStr">
        <is>
          <t>◆</t>
        </is>
      </c>
    </row>
    <row r="11" ht="44" customHeight="1">
      <c r="A11" s="77" t="n">
        <v>46248</v>
      </c>
      <c r="B11" s="78" t="inlineStr">
        <is>
          <t>Main group submission</t>
        </is>
      </c>
      <c r="C11" s="79" t="inlineStr">
        <is>
          <t>Tamer</t>
        </is>
      </c>
      <c r="D11" s="78" t="inlineStr">
        <is>
          <t>Link, PDF and permissions independently checked; receipt retained</t>
        </is>
      </c>
      <c r="E11" s="78" t="inlineStr">
        <is>
          <t>Future at status date</t>
        </is>
      </c>
      <c r="F11" s="80" t="inlineStr">
        <is>
          <t>To Do</t>
        </is>
      </c>
      <c r="G11" s="78" t="inlineStr">
        <is>
          <t>Fixed assessment deadline</t>
        </is>
      </c>
      <c r="H11" s="81" t="inlineStr">
        <is>
          <t>◆</t>
        </is>
      </c>
    </row>
    <row r="14">
      <c r="A14" s="82" t="inlineStr">
        <is>
          <t>CURRENT TECHNICAL AND GOVERNANCE CONTROLS</t>
        </is>
      </c>
    </row>
    <row r="15">
      <c r="A15" s="71" t="inlineStr">
        <is>
          <t>Control</t>
        </is>
      </c>
      <c r="B15" s="71" t="inlineStr">
        <is>
          <t>State</t>
        </is>
      </c>
      <c r="C15" s="71" t="inlineStr">
        <is>
          <t>Owner</t>
        </is>
      </c>
      <c r="D15" s="71" t="inlineStr">
        <is>
          <t>Evidence at 12 Aug</t>
        </is>
      </c>
      <c r="E15" s="71" t="inlineStr">
        <is>
          <t>Open requirement</t>
        </is>
      </c>
      <c r="F15" s="71" t="inlineStr">
        <is>
          <t>Impact</t>
        </is>
      </c>
      <c r="G15" s="71" t="inlineStr">
        <is>
          <t>Related task / risk</t>
        </is>
      </c>
      <c r="H15" s="71" t="inlineStr">
        <is>
          <t>Truth boundary</t>
        </is>
      </c>
    </row>
    <row r="16" ht="45" customHeight="1">
      <c r="A16" s="83" t="inlineStr">
        <is>
          <t>DEL-05 Technical acceptance baseline</t>
        </is>
      </c>
      <c r="B16" s="83" t="inlineStr">
        <is>
          <t>At risk</t>
        </is>
      </c>
      <c r="C16" s="83" t="inlineStr">
        <is>
          <t>Nick</t>
        </is>
      </c>
      <c r="D16" s="83" t="inlineStr">
        <is>
          <t>A1 achieved; 187/187 app tests support delivered behaviour</t>
        </is>
      </c>
      <c r="E16" s="83" t="inlineStr">
        <is>
          <t>Complete A2–A7 walkthrough, A8 control record, clean setup, build and lint</t>
        </is>
      </c>
      <c r="F16" s="83" t="inlineStr">
        <is>
          <t>Recording readiness not accepted</t>
        </is>
      </c>
      <c r="G16" s="83" t="inlineStr">
        <is>
          <t>DEL-05 / TEC-09 / TEC-10</t>
        </is>
      </c>
      <c r="H16" s="83" t="inlineStr">
        <is>
          <t>Partially achieved only</t>
        </is>
      </c>
    </row>
    <row r="17" ht="45" customHeight="1">
      <c r="A17" s="78" t="inlineStr">
        <is>
          <t>R-01 Integrated acceptance / reproducibility</t>
        </is>
      </c>
      <c r="B17" s="78" t="inlineStr">
        <is>
          <t>Confirmed</t>
        </is>
      </c>
      <c r="C17" s="78" t="inlineStr">
        <is>
          <t>Nick</t>
        </is>
      </c>
      <c r="D17" s="78" t="inlineStr">
        <is>
          <t>Clean setup/build failures reproduced</t>
        </is>
      </c>
      <c r="E17" s="78" t="inlineStr">
        <is>
          <t>Restore reproducibility and integrated evidence</t>
        </is>
      </c>
      <c r="F17" s="78" t="inlineStr">
        <is>
          <t>High</t>
        </is>
      </c>
      <c r="G17" s="78" t="inlineStr">
        <is>
          <t>R-01</t>
        </is>
      </c>
      <c r="H17" s="78" t="inlineStr">
        <is>
          <t>Confirmed risk remains open</t>
        </is>
      </c>
    </row>
    <row r="18" ht="45" customHeight="1">
      <c r="A18" s="83" t="inlineStr">
        <is>
          <t>R-08 Cross-machine repository state</t>
        </is>
      </c>
      <c r="B18" s="83" t="inlineStr">
        <is>
          <t>Confirmed</t>
        </is>
      </c>
      <c r="C18" s="83" t="inlineStr">
        <is>
          <t>Nick</t>
        </is>
      </c>
      <c r="D18" s="83" t="inlineStr">
        <is>
          <t>Untracked app/.env dependency; no app example; npm/pnpm locks compete</t>
        </is>
      </c>
      <c r="E18" s="83" t="inlineStr">
        <is>
          <t>Correct bootstrap and verify fresh dependency-free checkout</t>
        </is>
      </c>
      <c r="F18" s="83" t="inlineStr">
        <is>
          <t>High</t>
        </is>
      </c>
      <c r="G18" s="83" t="inlineStr">
        <is>
          <t>R-08 / TEC-10</t>
        </is>
      </c>
      <c r="H18" s="83" t="inlineStr">
        <is>
          <t>Confirmed risk remains open</t>
        </is>
      </c>
    </row>
    <row r="19" ht="45" customHeight="1">
      <c r="A19" s="78" t="inlineStr">
        <is>
          <t>Contract forced source rebuild</t>
        </is>
      </c>
      <c r="B19" s="78" t="inlineStr">
        <is>
          <t>Pass</t>
        </is>
      </c>
      <c r="C19" s="78" t="inlineStr">
        <is>
          <t>Nick</t>
        </is>
      </c>
      <c r="D19" s="78" t="inlineStr">
        <is>
          <t>solc 0.8.28 forced rebuild; 21/21 tests passed</t>
        </is>
      </c>
      <c r="E19" s="78" t="inlineStr">
        <is>
          <t>Retain evidence; does not close app clean-install gate</t>
        </is>
      </c>
      <c r="F19" s="78" t="inlineStr">
        <is>
          <t>A1 achieved</t>
        </is>
      </c>
      <c r="G19" s="78" t="inlineStr">
        <is>
          <t>TEC-09</t>
        </is>
      </c>
      <c r="H19" s="78" t="inlineStr">
        <is>
          <t>Contract evidence passed</t>
        </is>
      </c>
    </row>
    <row r="20" ht="45" customHeight="1">
      <c r="A20" s="84" t="inlineStr">
        <is>
          <t>Application unit tests</t>
        </is>
      </c>
      <c r="B20" s="84" t="inlineStr">
        <is>
          <t>Pass</t>
        </is>
      </c>
      <c r="C20" s="84" t="inlineStr">
        <is>
          <t>Nick</t>
        </is>
      </c>
      <c r="D20" s="84" t="inlineStr">
        <is>
          <t>187/187 tests across 10/10 files</t>
        </is>
      </c>
      <c r="E20" s="84" t="inlineStr">
        <is>
          <t>Integrated authenticated walkthrough still required</t>
        </is>
      </c>
      <c r="F20" s="84" t="inlineStr">
        <is>
          <t>Supporting evidence</t>
        </is>
      </c>
      <c r="G20" s="84" t="inlineStr">
        <is>
          <t>TEC-09</t>
        </is>
      </c>
      <c r="H20" s="84" t="inlineStr">
        <is>
          <t>Tests do not equal full acceptance</t>
        </is>
      </c>
    </row>
    <row r="21" ht="45" customHeight="1">
      <c r="A21" s="78" t="inlineStr">
        <is>
          <t>Clean installation</t>
        </is>
      </c>
      <c r="B21" s="78" t="inlineStr">
        <is>
          <t>Open / Fail</t>
        </is>
      </c>
      <c r="C21" s="78" t="inlineStr">
        <is>
          <t>Nick</t>
        </is>
      </c>
      <c r="D21" s="78" t="inlineStr">
        <is>
          <t>Prisma postinstall expects untracked app/.env</t>
        </is>
      </c>
      <c r="E21" s="78" t="inlineStr">
        <is>
          <t>Add reproducible environment bootstrap and select package manager</t>
        </is>
      </c>
      <c r="F21" s="78" t="inlineStr">
        <is>
          <t>High</t>
        </is>
      </c>
      <c r="G21" s="78" t="inlineStr">
        <is>
          <t>TEC-10</t>
        </is>
      </c>
      <c r="H21" s="78" t="inlineStr">
        <is>
          <t>Do not mark complete</t>
        </is>
      </c>
    </row>
    <row r="22" ht="45" customHeight="1">
      <c r="A22" s="83" t="inlineStr">
        <is>
          <t>Production build</t>
        </is>
      </c>
      <c r="B22" s="83" t="inlineStr">
        <is>
          <t>Open / Fail</t>
        </is>
      </c>
      <c r="C22" s="83" t="inlineStr">
        <is>
          <t>Nick</t>
        </is>
      </c>
      <c r="D22" s="83" t="inlineStr">
        <is>
          <t>TypeScript rejected invalid named page export</t>
        </is>
      </c>
      <c r="E22" s="83" t="inlineStr">
        <is>
          <t>Correct source and rerun from clean setup</t>
        </is>
      </c>
      <c r="F22" s="83" t="inlineStr">
        <is>
          <t>High</t>
        </is>
      </c>
      <c r="G22" s="83" t="inlineStr">
        <is>
          <t>TEC-10</t>
        </is>
      </c>
      <c r="H22" s="83" t="inlineStr">
        <is>
          <t>Do not mark complete</t>
        </is>
      </c>
    </row>
    <row r="23" ht="45" customHeight="1">
      <c r="A23" s="78" t="inlineStr">
        <is>
          <t>Focused source lint</t>
        </is>
      </c>
      <c r="B23" s="78" t="inlineStr">
        <is>
          <t>Open / Fail</t>
        </is>
      </c>
      <c r="C23" s="78" t="inlineStr">
        <is>
          <t>Nick</t>
        </is>
      </c>
      <c r="D23" s="78" t="inlineStr">
        <is>
          <t>5 errors and 12 warnings</t>
        </is>
      </c>
      <c r="E23" s="78" t="inlineStr">
        <is>
          <t>Fix source errors; keep generated output excluded separately</t>
        </is>
      </c>
      <c r="F23" s="78" t="inlineStr">
        <is>
          <t>Medium</t>
        </is>
      </c>
      <c r="G23" s="78" t="inlineStr">
        <is>
          <t>TEC-09 / TEC-10</t>
        </is>
      </c>
      <c r="H23" s="78" t="inlineStr">
        <is>
          <t>Do not mark complete</t>
        </is>
      </c>
    </row>
    <row r="24" ht="45" customHeight="1">
      <c r="A24" s="83" t="inlineStr">
        <is>
          <t>Independent walkthrough</t>
        </is>
      </c>
      <c r="B24" s="83" t="inlineStr">
        <is>
          <t>Open</t>
        </is>
      </c>
      <c r="C24" s="83" t="inlineStr">
        <is>
          <t>Nick / Dan</t>
        </is>
      </c>
      <c r="D24" s="83" t="inlineStr">
        <is>
          <t>A2–A7 integrated authenticated run not fully evidenced</t>
        </is>
      </c>
      <c r="E24" s="83" t="inlineStr">
        <is>
          <t>Run and record accepted A1–A8 control sequence</t>
        </is>
      </c>
      <c r="F24" s="83" t="inlineStr">
        <is>
          <t>High</t>
        </is>
      </c>
      <c r="G24" s="83" t="inlineStr">
        <is>
          <t>TEC-09 / SUB-02</t>
        </is>
      </c>
      <c r="H24" s="83" t="inlineStr">
        <is>
          <t>SUB-02 remains To Do</t>
        </is>
      </c>
    </row>
    <row r="27">
      <c r="A27" s="85" t="inlineStr">
        <is>
          <t>WORKBOOK CONTROL NOTES</t>
        </is>
      </c>
    </row>
    <row r="28" ht="30" customHeight="1">
      <c r="A28" s="86" t="n">
        <v>1</v>
      </c>
      <c r="B28" s="87" t="inlineStr">
        <is>
          <t>Snapshot is honest as at 12 August 2026 before technical remediation.</t>
        </is>
      </c>
    </row>
    <row r="29" ht="30" customHeight="1">
      <c r="A29" s="86" t="n">
        <v>2</v>
      </c>
      <c r="B29" s="87" t="inlineStr">
        <is>
          <t>Scope begins at proposal handoff on 8 June and ends at the second group submission on 14 August; individual-assignment work is excluded.</t>
        </is>
      </c>
    </row>
    <row r="30" ht="30" customHeight="1">
      <c r="A30" s="86" t="n">
        <v>3</v>
      </c>
      <c r="B30" s="87" t="inlineStr">
        <is>
          <t>The Master Gantt uses reconstructed baseline start dates. Active rows extend to their explicit current due dates; the Task Register retains baseline finish and observed timing separately.</t>
        </is>
      </c>
    </row>
    <row r="31" ht="30" customHeight="1">
      <c r="A31" s="86" t="n">
        <v>4</v>
      </c>
      <c r="B31" s="87" t="inlineStr">
        <is>
          <t>Deferred items are grey, unscheduled and excluded from active completion. No dates have been invented for DEF-01–DEF-08.</t>
        </is>
      </c>
    </row>
    <row r="32" ht="30" customHeight="1">
      <c r="A32" s="86" t="n">
        <v>5</v>
      </c>
      <c r="B32" s="87" t="inlineStr">
        <is>
          <t>Active completion = Done divided by all non-deferred cards. It is a task-state indicator, not a submission-readiness score.</t>
        </is>
      </c>
    </row>
    <row r="33" ht="30" customHeight="1">
      <c r="A33" s="86" t="n">
        <v>6</v>
      </c>
      <c r="B33" s="87" t="inlineStr">
        <is>
          <t>Critical-path flags follow the plan's remaining chain. Zero-float flags identify open chain tasks due on or before the 12 August status date.</t>
        </is>
      </c>
    </row>
    <row r="34" ht="30" customHeight="1">
      <c r="A34" s="86" t="n">
        <v>7</v>
      </c>
      <c r="B34" s="87" t="inlineStr">
        <is>
          <t>The obsolete M0–M8 Gantt is excluded. The controlled IDs are GOV-, PRD-, TEC-, UX-, RISK-, BUS-, SUB- and DEF- rows from the v2.1 Kanban.</t>
        </is>
      </c>
    </row>
    <row r="35" ht="30" customHeight="1">
      <c r="A35" s="86" t="n">
        <v>8</v>
      </c>
      <c r="B35" s="87" t="inlineStr">
        <is>
          <t>Technical remediation statuses are unchanged: TEC-09 and TEC-10 remain Review; SUB-02 remains To Do; DEL-05 remains at risk.</t>
        </is>
      </c>
    </row>
    <row r="38">
      <c r="A38" s="88" t="inlineStr">
        <is>
          <t>STATUS PROGRESS MAPPING</t>
        </is>
      </c>
      <c r="E38" s="88" t="inlineStr">
        <is>
          <t>STATUS LEGEND</t>
        </is>
      </c>
    </row>
    <row r="39">
      <c r="A39" s="89" t="inlineStr">
        <is>
          <t>Done</t>
        </is>
      </c>
      <c r="B39" s="90" t="n">
        <v>1</v>
      </c>
      <c r="C39" s="89" t="inlineStr">
        <is>
          <t>Task-level acceptance evidence exists</t>
        </is>
      </c>
      <c r="E39" s="91" t="inlineStr">
        <is>
          <t>Done</t>
        </is>
      </c>
      <c r="F39" s="92" t="inlineStr">
        <is>
          <t>Accepted</t>
        </is>
      </c>
    </row>
    <row r="40">
      <c r="A40" s="93" t="inlineStr">
        <is>
          <t>Review</t>
        </is>
      </c>
      <c r="B40" s="94" t="n">
        <v>0.85</v>
      </c>
      <c r="C40" s="93" t="inlineStr">
        <is>
          <t>Artifact exists; acceptance or sign-off remains</t>
        </is>
      </c>
      <c r="E40" s="95" t="inlineStr">
        <is>
          <t>Review</t>
        </is>
      </c>
      <c r="F40" s="92" t="inlineStr">
        <is>
          <t>Acceptance open</t>
        </is>
      </c>
    </row>
    <row r="41">
      <c r="A41" s="96" t="inlineStr">
        <is>
          <t>Doing</t>
        </is>
      </c>
      <c r="B41" s="97" t="n">
        <v>0.55</v>
      </c>
      <c r="C41" s="96" t="inlineStr">
        <is>
          <t>Active critical-path work</t>
        </is>
      </c>
      <c r="E41" s="98" t="inlineStr">
        <is>
          <t>Doing</t>
        </is>
      </c>
      <c r="F41" s="92" t="inlineStr">
        <is>
          <t>Active</t>
        </is>
      </c>
    </row>
    <row r="42">
      <c r="A42" s="99" t="inlineStr">
        <is>
          <t>To Do</t>
        </is>
      </c>
      <c r="B42" s="100" t="n">
        <v>0</v>
      </c>
      <c r="C42" s="99" t="inlineStr">
        <is>
          <t>Defined and ready</t>
        </is>
      </c>
      <c r="E42" s="101" t="inlineStr">
        <is>
          <t>To Do</t>
        </is>
      </c>
      <c r="F42" s="92" t="inlineStr">
        <is>
          <t>Ready</t>
        </is>
      </c>
    </row>
    <row r="43">
      <c r="A43" s="102" t="inlineStr">
        <is>
          <t>Deferred</t>
        </is>
      </c>
      <c r="B43" s="103" t="n">
        <v>0</v>
      </c>
      <c r="C43" s="102" t="inlineStr">
        <is>
          <t>Outside assessed MVP</t>
        </is>
      </c>
      <c r="E43" s="104" t="inlineStr">
        <is>
          <t>Deferred</t>
        </is>
      </c>
      <c r="F43" s="92" t="inlineStr">
        <is>
          <t>No schedule</t>
        </is>
      </c>
    </row>
  </sheetData>
  <mergeCells count="20">
    <mergeCell ref="F42:H42"/>
    <mergeCell ref="F41:H41"/>
    <mergeCell ref="B30:H30"/>
    <mergeCell ref="B33:H33"/>
    <mergeCell ref="A1:H1"/>
    <mergeCell ref="B32:H32"/>
    <mergeCell ref="B35:H35"/>
    <mergeCell ref="F43:H43"/>
    <mergeCell ref="A27:H27"/>
    <mergeCell ref="F39:H39"/>
    <mergeCell ref="A38:C38"/>
    <mergeCell ref="B31:H31"/>
    <mergeCell ref="A2:H2"/>
    <mergeCell ref="E38:H38"/>
    <mergeCell ref="A14:H14"/>
    <mergeCell ref="A4:H4"/>
    <mergeCell ref="F40:H40"/>
    <mergeCell ref="B29:H29"/>
    <mergeCell ref="B34:H34"/>
    <mergeCell ref="B28:H28"/>
  </mergeCells>
  <pageMargins left="0.75" right="0.75" top="1" bottom="1" header="0.5" footer="0.5"/>
  <pageSetup orientation="landscape" paperSize="8" fitToHeight="0" fitToWidth="1"/>
  <headerFooter>
    <oddHeader/>
    <oddFooter>&amp;CBlockmediary controls — status date 12 Aug 2026&amp;RPage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Transakt</dc:creator>
  <dc:title xmlns:dc="http://purl.org/dc/elements/1.1/">Blockmediary Master Governance Gantt</dc:title>
  <dc:description xmlns:dc="http://purl.org/dc/elements/1.1/">Task-ID-aligned governance workbook generated from the v2.1 project plan, Kanban and RACI.</dc:description>
  <dc:subject xmlns:dc="http://purl.org/dc/elements/1.1/">Controlled group-project timeline, 8 June–14 August 2026</dc:subject>
  <dcterms:created xmlns:dcterms="http://purl.org/dc/terms/" xmlns:xsi="http://www.w3.org/2001/XMLSchema-instance" xsi:type="dcterms:W3CDTF">2026-08-12T17:43:39Z</dcterms:created>
  <dcterms:modified xmlns:dcterms="http://purl.org/dc/terms/" xmlns:xsi="http://www.w3.org/2001/XMLSchema-instance" xsi:type="dcterms:W3CDTF">2026-08-12T17:43:39Z</dcterms:modified>
</cp:coreProperties>
</file>