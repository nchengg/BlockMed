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way Gantt" sheetId="1" state="visible" r:id="rId1"/>
  </sheets>
  <definedNames>
    <definedName name="_xlnm._FilterDatabase" localSheetId="0" hidden="1">'Midway Gantt'!$A$8:$P$35</definedName>
    <definedName name="_xlnm.Print_Titles" localSheetId="0">'Midway Gantt'!$1:$8</definedName>
    <definedName name="_xlnm.Print_Area" localSheetId="0">'Midway Gantt'!$A$1:$P$35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 mmm"/>
    <numFmt numFmtId="165" formatCode="dd mmm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1"/>
    </font>
    <font>
      <name val="Aptos"/>
      <i val="1"/>
      <color rgb="00D9E2EC"/>
      <sz val="10"/>
    </font>
    <font>
      <name val="Aptos"/>
      <b val="1"/>
      <color rgb="00FFFFFF"/>
      <sz val="9"/>
    </font>
    <font>
      <name val="Aptos Display"/>
      <b val="1"/>
      <color rgb="00243B53"/>
      <sz val="17"/>
    </font>
    <font>
      <name val="Aptos"/>
      <i val="1"/>
      <color rgb="00627D98"/>
      <sz val="9"/>
    </font>
    <font>
      <name val="Aptos"/>
      <b val="1"/>
      <color rgb="007F1D1D"/>
      <sz val="9"/>
    </font>
    <font>
      <name val="Aptos"/>
      <color rgb="00243B53"/>
      <sz val="9"/>
    </font>
    <font>
      <b val="1"/>
      <color rgb="00FFFFFF"/>
    </font>
    <font>
      <name val="Aptos"/>
      <i val="1"/>
      <color rgb="00607D8B"/>
      <sz val="9"/>
    </font>
  </fonts>
  <fills count="17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243B53"/>
      </patternFill>
    </fill>
    <fill>
      <patternFill patternType="solid">
        <fgColor rgb="002E7D32"/>
      </patternFill>
    </fill>
    <fill>
      <patternFill patternType="solid">
        <fgColor rgb="00F8FAF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7E57C2"/>
      </patternFill>
    </fill>
    <fill>
      <patternFill patternType="solid">
        <fgColor rgb="008A94A3"/>
      </patternFill>
    </fill>
    <fill>
      <patternFill patternType="solid">
        <fgColor rgb="0000A6A6"/>
      </patternFill>
    </fill>
    <fill>
      <patternFill patternType="solid">
        <fgColor rgb="00F4B942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1769AA"/>
      </patternFill>
    </fill>
    <fill>
      <patternFill patternType="solid">
        <fgColor rgb="008B95A3"/>
      </patternFill>
    </fill>
  </fills>
  <borders count="10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thin">
        <color rgb="00D9E2EC"/>
      </bottom>
    </border>
    <border>
      <right style="hair">
        <color rgb="00D9E2EC"/>
      </right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/>
      <right style="medium">
        <color rgb="00F9A825"/>
      </right>
      <top/>
      <bottom/>
    </border>
    <border>
      <right style="medium">
        <color rgb="00F9A825"/>
      </right>
      <bottom style="thin">
        <color rgb="00D9E2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164" fontId="6" fillId="11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0" borderId="3" pivotButton="0" quotePrefix="0" xfId="0"/>
    <xf numFmtId="0" fontId="7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0" fillId="7" borderId="3" pivotButton="0" quotePrefix="0" xfId="0"/>
    <xf numFmtId="0" fontId="3" fillId="6" borderId="2" applyAlignment="1" pivotButton="0" quotePrefix="0" xfId="0">
      <alignment horizontal="center" vertical="center"/>
    </xf>
    <xf numFmtId="0" fontId="0" fillId="6" borderId="3" pivotButton="0" quotePrefix="0" xfId="0"/>
    <xf numFmtId="0" fontId="3" fillId="8" borderId="2" applyAlignment="1" pivotButton="0" quotePrefix="0" xfId="0">
      <alignment horizontal="center" vertical="center"/>
    </xf>
    <xf numFmtId="0" fontId="0" fillId="8" borderId="3" pivotButton="0" quotePrefix="0" xfId="0"/>
    <xf numFmtId="0" fontId="5" fillId="12" borderId="2" applyAlignment="1" pivotButton="0" quotePrefix="0" xfId="0">
      <alignment vertical="center"/>
    </xf>
    <xf numFmtId="0" fontId="5" fillId="12" borderId="2" applyAlignment="1" pivotButton="0" quotePrefix="0" xfId="0">
      <alignment vertical="center" wrapText="1"/>
    </xf>
    <xf numFmtId="165" fontId="5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2" borderId="3" pivotButton="0" quotePrefix="0" xfId="0"/>
    <xf numFmtId="0" fontId="0" fillId="0" borderId="6" pivotButton="0" quotePrefix="0" xfId="0"/>
    <xf numFmtId="0" fontId="0" fillId="0" borderId="7" pivotButton="0" quotePrefix="0" xfId="0"/>
    <xf numFmtId="164" fontId="6" fillId="11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8" fillId="6" borderId="8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165" fontId="7" fillId="1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left" vertical="center" wrapText="1"/>
    </xf>
    <xf numFmtId="165" fontId="7" fillId="14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165" fontId="9" fillId="12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4">
    <dxf>
      <fill>
        <patternFill patternType="solid">
          <fgColor rgb="002E7D32"/>
        </patternFill>
      </fill>
    </dxf>
    <dxf>
      <fill>
        <patternFill patternType="solid">
          <fgColor rgb="00F9A825"/>
        </patternFill>
      </fill>
    </dxf>
    <dxf>
      <fill>
        <patternFill patternType="solid">
          <fgColor rgb="001565C0"/>
        </patternFill>
      </fill>
    </dxf>
    <dxf>
      <fill>
        <patternFill patternType="solid">
          <fgColor rgb="007E57C2"/>
        </patternFill>
      </fill>
    </dxf>
    <dxf>
      <fill>
        <patternFill patternType="solid">
          <fgColor rgb="008A94A3"/>
        </patternFill>
      </fill>
    </dxf>
    <dxf>
      <font>
        <b val="1"/>
        <color rgb="00FFFFFF"/>
      </font>
      <fill>
        <patternFill patternType="solid">
          <fgColor rgb="002E7D32"/>
        </patternFill>
      </fill>
    </dxf>
    <dxf>
      <font>
        <b val="1"/>
        <color rgb="00FFFFFF"/>
      </font>
      <fill>
        <patternFill patternType="solid">
          <fgColor rgb="00F9A825"/>
        </patternFill>
      </fill>
    </dxf>
    <dxf>
      <font>
        <b val="1"/>
        <color rgb="00FFFFFF"/>
      </font>
      <fill>
        <patternFill patternType="solid">
          <fgColor rgb="001565C0"/>
        </patternFill>
      </fill>
    </dxf>
    <dxf>
      <font>
        <b val="1"/>
        <color rgb="00FFFFFF"/>
      </font>
      <fill>
        <patternFill patternType="solid">
          <fgColor rgb="007E57C2"/>
        </patternFill>
      </fill>
    </dxf>
    <dxf>
      <font>
        <b val="1"/>
        <color rgb="00FFFFFF"/>
      </font>
      <fill>
        <patternFill patternType="solid">
          <fgColor rgb="008A94A3"/>
        </patternFill>
      </fill>
    </dxf>
    <dxf>
      <fill>
        <patternFill patternType="solid">
          <fgColor rgb="001769AA"/>
        </patternFill>
      </fill>
    </dxf>
    <dxf>
      <fill>
        <patternFill patternType="solid">
          <fgColor rgb="008B95A3"/>
        </patternFill>
      </fill>
    </dxf>
    <dxf>
      <font>
        <b val="1"/>
        <color rgb="00FFFFFF"/>
      </font>
      <fill>
        <patternFill patternType="solid">
          <fgColor rgb="001769AA"/>
        </patternFill>
      </fill>
    </dxf>
    <dxf>
      <font>
        <b val="1"/>
        <color rgb="00FFFFFF"/>
      </font>
      <fill>
        <patternFill patternType="solid">
          <fgColor rgb="008B95A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G8" authorId="0" shapeId="0">
      <text>
        <t>Proposal handoff — 8 June 2026</t>
      </text>
    </comment>
    <comment ref="P8" authorId="0" shapeId="0">
      <text>
        <t>Final week ends with submission on 14 August 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P35"/>
  <sheetViews>
    <sheetView showGridLines="0" zoomScale="90" workbookViewId="0">
      <pane xSplit="6" ySplit="8" topLeftCell="G9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6" customWidth="1" min="3" max="3"/>
    <col width="9.5" customWidth="1" min="4" max="4"/>
    <col width="9.5" customWidth="1" min="5" max="5"/>
    <col width="10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</cols>
  <sheetData>
    <row r="1" ht="34" customHeight="1">
      <c r="A1" s="1" t="inlineStr">
        <is>
          <t>Blockmediary — Midway Gantt v2</t>
        </is>
      </c>
    </row>
    <row r="2" ht="22" customHeight="1">
      <c r="A2" s="2" t="inlineStr">
        <is>
          <t>Weekly view | 8 June–14 August 2026 | Status date 28 July 2026 | Mid-delivery snapshot</t>
        </is>
      </c>
    </row>
    <row r="4">
      <c r="A4" s="3" t="inlineStr">
        <is>
          <t>DONE</t>
        </is>
      </c>
      <c r="B4" s="37" t="n"/>
      <c r="C4" s="38" t="n"/>
      <c r="D4" s="5" t="inlineStr">
        <is>
          <t>REVIEW</t>
        </is>
      </c>
      <c r="E4" s="37" t="n"/>
      <c r="F4" s="38" t="n"/>
      <c r="G4" s="6" t="inlineStr">
        <is>
          <t>DOING</t>
        </is>
      </c>
      <c r="H4" s="37" t="n"/>
      <c r="I4" s="38" t="n"/>
      <c r="J4" s="7" t="inlineStr">
        <is>
          <t>TO DO</t>
        </is>
      </c>
      <c r="K4" s="37" t="n"/>
      <c r="L4" s="38" t="n"/>
      <c r="M4" s="8" t="inlineStr">
        <is>
          <t>DEFERRED</t>
        </is>
      </c>
      <c r="N4" s="38" t="n"/>
      <c r="O4" s="9" t="inlineStr">
        <is>
          <t>ACTIVE PROGRESS</t>
        </is>
      </c>
      <c r="P4" s="38" t="n"/>
    </row>
    <row r="5">
      <c r="A5" s="10">
        <f>COUNTIF($F$9:$F$35,"Done")</f>
        <v>7</v>
      </c>
      <c r="B5" s="37" t="n"/>
      <c r="C5" s="38" t="n"/>
      <c r="D5" s="10">
        <f>COUNTIF($F$9:$F$35,"Review")</f>
        <v>0</v>
      </c>
      <c r="E5" s="37" t="n"/>
      <c r="F5" s="38" t="n"/>
      <c r="G5" s="10">
        <f>COUNTIF($F$9:$F$35,"Doing")</f>
        <v>12</v>
      </c>
      <c r="H5" s="37" t="n"/>
      <c r="I5" s="38" t="n"/>
      <c r="J5" s="10">
        <f>COUNTIF($F$9:$F$35,"To Do")</f>
        <v>7</v>
      </c>
      <c r="K5" s="37" t="n"/>
      <c r="L5" s="38" t="n"/>
      <c r="M5" s="10">
        <f>COUNTIF($F$9:$F$35,"Deferred")</f>
        <v>1</v>
      </c>
      <c r="N5" s="38" t="n"/>
      <c r="O5" s="11">
        <f>COUNTIF($F$9:$F$35,"Done")/COUNTIF($F$9:$F$35,"&lt;&gt;Deferred")</f>
        <v>0.2692307692307692</v>
      </c>
      <c r="P5" s="38" t="n"/>
    </row>
    <row r="6" ht="22" customHeight="1">
      <c r="A6" s="12" t="inlineStr">
        <is>
          <t>Bars show the full planned schedule; statuses reflect 28 July 2026.  ◆ Proposal: 8 Jun   ◆ Status: 28 Jul   ◆ Submission: 14 Aug</t>
        </is>
      </c>
    </row>
    <row r="7">
      <c r="G7" s="13" t="inlineStr">
        <is>
          <t>June 2026</t>
        </is>
      </c>
      <c r="K7" s="13" t="inlineStr">
        <is>
          <t>July 2026</t>
        </is>
      </c>
      <c r="O7" s="13" t="inlineStr">
        <is>
          <t>August 2026</t>
        </is>
      </c>
    </row>
    <row r="8" ht="30" customHeight="1">
      <c r="A8" s="14" t="inlineStr">
        <is>
          <t>Task ID</t>
        </is>
      </c>
      <c r="B8" s="14" t="inlineStr">
        <is>
          <t>Task</t>
        </is>
      </c>
      <c r="C8" s="14" t="inlineStr">
        <is>
          <t>Ownership</t>
        </is>
      </c>
      <c r="D8" s="14" t="inlineStr">
        <is>
          <t>Start</t>
        </is>
      </c>
      <c r="E8" s="14" t="inlineStr">
        <is>
          <t>Finish</t>
        </is>
      </c>
      <c r="F8" s="14" t="inlineStr">
        <is>
          <t>Status</t>
        </is>
      </c>
      <c r="G8" s="39" t="n">
        <v>46181</v>
      </c>
      <c r="H8" s="40" t="n">
        <v>46188</v>
      </c>
      <c r="I8" s="40" t="n">
        <v>46195</v>
      </c>
      <c r="J8" s="40" t="n">
        <v>46202</v>
      </c>
      <c r="K8" s="40" t="n">
        <v>46209</v>
      </c>
      <c r="L8" s="40" t="n">
        <v>46216</v>
      </c>
      <c r="M8" s="40" t="n">
        <v>46223</v>
      </c>
      <c r="N8" s="41" t="n">
        <v>46230</v>
      </c>
      <c r="O8" s="40" t="n">
        <v>46237</v>
      </c>
      <c r="P8" s="39" t="n">
        <v>46244</v>
      </c>
    </row>
    <row r="9" ht="32" customHeight="1">
      <c r="A9" s="42" t="inlineStr">
        <is>
          <t>GOV-01</t>
        </is>
      </c>
      <c r="B9" s="43" t="inlineStr">
        <is>
          <t>Proposal handoff</t>
        </is>
      </c>
      <c r="C9" s="43" t="inlineStr">
        <is>
          <t>Tamer (A/R)</t>
        </is>
      </c>
      <c r="D9" s="44" t="n">
        <v>46181</v>
      </c>
      <c r="E9" s="44" t="n">
        <v>46181</v>
      </c>
      <c r="F9" s="45" t="inlineStr">
        <is>
          <t>Done</t>
        </is>
      </c>
      <c r="G9" s="46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</row>
    <row r="10" ht="32" customHeight="1">
      <c r="A10" s="48" t="inlineStr">
        <is>
          <t>GOV-02</t>
        </is>
      </c>
      <c r="B10" s="49" t="inlineStr">
        <is>
          <t>Requirements and governance baseline</t>
        </is>
      </c>
      <c r="C10" s="49" t="inlineStr">
        <is>
          <t>Tamer (A); Nick and Dan (R)</t>
        </is>
      </c>
      <c r="D10" s="50" t="n">
        <v>46182</v>
      </c>
      <c r="E10" s="50" t="n">
        <v>46194</v>
      </c>
      <c r="F10" s="45" t="inlineStr">
        <is>
          <t>Done</t>
        </is>
      </c>
      <c r="G10" s="46" t="n"/>
      <c r="H10" s="46" t="n"/>
      <c r="I10" s="47" t="n"/>
      <c r="J10" s="47" t="n"/>
      <c r="K10" s="47" t="n"/>
      <c r="L10" s="47" t="n"/>
      <c r="M10" s="47" t="n"/>
      <c r="N10" s="47" t="n"/>
      <c r="O10" s="47" t="n"/>
      <c r="P10" s="47" t="n"/>
    </row>
    <row r="11" ht="32" customHeight="1">
      <c r="A11" s="42" t="inlineStr">
        <is>
          <t>GOV-03</t>
        </is>
      </c>
      <c r="B11" s="43" t="inlineStr">
        <is>
          <t>Project coordination through submission</t>
        </is>
      </c>
      <c r="C11" s="43" t="inlineStr">
        <is>
          <t>Tamer (A/R); Dan (R)</t>
        </is>
      </c>
      <c r="D11" s="44" t="n">
        <v>46182</v>
      </c>
      <c r="E11" s="44" t="n">
        <v>46248</v>
      </c>
      <c r="F11" s="51" t="inlineStr">
        <is>
          <t>Doing</t>
        </is>
      </c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</row>
    <row r="12" ht="32" customHeight="1">
      <c r="A12" s="48" t="inlineStr">
        <is>
          <t>STR-01</t>
        </is>
      </c>
      <c r="B12" s="49" t="inlineStr">
        <is>
          <t>Market research</t>
        </is>
      </c>
      <c r="C12" s="49" t="inlineStr">
        <is>
          <t>Tamer (A/R); Conrad and Mo (C)</t>
        </is>
      </c>
      <c r="D12" s="50" t="n">
        <v>46204</v>
      </c>
      <c r="E12" s="50" t="n">
        <v>46210</v>
      </c>
      <c r="F12" s="45" t="inlineStr">
        <is>
          <t>Done</t>
        </is>
      </c>
      <c r="G12" s="47" t="n"/>
      <c r="H12" s="47" t="n"/>
      <c r="I12" s="47" t="n"/>
      <c r="J12" s="46" t="n"/>
      <c r="K12" s="46" t="n"/>
      <c r="L12" s="47" t="n"/>
      <c r="M12" s="47" t="n"/>
      <c r="N12" s="47" t="n"/>
      <c r="O12" s="47" t="n"/>
      <c r="P12" s="47" t="n"/>
    </row>
    <row r="13" ht="32" customHeight="1">
      <c r="A13" s="42" t="inlineStr">
        <is>
          <t>STR-02</t>
        </is>
      </c>
      <c r="B13" s="43" t="inlineStr">
        <is>
          <t>Strategic analysis</t>
        </is>
      </c>
      <c r="C13" s="43" t="inlineStr">
        <is>
          <t>Tamer (A/R); all leads (C)</t>
        </is>
      </c>
      <c r="D13" s="44" t="n">
        <v>46211</v>
      </c>
      <c r="E13" s="44" t="n">
        <v>46217</v>
      </c>
      <c r="F13" s="45" t="inlineStr">
        <is>
          <t>Done</t>
        </is>
      </c>
      <c r="G13" s="47" t="n"/>
      <c r="H13" s="47" t="n"/>
      <c r="I13" s="47" t="n"/>
      <c r="J13" s="47" t="n"/>
      <c r="K13" s="46" t="n"/>
      <c r="L13" s="46" t="n"/>
      <c r="M13" s="47" t="n"/>
      <c r="N13" s="47" t="n"/>
      <c r="O13" s="47" t="n"/>
      <c r="P13" s="47" t="n"/>
    </row>
    <row r="14" ht="32" customHeight="1">
      <c r="A14" s="48" t="inlineStr">
        <is>
          <t>STR-03</t>
        </is>
      </c>
      <c r="B14" s="49" t="inlineStr">
        <is>
          <t>Strategic planning</t>
        </is>
      </c>
      <c r="C14" s="49" t="inlineStr">
        <is>
          <t>Tamer (A/R); all leads (C)</t>
        </is>
      </c>
      <c r="D14" s="50" t="n">
        <v>46218</v>
      </c>
      <c r="E14" s="50" t="n">
        <v>46224</v>
      </c>
      <c r="F14" s="45" t="inlineStr">
        <is>
          <t>Done</t>
        </is>
      </c>
      <c r="G14" s="47" t="n"/>
      <c r="H14" s="47" t="n"/>
      <c r="I14" s="47" t="n"/>
      <c r="J14" s="47" t="n"/>
      <c r="K14" s="47" t="n"/>
      <c r="L14" s="46" t="n"/>
      <c r="M14" s="46" t="n"/>
      <c r="N14" s="47" t="n"/>
      <c r="O14" s="47" t="n"/>
      <c r="P14" s="47" t="n"/>
    </row>
    <row r="15" ht="32" customHeight="1">
      <c r="A15" s="42" t="inlineStr">
        <is>
          <t>STR-04</t>
        </is>
      </c>
      <c r="B15" s="43" t="inlineStr">
        <is>
          <t>Financial and legal coordination and oversight</t>
        </is>
      </c>
      <c r="C15" s="43" t="inlineStr">
        <is>
          <t>Tamer (A/R); Conrad and Badhri (C)</t>
        </is>
      </c>
      <c r="D15" s="44" t="n">
        <v>46204</v>
      </c>
      <c r="E15" s="44" t="n">
        <v>46234</v>
      </c>
      <c r="F15" s="51" t="inlineStr">
        <is>
          <t>Doing</t>
        </is>
      </c>
      <c r="G15" s="47" t="n"/>
      <c r="H15" s="47" t="n"/>
      <c r="I15" s="47" t="n"/>
      <c r="J15" s="52" t="n"/>
      <c r="K15" s="52" t="n"/>
      <c r="L15" s="52" t="n"/>
      <c r="M15" s="52" t="n"/>
      <c r="N15" s="52" t="n"/>
      <c r="O15" s="47" t="n"/>
      <c r="P15" s="47" t="n"/>
    </row>
    <row r="16" ht="32" customHeight="1">
      <c r="A16" s="48" t="inlineStr">
        <is>
          <t>PRD-01</t>
        </is>
      </c>
      <c r="B16" s="49" t="inlineStr">
        <is>
          <t>Product workflow and release rules</t>
        </is>
      </c>
      <c r="C16" s="49" t="inlineStr">
        <is>
          <t>Dan (A/R); Nick (R)</t>
        </is>
      </c>
      <c r="D16" s="50" t="n">
        <v>46182</v>
      </c>
      <c r="E16" s="50" t="n">
        <v>46213</v>
      </c>
      <c r="F16" s="45" t="inlineStr">
        <is>
          <t>Done</t>
        </is>
      </c>
      <c r="G16" s="46" t="n"/>
      <c r="H16" s="46" t="n"/>
      <c r="I16" s="46" t="n"/>
      <c r="J16" s="46" t="n"/>
      <c r="K16" s="46" t="n"/>
      <c r="L16" s="47" t="n"/>
      <c r="M16" s="47" t="n"/>
      <c r="N16" s="47" t="n"/>
      <c r="O16" s="47" t="n"/>
      <c r="P16" s="47" t="n"/>
    </row>
    <row r="17" ht="32" customHeight="1">
      <c r="A17" s="42" t="inlineStr">
        <is>
          <t>PRD-02</t>
        </is>
      </c>
      <c r="B17" s="43" t="inlineStr">
        <is>
          <t>Document rules and pitch alignment</t>
        </is>
      </c>
      <c r="C17" s="43" t="inlineStr">
        <is>
          <t>Dan (A); Nick and Badhri (R); Tamer (C)</t>
        </is>
      </c>
      <c r="D17" s="44" t="n">
        <v>46195</v>
      </c>
      <c r="E17" s="44" t="n">
        <v>46246</v>
      </c>
      <c r="F17" s="51" t="inlineStr">
        <is>
          <t>Doing</t>
        </is>
      </c>
      <c r="G17" s="47" t="n"/>
      <c r="H17" s="47" t="n"/>
      <c r="I17" s="52" t="n"/>
      <c r="J17" s="52" t="n"/>
      <c r="K17" s="52" t="n"/>
      <c r="L17" s="52" t="n"/>
      <c r="M17" s="52" t="n"/>
      <c r="N17" s="52" t="n"/>
      <c r="O17" s="52" t="n"/>
      <c r="P17" s="52" t="n"/>
    </row>
    <row r="18" ht="32" customHeight="1">
      <c r="A18" s="48" t="inlineStr">
        <is>
          <t>TEC-01</t>
        </is>
      </c>
      <c r="B18" s="49" t="inlineStr">
        <is>
          <t>Smart contract and contract tests</t>
        </is>
      </c>
      <c r="C18" s="49" t="inlineStr">
        <is>
          <t>Nick (A/R); Dan (R)</t>
        </is>
      </c>
      <c r="D18" s="50" t="n">
        <v>46188</v>
      </c>
      <c r="E18" s="50" t="n">
        <v>46213</v>
      </c>
      <c r="F18" s="45" t="inlineStr">
        <is>
          <t>Done</t>
        </is>
      </c>
      <c r="G18" s="47" t="n"/>
      <c r="H18" s="46" t="n"/>
      <c r="I18" s="46" t="n"/>
      <c r="J18" s="46" t="n"/>
      <c r="K18" s="46" t="n"/>
      <c r="L18" s="47" t="n"/>
      <c r="M18" s="47" t="n"/>
      <c r="N18" s="47" t="n"/>
      <c r="O18" s="47" t="n"/>
      <c r="P18" s="47" t="n"/>
    </row>
    <row r="19" ht="32" customHeight="1">
      <c r="A19" s="42" t="inlineStr">
        <is>
          <t>TEC-02</t>
        </is>
      </c>
      <c r="B19" s="43" t="inlineStr">
        <is>
          <t>Application lifecycle, authentication and persistence</t>
        </is>
      </c>
      <c r="C19" s="43" t="inlineStr">
        <is>
          <t>Nick (A/R); Dan (R)</t>
        </is>
      </c>
      <c r="D19" s="44" t="n">
        <v>46195</v>
      </c>
      <c r="E19" s="44" t="n">
        <v>46239</v>
      </c>
      <c r="F19" s="51" t="inlineStr">
        <is>
          <t>Doing</t>
        </is>
      </c>
      <c r="G19" s="47" t="n"/>
      <c r="H19" s="47" t="n"/>
      <c r="I19" s="52" t="n"/>
      <c r="J19" s="52" t="n"/>
      <c r="K19" s="52" t="n"/>
      <c r="L19" s="52" t="n"/>
      <c r="M19" s="52" t="n"/>
      <c r="N19" s="52" t="n"/>
      <c r="O19" s="52" t="n"/>
      <c r="P19" s="47" t="n"/>
    </row>
    <row r="20" ht="32" customHeight="1">
      <c r="A20" s="48" t="inlineStr">
        <is>
          <t>TEC-03</t>
        </is>
      </c>
      <c r="B20" s="49" t="inlineStr">
        <is>
          <t>Testnet deployment and onboarding gate</t>
        </is>
      </c>
      <c r="C20" s="49" t="inlineStr">
        <is>
          <t>Nick (A); Dan (R)</t>
        </is>
      </c>
      <c r="D20" s="50" t="n">
        <v>46203</v>
      </c>
      <c r="E20" s="50" t="n">
        <v>46244</v>
      </c>
      <c r="F20" s="51" t="inlineStr">
        <is>
          <t>Doing</t>
        </is>
      </c>
      <c r="G20" s="47" t="n"/>
      <c r="H20" s="47" t="n"/>
      <c r="I20" s="47" t="n"/>
      <c r="J20" s="52" t="n"/>
      <c r="K20" s="52" t="n"/>
      <c r="L20" s="52" t="n"/>
      <c r="M20" s="52" t="n"/>
      <c r="N20" s="52" t="n"/>
      <c r="O20" s="52" t="n"/>
      <c r="P20" s="52" t="n"/>
    </row>
    <row r="21" ht="32" customHeight="1">
      <c r="A21" s="42" t="inlineStr">
        <is>
          <t>TEC-04</t>
        </is>
      </c>
      <c r="B21" s="43" t="inlineStr">
        <is>
          <t>Integrated acceptance and clean-build reproducibility</t>
        </is>
      </c>
      <c r="C21" s="43" t="inlineStr">
        <is>
          <t>Nick (A/R); Dan (R)</t>
        </is>
      </c>
      <c r="D21" s="44" t="n">
        <v>46237</v>
      </c>
      <c r="E21" s="44" t="n">
        <v>46246</v>
      </c>
      <c r="F21" s="53" t="inlineStr">
        <is>
          <t>To Do</t>
        </is>
      </c>
      <c r="G21" s="47" t="n"/>
      <c r="H21" s="47" t="n"/>
      <c r="I21" s="47" t="n"/>
      <c r="J21" s="47" t="n"/>
      <c r="K21" s="47" t="n"/>
      <c r="L21" s="47" t="n"/>
      <c r="M21" s="47" t="n"/>
      <c r="N21" s="47" t="n"/>
      <c r="O21" s="54" t="n"/>
      <c r="P21" s="54" t="n"/>
    </row>
    <row r="22" ht="32" customHeight="1">
      <c r="A22" s="48" t="inlineStr">
        <is>
          <t>UX-01</t>
        </is>
      </c>
      <c r="B22" s="49" t="inlineStr">
        <is>
          <t>Role journeys and consolidated dashboard</t>
        </is>
      </c>
      <c r="C22" s="49" t="inlineStr">
        <is>
          <t>Mo (A/R); Nick and Dan (C)</t>
        </is>
      </c>
      <c r="D22" s="50" t="n">
        <v>46195</v>
      </c>
      <c r="E22" s="50" t="n">
        <v>46242</v>
      </c>
      <c r="F22" s="51" t="inlineStr">
        <is>
          <t>Doing</t>
        </is>
      </c>
      <c r="G22" s="47" t="n"/>
      <c r="H22" s="47" t="n"/>
      <c r="I22" s="52" t="n"/>
      <c r="J22" s="52" t="n"/>
      <c r="K22" s="52" t="n"/>
      <c r="L22" s="52" t="n"/>
      <c r="M22" s="52" t="n"/>
      <c r="N22" s="52" t="n"/>
      <c r="O22" s="52" t="n"/>
      <c r="P22" s="47" t="n"/>
    </row>
    <row r="23" ht="32" customHeight="1">
      <c r="A23" s="42" t="inlineStr">
        <is>
          <t>UX-02</t>
        </is>
      </c>
      <c r="B23" s="43" t="inlineStr">
        <is>
          <t>Canonical demo route and polish</t>
        </is>
      </c>
      <c r="C23" s="43" t="inlineStr">
        <is>
          <t>Mo (A/R); Dan (R); Tamer (C)</t>
        </is>
      </c>
      <c r="D23" s="44" t="n">
        <v>46237</v>
      </c>
      <c r="E23" s="44" t="n">
        <v>46246</v>
      </c>
      <c r="F23" s="53" t="inlineStr">
        <is>
          <t>To Do</t>
        </is>
      </c>
      <c r="G23" s="47" t="n"/>
      <c r="H23" s="47" t="n"/>
      <c r="I23" s="47" t="n"/>
      <c r="J23" s="47" t="n"/>
      <c r="K23" s="47" t="n"/>
      <c r="L23" s="47" t="n"/>
      <c r="M23" s="47" t="n"/>
      <c r="N23" s="47" t="n"/>
      <c r="O23" s="54" t="n"/>
      <c r="P23" s="54" t="n"/>
    </row>
    <row r="24" ht="32" customHeight="1">
      <c r="A24" s="48" t="inlineStr">
        <is>
          <t>UX-03</t>
        </is>
      </c>
      <c r="B24" s="49" t="inlineStr">
        <is>
          <t>Front-end UI implementation</t>
        </is>
      </c>
      <c r="C24" s="49" t="inlineStr">
        <is>
          <t>Mo (A/R); Nick and Dan (C); Tamer (I)</t>
        </is>
      </c>
      <c r="D24" s="50" t="n">
        <v>46195</v>
      </c>
      <c r="E24" s="50" t="n">
        <v>46242</v>
      </c>
      <c r="F24" s="51" t="inlineStr">
        <is>
          <t>Doing</t>
        </is>
      </c>
      <c r="G24" s="47" t="n"/>
      <c r="H24" s="47" t="n"/>
      <c r="I24" s="52" t="n"/>
      <c r="J24" s="52" t="n"/>
      <c r="K24" s="52" t="n"/>
      <c r="L24" s="52" t="n"/>
      <c r="M24" s="52" t="n"/>
      <c r="N24" s="52" t="n"/>
      <c r="O24" s="52" t="n"/>
      <c r="P24" s="47" t="n"/>
    </row>
    <row r="25" ht="32" customHeight="1">
      <c r="A25" s="42" t="inlineStr">
        <is>
          <t>TEC-05</t>
        </is>
      </c>
      <c r="B25" s="43" t="inlineStr">
        <is>
          <t>Back-end application integration</t>
        </is>
      </c>
      <c r="C25" s="43" t="inlineStr">
        <is>
          <t>Mo (A/R); Nick and Dan (C); Tamer (I)</t>
        </is>
      </c>
      <c r="D25" s="44" t="n">
        <v>46218</v>
      </c>
      <c r="E25" s="44" t="n">
        <v>46244</v>
      </c>
      <c r="F25" s="51" t="inlineStr">
        <is>
          <t>Doing</t>
        </is>
      </c>
      <c r="G25" s="47" t="n"/>
      <c r="H25" s="47" t="n"/>
      <c r="I25" s="47" t="n"/>
      <c r="J25" s="47" t="n"/>
      <c r="K25" s="47" t="n"/>
      <c r="L25" s="52" t="n"/>
      <c r="M25" s="52" t="n"/>
      <c r="N25" s="52" t="n"/>
      <c r="O25" s="52" t="n"/>
      <c r="P25" s="52" t="n"/>
    </row>
    <row r="26" ht="32" customHeight="1">
      <c r="A26" s="48" t="inlineStr">
        <is>
          <t>RISK-01</t>
        </is>
      </c>
      <c r="B26" s="49" t="inlineStr">
        <is>
          <t>Legal, regulatory and document research</t>
        </is>
      </c>
      <c r="C26" s="49" t="inlineStr">
        <is>
          <t>Badhri (A/R); Tamer (C)</t>
        </is>
      </c>
      <c r="D26" s="50" t="n">
        <v>46182</v>
      </c>
      <c r="E26" s="50" t="n">
        <v>46239</v>
      </c>
      <c r="F26" s="51" t="inlineStr">
        <is>
          <t>Doing</t>
        </is>
      </c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47" t="n"/>
    </row>
    <row r="27" ht="32" customHeight="1">
      <c r="A27" s="42" t="inlineStr">
        <is>
          <t>RISK-02</t>
        </is>
      </c>
      <c r="B27" s="43" t="inlineStr">
        <is>
          <t>Final legal and compliance claim review</t>
        </is>
      </c>
      <c r="C27" s="43" t="inlineStr">
        <is>
          <t>Badhri (A/R); Tamer and Nick (C)</t>
        </is>
      </c>
      <c r="D27" s="44" t="n">
        <v>46237</v>
      </c>
      <c r="E27" s="44" t="n">
        <v>46246</v>
      </c>
      <c r="F27" s="53" t="inlineStr">
        <is>
          <t>To Do</t>
        </is>
      </c>
      <c r="G27" s="47" t="n"/>
      <c r="H27" s="47" t="n"/>
      <c r="I27" s="47" t="n"/>
      <c r="J27" s="47" t="n"/>
      <c r="K27" s="47" t="n"/>
      <c r="L27" s="47" t="n"/>
      <c r="M27" s="47" t="n"/>
      <c r="N27" s="47" t="n"/>
      <c r="O27" s="54" t="n"/>
      <c r="P27" s="54" t="n"/>
    </row>
    <row r="28" ht="32" customHeight="1">
      <c r="A28" s="48" t="inlineStr">
        <is>
          <t>BUS-01</t>
        </is>
      </c>
      <c r="B28" s="49" t="inlineStr">
        <is>
          <t>Financial model, pricing and funding assumptions</t>
        </is>
      </c>
      <c r="C28" s="49" t="inlineStr">
        <is>
          <t>Conrad (A/R); Mo (R); Tamer (C)</t>
        </is>
      </c>
      <c r="D28" s="50" t="n">
        <v>46182</v>
      </c>
      <c r="E28" s="50" t="n">
        <v>46246</v>
      </c>
      <c r="F28" s="51" t="inlineStr">
        <is>
          <t>Doing</t>
        </is>
      </c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</row>
    <row r="29" ht="32" customHeight="1">
      <c r="A29" s="42" t="inlineStr">
        <is>
          <t>BUS-02</t>
        </is>
      </c>
      <c r="B29" s="43" t="inlineStr">
        <is>
          <t>Customer, competitor and market case</t>
        </is>
      </c>
      <c r="C29" s="43" t="inlineStr">
        <is>
          <t>Mo (A/R); Tamer, Conrad and Badhri (C)</t>
        </is>
      </c>
      <c r="D29" s="44" t="n">
        <v>46182</v>
      </c>
      <c r="E29" s="44" t="n">
        <v>46246</v>
      </c>
      <c r="F29" s="51" t="inlineStr">
        <is>
          <t>Doing</t>
        </is>
      </c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</row>
    <row r="30" ht="32" customHeight="1">
      <c r="A30" s="48" t="inlineStr">
        <is>
          <t>BUS-03</t>
        </is>
      </c>
      <c r="B30" s="49" t="inlineStr">
        <is>
          <t>Business model and commercial narrative</t>
        </is>
      </c>
      <c r="C30" s="49" t="inlineStr">
        <is>
          <t>Tamer (A/R); Conrad and Badhri (C)</t>
        </is>
      </c>
      <c r="D30" s="50" t="n">
        <v>46246</v>
      </c>
      <c r="E30" s="50" t="n">
        <v>46246</v>
      </c>
      <c r="F30" s="53" t="inlineStr">
        <is>
          <t>To Do</t>
        </is>
      </c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54" t="n"/>
    </row>
    <row r="31" ht="32" customHeight="1">
      <c r="A31" s="42" t="inlineStr">
        <is>
          <t>SUB-01</t>
        </is>
      </c>
      <c r="B31" s="43" t="inlineStr">
        <is>
          <t>Final deck and script</t>
        </is>
      </c>
      <c r="C31" s="43" t="inlineStr">
        <is>
          <t>Tamer (A/R); Dan and Mo (R); other leads (C)</t>
        </is>
      </c>
      <c r="D31" s="44" t="n">
        <v>46230</v>
      </c>
      <c r="E31" s="44" t="n">
        <v>46246</v>
      </c>
      <c r="F31" s="51" t="inlineStr">
        <is>
          <t>Doing</t>
        </is>
      </c>
      <c r="G31" s="47" t="n"/>
      <c r="H31" s="47" t="n"/>
      <c r="I31" s="47" t="n"/>
      <c r="J31" s="47" t="n"/>
      <c r="K31" s="47" t="n"/>
      <c r="L31" s="47" t="n"/>
      <c r="M31" s="47" t="n"/>
      <c r="N31" s="52" t="n"/>
      <c r="O31" s="52" t="n"/>
      <c r="P31" s="52" t="n"/>
    </row>
    <row r="32" ht="32" customHeight="1">
      <c r="A32" s="48" t="inlineStr">
        <is>
          <t>SUB-02</t>
        </is>
      </c>
      <c r="B32" s="49" t="inlineStr">
        <is>
          <t>Demo runbook</t>
        </is>
      </c>
      <c r="C32" s="49" t="inlineStr">
        <is>
          <t>Dan (A/R); Nick (R); Mo (C)</t>
        </is>
      </c>
      <c r="D32" s="50" t="n">
        <v>46237</v>
      </c>
      <c r="E32" s="50" t="n">
        <v>46246</v>
      </c>
      <c r="F32" s="53" t="inlineStr">
        <is>
          <t>To Do</t>
        </is>
      </c>
      <c r="G32" s="47" t="n"/>
      <c r="H32" s="47" t="n"/>
      <c r="I32" s="47" t="n"/>
      <c r="J32" s="47" t="n"/>
      <c r="K32" s="47" t="n"/>
      <c r="L32" s="47" t="n"/>
      <c r="M32" s="47" t="n"/>
      <c r="N32" s="47" t="n"/>
      <c r="O32" s="54" t="n"/>
      <c r="P32" s="54" t="n"/>
    </row>
    <row r="33" ht="32" customHeight="1">
      <c r="A33" s="42" t="inlineStr">
        <is>
          <t>SUB-03</t>
        </is>
      </c>
      <c r="B33" s="43" t="inlineStr">
        <is>
          <t>Rehearsals and recordings</t>
        </is>
      </c>
      <c r="C33" s="43" t="inlineStr">
        <is>
          <t>Dan (A/R); Tamer and Mo (R); Nick (C)</t>
        </is>
      </c>
      <c r="D33" s="44" t="n">
        <v>46244</v>
      </c>
      <c r="E33" s="44" t="n">
        <v>46247</v>
      </c>
      <c r="F33" s="53" t="inlineStr">
        <is>
          <t>To Do</t>
        </is>
      </c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54" t="n"/>
    </row>
    <row r="34" ht="32" customHeight="1">
      <c r="A34" s="48" t="inlineStr">
        <is>
          <t>SUB-04</t>
        </is>
      </c>
      <c r="B34" s="49" t="inlineStr">
        <is>
          <t>Submission QA and upload</t>
        </is>
      </c>
      <c r="C34" s="49" t="inlineStr">
        <is>
          <t>Tamer (A/R); Dan (R); Mo (C)</t>
        </is>
      </c>
      <c r="D34" s="50" t="n">
        <v>46247</v>
      </c>
      <c r="E34" s="50" t="n">
        <v>46248</v>
      </c>
      <c r="F34" s="53" t="inlineStr">
        <is>
          <t>To Do</t>
        </is>
      </c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54" t="n"/>
    </row>
    <row r="35" ht="32" customHeight="1">
      <c r="A35" s="55" t="inlineStr">
        <is>
          <t>DEF-01</t>
        </is>
      </c>
      <c r="B35" s="56" t="inlineStr">
        <is>
          <t>Post-MVP integrations and production hardening</t>
        </is>
      </c>
      <c r="C35" s="56" t="inlineStr">
        <is>
          <t>Tamer (A); technical and domain leads (C)</t>
        </is>
      </c>
      <c r="D35" s="57" t="n"/>
      <c r="E35" s="57" t="n"/>
      <c r="F35" s="58" t="inlineStr">
        <is>
          <t>Deferred</t>
        </is>
      </c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</row>
  </sheetData>
  <autoFilter ref="A8:P35"/>
  <mergeCells count="18">
    <mergeCell ref="J5:L5"/>
    <mergeCell ref="O7:P7"/>
    <mergeCell ref="D5:F5"/>
    <mergeCell ref="A5:C5"/>
    <mergeCell ref="G5:I5"/>
    <mergeCell ref="A1:P1"/>
    <mergeCell ref="O5:P5"/>
    <mergeCell ref="D4:F4"/>
    <mergeCell ref="A6:P6"/>
    <mergeCell ref="G4:I4"/>
    <mergeCell ref="G7:J7"/>
    <mergeCell ref="J4:L4"/>
    <mergeCell ref="M5:N5"/>
    <mergeCell ref="K7:N7"/>
    <mergeCell ref="A4:C4"/>
    <mergeCell ref="O4:P4"/>
    <mergeCell ref="M4:N4"/>
    <mergeCell ref="A2:P2"/>
  </mergeCells>
  <conditionalFormatting sqref="G9:P35">
    <cfRule type="expression" priority="11" dxfId="0">
      <formula>AND(G$8&lt;=$E9,G$8+6&gt;=$D9,$F9="Done")</formula>
    </cfRule>
    <cfRule type="expression" priority="13" dxfId="1">
      <formula>AND(G$8&lt;=$E9,G$8+6&gt;=$D9,$F9="Review")</formula>
    </cfRule>
    <cfRule type="expression" priority="15" dxfId="10">
      <formula>AND(G$8&lt;=$E9,G$8+6&gt;=$D9,$F9="Doing")</formula>
    </cfRule>
    <cfRule type="expression" priority="17" dxfId="3">
      <formula>AND(G$8&lt;=$E9,G$8+6&gt;=$D9,$F9="To Do")</formula>
    </cfRule>
    <cfRule type="expression" priority="19" dxfId="11">
      <formula>AND(G$8&lt;=$E9,G$8+6&gt;=$D9,$F9="Deferred")</formula>
    </cfRule>
  </conditionalFormatting>
  <conditionalFormatting sqref="F9:F35">
    <cfRule type="expression" priority="12" dxfId="5">
      <formula>$F9="Done"</formula>
    </cfRule>
    <cfRule type="expression" priority="14" dxfId="6">
      <formula>$F9="Review"</formula>
    </cfRule>
    <cfRule type="expression" priority="16" dxfId="12">
      <formula>$F9="Doing"</formula>
    </cfRule>
    <cfRule type="expression" priority="18" dxfId="8">
      <formula>$F9="To Do"</formula>
    </cfRule>
    <cfRule type="expression" priority="20" dxfId="13">
      <formula>$F9="Deferred"</formula>
    </cfRule>
  </conditionalFormatting>
  <dataValidations count="1">
    <dataValidation sqref="F9:F35" showDropDown="0" showInputMessage="0" showErrorMessage="0" allowBlank="0" type="list">
      <formula1>"Done,Review,Doing,To Do,Deferred"</formula1>
    </dataValidation>
  </dataValidations>
  <pageMargins left="0.75" right="0.75" top="1" bottom="1" header="0.5" footer="0.5"/>
  <pageSetup orientation="landscape" paperSize="8" fitToHeight="1" fitToWidth="1"/>
  <headerFooter>
    <oddHeader/>
    <oddFooter>&amp;LBlockmediary v3 — simple governance view&amp;CStatus date 12 Aug 2026&amp;RPage &amp;P of &amp;N</oddFooter>
    <evenHeader/>
    <evenFooter/>
    <firstHeader/>
    <firstFooter/>
  </headerFooter>
  <legacyDrawing ns1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Transakt</dc:creator>
  <dc:title xmlns:dc="http://purl.org/dc/elements/1.1/">Blockmediary Simple Gantt v3</dc:title>
  <dc:subject xmlns:dc="http://purl.org/dc/elements/1.1/">Simplified 25-task project schedule</dc:subject>
  <dcterms:created xmlns:dcterms="http://purl.org/dc/terms/" xmlns:xsi="http://www.w3.org/2001/XMLSchema-instance" xsi:type="dcterms:W3CDTF">2026-08-12T18:27:42Z</dcterms:created>
  <dcterms:modified xmlns:dcterms="http://purl.org/dc/terms/" xmlns:xsi="http://www.w3.org/2001/XMLSchema-instance" xsi:type="dcterms:W3CDTF">2026-08-13T14:46:31Z</dcterms:modified>
</cp:coreProperties>
</file>