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2937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  <font>
      <name val="Arial"/>
      <b val="1"/>
      <color rgb="00C00000"/>
      <sz val="10"/>
    </font>
    <font>
      <name val="Arial"/>
      <b val="1"/>
      <sz val="13"/>
    </font>
    <font>
      <name val="Arial"/>
      <b val="1"/>
      <sz val="10"/>
    </font>
  </fonts>
  <fills count="12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4472C4"/>
      </patternFill>
    </fill>
    <fill>
      <patternFill patternType="solid">
        <fgColor rgb="00ED7D31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5B9BD5"/>
      </patternFill>
    </fill>
    <fill>
      <patternFill patternType="solid">
        <fgColor rgb="00A5A5A5"/>
      </patternFill>
    </fill>
    <fill>
      <patternFill patternType="solid">
        <fgColor rgb="00C00000"/>
      </patternFill>
    </fill>
    <fill>
      <patternFill patternType="solid">
        <fgColor rgb="007030A0"/>
      </patternFill>
    </fill>
    <fill>
      <patternFill patternType="solid">
        <fgColor rgb="002644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4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4" fillId="5" borderId="0" applyAlignment="1" pivotButton="0" quotePrefix="0" xfId="0">
      <alignment horizontal="center" vertical="center"/>
    </xf>
    <xf numFmtId="0" fontId="0" fillId="5" borderId="0" pivotButton="0" quotePrefix="0" xfId="0"/>
    <xf numFmtId="0" fontId="4" fillId="6" borderId="0" applyAlignment="1" pivotButton="0" quotePrefix="0" xfId="0">
      <alignment horizontal="center" vertical="center"/>
    </xf>
    <xf numFmtId="0" fontId="0" fillId="6" borderId="0" pivotButton="0" quotePrefix="0" xfId="0"/>
    <xf numFmtId="0" fontId="4" fillId="7" borderId="0" applyAlignment="1" pivotButton="0" quotePrefix="0" xfId="0">
      <alignment horizontal="center" vertical="center"/>
    </xf>
    <xf numFmtId="0" fontId="0" fillId="7" borderId="0" pivotButton="0" quotePrefix="0" xfId="0"/>
    <xf numFmtId="0" fontId="4" fillId="8" borderId="0" applyAlignment="1" pivotButton="0" quotePrefix="0" xfId="0">
      <alignment horizontal="center" vertical="center"/>
    </xf>
    <xf numFmtId="0" fontId="0" fillId="8" borderId="0" pivotButton="0" quotePrefix="0" xfId="0"/>
    <xf numFmtId="0" fontId="4" fillId="9" borderId="0" applyAlignment="1" pivotButton="0" quotePrefix="0" xfId="0">
      <alignment horizontal="center" vertical="center"/>
    </xf>
    <xf numFmtId="0" fontId="0" fillId="9" borderId="0" pivotButton="0" quotePrefix="0" xfId="0"/>
    <xf numFmtId="0" fontId="4" fillId="10" borderId="0" applyAlignment="1" pivotButton="0" quotePrefix="0" xfId="0">
      <alignment horizontal="center" vertical="center"/>
    </xf>
    <xf numFmtId="0" fontId="0" fillId="10" borderId="0" pivotButton="0" quotePrefix="0" xfId="0"/>
    <xf numFmtId="0" fontId="4" fillId="11" borderId="0" applyAlignment="1" pivotButton="0" quotePrefix="0" xfId="0">
      <alignment horizontal="center" vertical="center"/>
    </xf>
    <xf numFmtId="0" fontId="0" fillId="11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7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1"/>
  <sheetViews>
    <sheetView workbookViewId="0">
      <pane xSplit="9" ySplit="4" topLeftCell="J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18" customWidth="1" min="3" max="3"/>
    <col width="52" customWidth="1" min="4" max="4"/>
    <col width="8" customWidth="1" min="5" max="5"/>
    <col width="8" customWidth="1" min="6" max="6"/>
    <col width="8" customWidth="1" min="7" max="7"/>
    <col width="11" customWidth="1" min="8" max="8"/>
    <col width="8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  <col width="2.6" customWidth="1" min="32" max="32"/>
    <col width="2.6" customWidth="1" min="33" max="33"/>
    <col width="2.6" customWidth="1" min="34" max="34"/>
    <col width="2.6" customWidth="1" min="35" max="35"/>
    <col width="2.6" customWidth="1" min="36" max="36"/>
    <col width="2.6" customWidth="1" min="37" max="37"/>
    <col width="2.6" customWidth="1" min="38" max="38"/>
    <col width="2.6" customWidth="1" min="39" max="39"/>
    <col width="2.6" customWidth="1" min="40" max="40"/>
    <col width="2.6" customWidth="1" min="41" max="41"/>
    <col width="2.6" customWidth="1" min="42" max="42"/>
    <col width="2.6" customWidth="1" min="43" max="43"/>
    <col width="2.6" customWidth="1" min="44" max="44"/>
    <col width="2.6" customWidth="1" min="45" max="45"/>
    <col width="2.6" customWidth="1" min="46" max="46"/>
    <col width="2.6" customWidth="1" min="47" max="47"/>
    <col width="2.6" customWidth="1" min="48" max="48"/>
    <col width="2.6" customWidth="1" min="49" max="49"/>
    <col width="2.6" customWidth="1" min="50" max="50"/>
    <col width="2.6" customWidth="1" min="51" max="51"/>
    <col width="2.6" customWidth="1" min="52" max="52"/>
    <col width="2.6" customWidth="1" min="53" max="53"/>
    <col width="2.6" customWidth="1" min="54" max="54"/>
    <col width="2.6" customWidth="1" min="55" max="55"/>
    <col width="2.6" customWidth="1" min="56" max="56"/>
    <col width="2.6" customWidth="1" min="57" max="57"/>
    <col width="2.6" customWidth="1" min="58" max="58"/>
    <col width="2.6" customWidth="1" min="59" max="59"/>
    <col width="2.6" customWidth="1" min="60" max="60"/>
  </cols>
  <sheetData>
    <row r="1">
      <c r="A1" s="1" t="inlineStr">
        <is>
          <t>Blockmediary — Build Gantt Chart (Transakt)</t>
        </is>
      </c>
    </row>
    <row r="2">
      <c r="A2" s="2" t="inlineStr">
        <is>
          <t>Bar length = task size (Total Effort in team-days). T-shirt sizing per Tony Wood BEEM063 deck (XS=3, S=7, M=12, L=20, XL=30).</t>
        </is>
      </c>
    </row>
    <row r="4" ht="16" customHeight="1">
      <c r="A4" s="3" t="inlineStr">
        <is>
          <t>ID</t>
        </is>
      </c>
      <c r="B4" s="3" t="inlineStr">
        <is>
          <t>Scope</t>
        </is>
      </c>
      <c r="C4" s="3" t="inlineStr">
        <is>
          <t>Workstream</t>
        </is>
      </c>
      <c r="D4" s="3" t="inlineStr">
        <is>
          <t>Task</t>
        </is>
      </c>
      <c r="E4" s="3" t="inlineStr">
        <is>
          <t>Dev</t>
        </is>
      </c>
      <c r="F4" s="3" t="inlineStr">
        <is>
          <t>Test</t>
        </is>
      </c>
      <c r="G4" s="3" t="inlineStr">
        <is>
          <t>Deploy</t>
        </is>
      </c>
      <c r="H4" s="3" t="inlineStr">
        <is>
          <t>Total (days)</t>
        </is>
      </c>
      <c r="I4" s="3" t="inlineStr">
        <is>
          <t>Size</t>
        </is>
      </c>
      <c r="J4" s="4" t="n">
        <v>1</v>
      </c>
      <c r="K4" s="5" t="n"/>
      <c r="L4" s="5" t="n"/>
      <c r="M4" s="5" t="n"/>
      <c r="N4" s="5" t="n"/>
      <c r="O4" s="4" t="n">
        <v>6</v>
      </c>
      <c r="P4" s="5" t="n"/>
      <c r="Q4" s="5" t="n"/>
      <c r="R4" s="5" t="n"/>
      <c r="S4" s="5" t="n"/>
      <c r="T4" s="4" t="n">
        <v>11</v>
      </c>
      <c r="U4" s="5" t="n"/>
      <c r="V4" s="5" t="n"/>
      <c r="W4" s="5" t="n"/>
      <c r="X4" s="5" t="n"/>
      <c r="Y4" s="4" t="n">
        <v>16</v>
      </c>
      <c r="Z4" s="5" t="n"/>
      <c r="AA4" s="5" t="n"/>
      <c r="AB4" s="5" t="n"/>
      <c r="AC4" s="5" t="n"/>
      <c r="AD4" s="4" t="n">
        <v>21</v>
      </c>
      <c r="AE4" s="5" t="n"/>
      <c r="AF4" s="5" t="n"/>
      <c r="AG4" s="5" t="n"/>
      <c r="AH4" s="5" t="n"/>
      <c r="AI4" s="4" t="n">
        <v>26</v>
      </c>
      <c r="AJ4" s="5" t="n"/>
      <c r="AK4" s="5" t="n"/>
      <c r="AL4" s="5" t="n"/>
      <c r="AM4" s="5" t="n"/>
      <c r="AN4" s="4" t="n">
        <v>31</v>
      </c>
      <c r="AO4" s="5" t="n"/>
      <c r="AP4" s="5" t="n"/>
      <c r="AQ4" s="5" t="n"/>
      <c r="AR4" s="5" t="n"/>
      <c r="AS4" s="4" t="n">
        <v>36</v>
      </c>
      <c r="AT4" s="5" t="n"/>
      <c r="AU4" s="5" t="n"/>
      <c r="AV4" s="5" t="n"/>
      <c r="AW4" s="5" t="n"/>
      <c r="AX4" s="4" t="n">
        <v>41</v>
      </c>
      <c r="AY4" s="5" t="n"/>
      <c r="AZ4" s="5" t="n"/>
      <c r="BA4" s="5" t="n"/>
      <c r="BB4" s="5" t="n"/>
      <c r="BC4" s="4" t="n">
        <v>46</v>
      </c>
      <c r="BD4" s="5" t="n"/>
      <c r="BE4" s="5" t="n"/>
      <c r="BF4" s="5" t="n"/>
      <c r="BG4" s="5" t="n"/>
      <c r="BH4" s="4" t="n">
        <v>51</v>
      </c>
    </row>
    <row r="5">
      <c r="A5" s="6" t="n">
        <v>1</v>
      </c>
      <c r="B5" s="6" t="inlineStr">
        <is>
          <t>MVP</t>
        </is>
      </c>
      <c r="C5" s="6" t="inlineStr">
        <is>
          <t>Setup &amp; Infra</t>
        </is>
      </c>
      <c r="D5" s="7" t="inlineStr">
        <is>
          <t>Set up monorepo and developer environment (env files / faucets / accounts)</t>
        </is>
      </c>
      <c r="E5" s="6" t="n">
        <v>2</v>
      </c>
      <c r="F5" s="6" t="n">
        <v>0</v>
      </c>
      <c r="G5" s="6" t="n">
        <v>1</v>
      </c>
      <c r="H5" s="6">
        <f>E5+F5+G5</f>
        <v/>
      </c>
      <c r="I5" s="6" t="inlineStr">
        <is>
          <t>XS</t>
        </is>
      </c>
      <c r="J5" s="8" t="inlineStr">
        <is>
          <t>XS</t>
        </is>
      </c>
      <c r="K5" s="9" t="n"/>
      <c r="L5" s="9" t="n"/>
    </row>
    <row r="6">
      <c r="A6" s="6" t="n">
        <v>2</v>
      </c>
      <c r="B6" s="6" t="inlineStr">
        <is>
          <t>MVP</t>
        </is>
      </c>
      <c r="C6" s="6" t="inlineStr">
        <is>
          <t>Setup &amp; Infra</t>
        </is>
      </c>
      <c r="D6" s="7" t="inlineStr">
        <is>
          <t>Configure deployment pipeline and secrets management</t>
        </is>
      </c>
      <c r="E6" s="6" t="n">
        <v>2</v>
      </c>
      <c r="F6" s="6" t="n">
        <v>1</v>
      </c>
      <c r="G6" s="6" t="n">
        <v>1</v>
      </c>
      <c r="H6" s="6">
        <f>E6+F6+G6</f>
        <v/>
      </c>
      <c r="I6" s="6" t="inlineStr">
        <is>
          <t>S</t>
        </is>
      </c>
      <c r="M6" s="8" t="inlineStr">
        <is>
          <t>S</t>
        </is>
      </c>
      <c r="N6" s="9" t="n"/>
      <c r="O6" s="9" t="n"/>
      <c r="P6" s="9" t="n"/>
    </row>
    <row r="7">
      <c r="A7" s="6" t="n">
        <v>3</v>
      </c>
      <c r="B7" s="6" t="inlineStr">
        <is>
          <t>MVP</t>
        </is>
      </c>
      <c r="C7" s="6" t="inlineStr">
        <is>
          <t>Smart Contract</t>
        </is>
      </c>
      <c r="D7" s="7" t="inlineStr">
        <is>
          <t>Implement Escrow smart contract (state machine + role gating)</t>
        </is>
      </c>
      <c r="E7" s="6" t="n">
        <v>6</v>
      </c>
      <c r="F7" s="6" t="n">
        <v>3</v>
      </c>
      <c r="G7" s="6" t="n">
        <v>1</v>
      </c>
      <c r="H7" s="6">
        <f>E7+F7+G7</f>
        <v/>
      </c>
      <c r="I7" s="6" t="inlineStr">
        <is>
          <t>M</t>
        </is>
      </c>
      <c r="J7" s="10" t="inlineStr">
        <is>
          <t>M</t>
        </is>
      </c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</row>
    <row r="8">
      <c r="A8" s="6" t="n">
        <v>4</v>
      </c>
      <c r="B8" s="6" t="inlineStr">
        <is>
          <t>MVP</t>
        </is>
      </c>
      <c r="C8" s="6" t="inlineStr">
        <is>
          <t>Smart Contract</t>
        </is>
      </c>
      <c r="D8" s="7" t="inlineStr">
        <is>
          <t>Implement MockUSDC and ERC20 integration</t>
        </is>
      </c>
      <c r="E8" s="6" t="n">
        <v>2</v>
      </c>
      <c r="F8" s="6" t="n">
        <v>1</v>
      </c>
      <c r="G8" s="6" t="n">
        <v>0</v>
      </c>
      <c r="H8" s="6">
        <f>E8+F8+G8</f>
        <v/>
      </c>
      <c r="I8" s="6" t="inlineStr">
        <is>
          <t>XS</t>
        </is>
      </c>
      <c r="T8" s="10" t="inlineStr">
        <is>
          <t>XS</t>
        </is>
      </c>
      <c r="U8" s="11" t="n"/>
      <c r="V8" s="11" t="n"/>
    </row>
    <row r="9">
      <c r="A9" s="6" t="n">
        <v>5</v>
      </c>
      <c r="B9" s="6" t="inlineStr">
        <is>
          <t>MVP</t>
        </is>
      </c>
      <c r="C9" s="6" t="inlineStr">
        <is>
          <t>Smart Contract</t>
        </is>
      </c>
      <c r="D9" s="7" t="inlineStr">
        <is>
          <t>Write contract test suite (happy path / access / refund)</t>
        </is>
      </c>
      <c r="E9" s="6" t="n">
        <v>4</v>
      </c>
      <c r="F9" s="6" t="n">
        <v>2</v>
      </c>
      <c r="G9" s="6" t="n">
        <v>0</v>
      </c>
      <c r="H9" s="6">
        <f>E9+F9+G9</f>
        <v/>
      </c>
      <c r="I9" s="6" t="inlineStr">
        <is>
          <t>S</t>
        </is>
      </c>
      <c r="W9" s="10" t="inlineStr">
        <is>
          <t>S</t>
        </is>
      </c>
      <c r="X9" s="11" t="n"/>
      <c r="Y9" s="11" t="n"/>
      <c r="Z9" s="11" t="n"/>
      <c r="AA9" s="11" t="n"/>
      <c r="AB9" s="11" t="n"/>
    </row>
    <row r="10">
      <c r="A10" s="6" t="n">
        <v>6</v>
      </c>
      <c r="B10" s="6" t="inlineStr">
        <is>
          <t>MVP</t>
        </is>
      </c>
      <c r="C10" s="6" t="inlineStr">
        <is>
          <t>Smart Contract</t>
        </is>
      </c>
      <c r="D10" s="7" t="inlineStr">
        <is>
          <t>Deploy and verify contract on Base Sepolia (Ignition)</t>
        </is>
      </c>
      <c r="E10" s="6" t="n">
        <v>2</v>
      </c>
      <c r="F10" s="6" t="n">
        <v>1</v>
      </c>
      <c r="G10" s="6" t="n">
        <v>2</v>
      </c>
      <c r="H10" s="6">
        <f>E10+F10+G10</f>
        <v/>
      </c>
      <c r="I10" s="6" t="inlineStr">
        <is>
          <t>S</t>
        </is>
      </c>
      <c r="AC10" s="10" t="inlineStr">
        <is>
          <t>S</t>
        </is>
      </c>
      <c r="AD10" s="11" t="n"/>
      <c r="AE10" s="11" t="n"/>
      <c r="AF10" s="11" t="n"/>
      <c r="AG10" s="11" t="n"/>
    </row>
    <row r="11">
      <c r="A11" s="6" t="n">
        <v>7</v>
      </c>
      <c r="B11" s="6" t="inlineStr">
        <is>
          <t>MVP</t>
        </is>
      </c>
      <c r="C11" s="6" t="inlineStr">
        <is>
          <t>Frontend</t>
        </is>
      </c>
      <c r="D11" s="7" t="inlineStr">
        <is>
          <t>Scaffold Next.js app and wallet connect (wagmi / RainbowKit)</t>
        </is>
      </c>
      <c r="E11" s="6" t="n">
        <v>4</v>
      </c>
      <c r="F11" s="6" t="n">
        <v>1</v>
      </c>
      <c r="G11" s="6" t="n">
        <v>1</v>
      </c>
      <c r="H11" s="6">
        <f>E11+F11+G11</f>
        <v/>
      </c>
      <c r="I11" s="6" t="inlineStr">
        <is>
          <t>S</t>
        </is>
      </c>
      <c r="J11" s="12" t="inlineStr">
        <is>
          <t>S</t>
        </is>
      </c>
      <c r="K11" s="13" t="n"/>
      <c r="L11" s="13" t="n"/>
      <c r="M11" s="13" t="n"/>
      <c r="N11" s="13" t="n"/>
      <c r="O11" s="13" t="n"/>
    </row>
    <row r="12">
      <c r="A12" s="6" t="n">
        <v>8</v>
      </c>
      <c r="B12" s="6" t="inlineStr">
        <is>
          <t>MVP</t>
        </is>
      </c>
      <c r="C12" s="6" t="inlineStr">
        <is>
          <t>Frontend</t>
        </is>
      </c>
      <c r="D12" s="7" t="inlineStr">
        <is>
          <t>Build buyer panel (approve / deposit / balance)</t>
        </is>
      </c>
      <c r="E12" s="6" t="n">
        <v>5</v>
      </c>
      <c r="F12" s="6" t="n">
        <v>2</v>
      </c>
      <c r="G12" s="6" t="n">
        <v>1</v>
      </c>
      <c r="H12" s="6">
        <f>E12+F12+G12</f>
        <v/>
      </c>
      <c r="I12" s="6" t="inlineStr">
        <is>
          <t>M</t>
        </is>
      </c>
      <c r="P12" s="12" t="inlineStr">
        <is>
          <t>M</t>
        </is>
      </c>
      <c r="Q12" s="13" t="n"/>
      <c r="R12" s="13" t="n"/>
      <c r="S12" s="13" t="n"/>
      <c r="T12" s="13" t="n"/>
      <c r="U12" s="13" t="n"/>
      <c r="V12" s="13" t="n"/>
      <c r="W12" s="13" t="n"/>
    </row>
    <row r="13">
      <c r="A13" s="6" t="n">
        <v>9</v>
      </c>
      <c r="B13" s="6" t="inlineStr">
        <is>
          <t>MVP</t>
        </is>
      </c>
      <c r="C13" s="6" t="inlineStr">
        <is>
          <t>Frontend</t>
        </is>
      </c>
      <c r="D13" s="7" t="inlineStr">
        <is>
          <t>Build seller panel (upload / verdict / release)</t>
        </is>
      </c>
      <c r="E13" s="6" t="n">
        <v>5</v>
      </c>
      <c r="F13" s="6" t="n">
        <v>2</v>
      </c>
      <c r="G13" s="6" t="n">
        <v>1</v>
      </c>
      <c r="H13" s="6">
        <f>E13+F13+G13</f>
        <v/>
      </c>
      <c r="I13" s="6" t="inlineStr">
        <is>
          <t>M</t>
        </is>
      </c>
      <c r="X13" s="12" t="inlineStr">
        <is>
          <t>M</t>
        </is>
      </c>
      <c r="Y13" s="13" t="n"/>
      <c r="Z13" s="13" t="n"/>
      <c r="AA13" s="13" t="n"/>
      <c r="AB13" s="13" t="n"/>
      <c r="AC13" s="13" t="n"/>
      <c r="AD13" s="13" t="n"/>
      <c r="AE13" s="13" t="n"/>
    </row>
    <row r="14">
      <c r="A14" s="6" t="n">
        <v>10</v>
      </c>
      <c r="B14" s="6" t="inlineStr">
        <is>
          <t>MVP</t>
        </is>
      </c>
      <c r="C14" s="6" t="inlineStr">
        <is>
          <t>Frontend</t>
        </is>
      </c>
      <c r="D14" s="7" t="inlineStr">
        <is>
          <t>Implement on-chain event watching and state sync</t>
        </is>
      </c>
      <c r="E14" s="6" t="n">
        <v>3</v>
      </c>
      <c r="F14" s="6" t="n">
        <v>2</v>
      </c>
      <c r="G14" s="6" t="n">
        <v>1</v>
      </c>
      <c r="H14" s="6">
        <f>E14+F14+G14</f>
        <v/>
      </c>
      <c r="I14" s="6" t="inlineStr">
        <is>
          <t>S</t>
        </is>
      </c>
      <c r="AF14" s="12" t="inlineStr">
        <is>
          <t>S</t>
        </is>
      </c>
      <c r="AG14" s="13" t="n"/>
      <c r="AH14" s="13" t="n"/>
      <c r="AI14" s="13" t="n"/>
      <c r="AJ14" s="13" t="n"/>
      <c r="AK14" s="13" t="n"/>
    </row>
    <row r="15">
      <c r="A15" s="6" t="n">
        <v>11</v>
      </c>
      <c r="B15" s="6" t="inlineStr">
        <is>
          <t>MVP</t>
        </is>
      </c>
      <c r="C15" s="6" t="inlineStr">
        <is>
          <t>Doc Verification</t>
        </is>
      </c>
      <c r="D15" s="7" t="inlineStr">
        <is>
          <t>Build document upload API endpoint</t>
        </is>
      </c>
      <c r="E15" s="6" t="n">
        <v>3</v>
      </c>
      <c r="F15" s="6" t="n">
        <v>1</v>
      </c>
      <c r="G15" s="6" t="n">
        <v>1</v>
      </c>
      <c r="H15" s="6">
        <f>E15+F15+G15</f>
        <v/>
      </c>
      <c r="I15" s="6" t="inlineStr">
        <is>
          <t>S</t>
        </is>
      </c>
      <c r="J15" s="14" t="inlineStr">
        <is>
          <t>S</t>
        </is>
      </c>
      <c r="K15" s="15" t="n"/>
      <c r="L15" s="15" t="n"/>
      <c r="M15" s="15" t="n"/>
      <c r="N15" s="15" t="n"/>
    </row>
    <row r="16">
      <c r="A16" s="6" t="n">
        <v>12</v>
      </c>
      <c r="B16" s="6" t="inlineStr">
        <is>
          <t>MVP</t>
        </is>
      </c>
      <c r="C16" s="6" t="inlineStr">
        <is>
          <t>Doc Verification</t>
        </is>
      </c>
      <c r="D16" s="7" t="inlineStr">
        <is>
          <t>Integrate Claude vision extraction with Zod schema</t>
        </is>
      </c>
      <c r="E16" s="6" t="n">
        <v>5</v>
      </c>
      <c r="F16" s="6" t="n">
        <v>3</v>
      </c>
      <c r="G16" s="6" t="n">
        <v>1</v>
      </c>
      <c r="H16" s="6">
        <f>E16+F16+G16</f>
        <v/>
      </c>
      <c r="I16" s="6" t="inlineStr">
        <is>
          <t>M</t>
        </is>
      </c>
      <c r="O16" s="14" t="inlineStr">
        <is>
          <t>M</t>
        </is>
      </c>
      <c r="P16" s="15" t="n"/>
      <c r="Q16" s="15" t="n"/>
      <c r="R16" s="15" t="n"/>
      <c r="S16" s="15" t="n"/>
      <c r="T16" s="15" t="n"/>
      <c r="U16" s="15" t="n"/>
      <c r="V16" s="15" t="n"/>
      <c r="W16" s="15" t="n"/>
    </row>
    <row r="17">
      <c r="A17" s="6" t="n">
        <v>13</v>
      </c>
      <c r="B17" s="6" t="inlineStr">
        <is>
          <t>MVP</t>
        </is>
      </c>
      <c r="C17" s="6" t="inlineStr">
        <is>
          <t>Doc Verification</t>
        </is>
      </c>
      <c r="D17" s="7" t="inlineStr">
        <is>
          <t>Implement deterministic rules engine</t>
        </is>
      </c>
      <c r="E17" s="6" t="n">
        <v>4</v>
      </c>
      <c r="F17" s="6" t="n">
        <v>3</v>
      </c>
      <c r="G17" s="6" t="n">
        <v>1</v>
      </c>
      <c r="H17" s="6">
        <f>E17+F17+G17</f>
        <v/>
      </c>
      <c r="I17" s="6" t="inlineStr">
        <is>
          <t>M</t>
        </is>
      </c>
      <c r="X17" s="14" t="inlineStr">
        <is>
          <t>M</t>
        </is>
      </c>
      <c r="Y17" s="15" t="n"/>
      <c r="Z17" s="15" t="n"/>
      <c r="AA17" s="15" t="n"/>
      <c r="AB17" s="15" t="n"/>
      <c r="AC17" s="15" t="n"/>
      <c r="AD17" s="15" t="n"/>
      <c r="AE17" s="15" t="n"/>
    </row>
    <row r="18">
      <c r="A18" s="6" t="n">
        <v>14</v>
      </c>
      <c r="B18" s="6" t="inlineStr">
        <is>
          <t>MVP</t>
        </is>
      </c>
      <c r="C18" s="6" t="inlineStr">
        <is>
          <t>Doc Verification</t>
        </is>
      </c>
      <c r="D18" s="7" t="inlineStr">
        <is>
          <t>Build authorised releaser bridge (recordVerdict on-chain)</t>
        </is>
      </c>
      <c r="E18" s="6" t="n">
        <v>3</v>
      </c>
      <c r="F18" s="6" t="n">
        <v>2</v>
      </c>
      <c r="G18" s="6" t="n">
        <v>1</v>
      </c>
      <c r="H18" s="6">
        <f>E18+F18+G18</f>
        <v/>
      </c>
      <c r="I18" s="6" t="inlineStr">
        <is>
          <t>S</t>
        </is>
      </c>
      <c r="AF18" s="14" t="inlineStr">
        <is>
          <t>S</t>
        </is>
      </c>
      <c r="AG18" s="15" t="n"/>
      <c r="AH18" s="15" t="n"/>
      <c r="AI18" s="15" t="n"/>
      <c r="AJ18" s="15" t="n"/>
      <c r="AK18" s="15" t="n"/>
    </row>
    <row r="19">
      <c r="A19" s="6" t="n">
        <v>15</v>
      </c>
      <c r="B19" s="6" t="inlineStr">
        <is>
          <t>MVP</t>
        </is>
      </c>
      <c r="C19" s="6" t="inlineStr">
        <is>
          <t>Doc Verification</t>
        </is>
      </c>
      <c r="D19" s="7" t="inlineStr">
        <is>
          <t>Implement audit-ledger logging</t>
        </is>
      </c>
      <c r="E19" s="6" t="n">
        <v>2</v>
      </c>
      <c r="F19" s="6" t="n">
        <v>1</v>
      </c>
      <c r="G19" s="6" t="n">
        <v>1</v>
      </c>
      <c r="H19" s="6">
        <f>E19+F19+G19</f>
        <v/>
      </c>
      <c r="I19" s="6" t="inlineStr">
        <is>
          <t>S</t>
        </is>
      </c>
      <c r="AL19" s="14" t="inlineStr">
        <is>
          <t>S</t>
        </is>
      </c>
      <c r="AM19" s="15" t="n"/>
      <c r="AN19" s="15" t="n"/>
      <c r="AO19" s="15" t="n"/>
    </row>
    <row r="20">
      <c r="A20" s="6" t="n">
        <v>16</v>
      </c>
      <c r="B20" s="6" t="inlineStr">
        <is>
          <t>MVP</t>
        </is>
      </c>
      <c r="C20" s="6" t="inlineStr">
        <is>
          <t>Deal Intake</t>
        </is>
      </c>
      <c r="D20" s="7" t="inlineStr">
        <is>
          <t>Build escrow-spec intake form (structured terms to JSON)</t>
        </is>
      </c>
      <c r="E20" s="6" t="n">
        <v>5</v>
      </c>
      <c r="F20" s="6" t="n">
        <v>2</v>
      </c>
      <c r="G20" s="6" t="n">
        <v>1</v>
      </c>
      <c r="H20" s="6">
        <f>E20+F20+G20</f>
        <v/>
      </c>
      <c r="I20" s="6" t="inlineStr">
        <is>
          <t>M</t>
        </is>
      </c>
      <c r="J20" s="16" t="inlineStr">
        <is>
          <t>M</t>
        </is>
      </c>
      <c r="K20" s="17" t="n"/>
      <c r="L20" s="17" t="n"/>
      <c r="M20" s="17" t="n"/>
      <c r="N20" s="17" t="n"/>
      <c r="O20" s="17" t="n"/>
      <c r="P20" s="17" t="n"/>
      <c r="Q20" s="17" t="n"/>
    </row>
    <row r="21">
      <c r="A21" s="6" t="n">
        <v>17</v>
      </c>
      <c r="B21" s="6" t="inlineStr">
        <is>
          <t>MVP</t>
        </is>
      </c>
      <c r="C21" s="6" t="inlineStr">
        <is>
          <t>Demo &amp; Deliverables</t>
        </is>
      </c>
      <c r="D21" s="7" t="inlineStr">
        <is>
          <t>Write demo runbook and seed script</t>
        </is>
      </c>
      <c r="E21" s="6" t="n">
        <v>2</v>
      </c>
      <c r="F21" s="6" t="n">
        <v>1</v>
      </c>
      <c r="G21" s="6" t="n">
        <v>1</v>
      </c>
      <c r="H21" s="6">
        <f>E21+F21+G21</f>
        <v/>
      </c>
      <c r="I21" s="6" t="inlineStr">
        <is>
          <t>S</t>
        </is>
      </c>
      <c r="J21" s="18" t="inlineStr">
        <is>
          <t>S</t>
        </is>
      </c>
      <c r="K21" s="19" t="n"/>
      <c r="L21" s="19" t="n"/>
      <c r="M21" s="19" t="n"/>
    </row>
    <row r="22">
      <c r="A22" s="6" t="n">
        <v>18</v>
      </c>
      <c r="B22" s="6" t="inlineStr">
        <is>
          <t>MVP</t>
        </is>
      </c>
      <c r="C22" s="6" t="inlineStr">
        <is>
          <t>Demo &amp; Deliverables</t>
        </is>
      </c>
      <c r="D22" s="7" t="inlineStr">
        <is>
          <t>Record fallback demo video</t>
        </is>
      </c>
      <c r="E22" s="6" t="n">
        <v>2</v>
      </c>
      <c r="F22" s="6" t="n">
        <v>1</v>
      </c>
      <c r="G22" s="6" t="n">
        <v>0</v>
      </c>
      <c r="H22" s="6">
        <f>E22+F22+G22</f>
        <v/>
      </c>
      <c r="I22" s="6" t="inlineStr">
        <is>
          <t>XS</t>
        </is>
      </c>
      <c r="N22" s="18" t="inlineStr">
        <is>
          <t>XS</t>
        </is>
      </c>
      <c r="O22" s="19" t="n"/>
      <c r="P22" s="19" t="n"/>
    </row>
    <row r="23">
      <c r="A23" s="6" t="n">
        <v>19</v>
      </c>
      <c r="B23" s="6" t="inlineStr">
        <is>
          <t>Roadmap</t>
        </is>
      </c>
      <c r="C23" s="6" t="inlineStr">
        <is>
          <t>Compliance</t>
        </is>
      </c>
      <c r="D23" s="7" t="inlineStr">
        <is>
          <t>Build KYC / sanctions screening stub</t>
        </is>
      </c>
      <c r="E23" s="6" t="n">
        <v>6</v>
      </c>
      <c r="F23" s="6" t="n">
        <v>3</v>
      </c>
      <c r="G23" s="6" t="n">
        <v>1</v>
      </c>
      <c r="H23" s="6">
        <f>E23+F23+G23</f>
        <v/>
      </c>
      <c r="I23" s="6" t="inlineStr">
        <is>
          <t>M</t>
        </is>
      </c>
      <c r="AP23" s="20" t="inlineStr">
        <is>
          <t>M</t>
        </is>
      </c>
      <c r="AQ23" s="21" t="n"/>
      <c r="AR23" s="21" t="n"/>
      <c r="AS23" s="21" t="n"/>
      <c r="AT23" s="21" t="n"/>
      <c r="AU23" s="21" t="n"/>
      <c r="AV23" s="21" t="n"/>
      <c r="AW23" s="21" t="n"/>
      <c r="AX23" s="21" t="n"/>
      <c r="AY23" s="21" t="n"/>
    </row>
    <row r="24">
      <c r="A24" s="6" t="n">
        <v>20</v>
      </c>
      <c r="B24" s="6" t="inlineStr">
        <is>
          <t>Roadmap</t>
        </is>
      </c>
      <c r="C24" s="6" t="inlineStr">
        <is>
          <t>Dispute</t>
        </is>
      </c>
      <c r="D24" s="7" t="inlineStr">
        <is>
          <t>Build dispute objection window and worker</t>
        </is>
      </c>
      <c r="E24" s="6" t="n">
        <v>8</v>
      </c>
      <c r="F24" s="6" t="n">
        <v>4</v>
      </c>
      <c r="G24" s="6" t="n">
        <v>2</v>
      </c>
      <c r="H24" s="6">
        <f>E24+F24+G24</f>
        <v/>
      </c>
      <c r="I24" s="6" t="inlineStr">
        <is>
          <t>L</t>
        </is>
      </c>
      <c r="AP24" s="22" t="inlineStr">
        <is>
          <t>L</t>
        </is>
      </c>
      <c r="AQ24" s="23" t="n"/>
      <c r="AR24" s="23" t="n"/>
      <c r="AS24" s="23" t="n"/>
      <c r="AT24" s="23" t="n"/>
      <c r="AU24" s="23" t="n"/>
      <c r="AV24" s="23" t="n"/>
      <c r="AW24" s="23" t="n"/>
      <c r="AX24" s="23" t="n"/>
      <c r="AY24" s="23" t="n"/>
      <c r="AZ24" s="23" t="n"/>
      <c r="BA24" s="23" t="n"/>
      <c r="BB24" s="23" t="n"/>
      <c r="BC24" s="23" t="n"/>
    </row>
    <row r="25">
      <c r="A25" s="6" t="n">
        <v>21</v>
      </c>
      <c r="B25" s="6" t="inlineStr">
        <is>
          <t>Roadmap</t>
        </is>
      </c>
      <c r="C25" s="6" t="inlineStr">
        <is>
          <t>Smart Contract</t>
        </is>
      </c>
      <c r="D25" s="7" t="inlineStr">
        <is>
          <t>Extend to full state-machine coverage (v2 contract)</t>
        </is>
      </c>
      <c r="E25" s="6" t="n">
        <v>7</v>
      </c>
      <c r="F25" s="6" t="n">
        <v>4</v>
      </c>
      <c r="G25" s="6" t="n">
        <v>2</v>
      </c>
      <c r="H25" s="6">
        <f>E25+F25+G25</f>
        <v/>
      </c>
      <c r="I25" s="6" t="inlineStr">
        <is>
          <t>L</t>
        </is>
      </c>
      <c r="AP25" s="10" t="inlineStr">
        <is>
          <t>L</t>
        </is>
      </c>
      <c r="AQ25" s="11" t="n"/>
      <c r="AR25" s="11" t="n"/>
      <c r="AS25" s="11" t="n"/>
      <c r="AT25" s="11" t="n"/>
      <c r="AU25" s="11" t="n"/>
      <c r="AV25" s="11" t="n"/>
      <c r="AW25" s="11" t="n"/>
      <c r="AX25" s="11" t="n"/>
      <c r="AY25" s="11" t="n"/>
      <c r="AZ25" s="11" t="n"/>
      <c r="BA25" s="11" t="n"/>
      <c r="BB25" s="11" t="n"/>
    </row>
    <row r="26">
      <c r="A26" s="6" t="n">
        <v>22</v>
      </c>
      <c r="B26" s="6" t="inlineStr">
        <is>
          <t>Roadmap</t>
        </is>
      </c>
      <c r="C26" s="6" t="inlineStr">
        <is>
          <t>Frontend</t>
        </is>
      </c>
      <c r="D26" s="7" t="inlineStr">
        <is>
          <t>Build buyer/seller multi-deal dashboard</t>
        </is>
      </c>
      <c r="E26" s="6" t="n">
        <v>8</v>
      </c>
      <c r="F26" s="6" t="n">
        <v>3</v>
      </c>
      <c r="G26" s="6" t="n">
        <v>1</v>
      </c>
      <c r="H26" s="6">
        <f>E26+F26+G26</f>
        <v/>
      </c>
      <c r="I26" s="6" t="inlineStr">
        <is>
          <t>M</t>
        </is>
      </c>
      <c r="AP26" s="12" t="inlineStr">
        <is>
          <t>M</t>
        </is>
      </c>
      <c r="AQ26" s="13" t="n"/>
      <c r="AR26" s="13" t="n"/>
      <c r="AS26" s="13" t="n"/>
      <c r="AT26" s="13" t="n"/>
      <c r="AU26" s="13" t="n"/>
      <c r="AV26" s="13" t="n"/>
      <c r="AW26" s="13" t="n"/>
      <c r="AX26" s="13" t="n"/>
      <c r="AY26" s="13" t="n"/>
      <c r="AZ26" s="13" t="n"/>
      <c r="BA26" s="13" t="n"/>
    </row>
    <row r="27">
      <c r="A27" s="6" t="n">
        <v>23</v>
      </c>
      <c r="B27" s="6" t="inlineStr">
        <is>
          <t>Roadmap</t>
        </is>
      </c>
      <c r="C27" s="6" t="inlineStr">
        <is>
          <t>Frontend</t>
        </is>
      </c>
      <c r="D27" s="7" t="inlineStr">
        <is>
          <t>Build audit-ledger viewer UI</t>
        </is>
      </c>
      <c r="E27" s="6" t="n">
        <v>4</v>
      </c>
      <c r="F27" s="6" t="n">
        <v>2</v>
      </c>
      <c r="G27" s="6" t="n">
        <v>1</v>
      </c>
      <c r="H27" s="6">
        <f>E27+F27+G27</f>
        <v/>
      </c>
      <c r="I27" s="6" t="inlineStr">
        <is>
          <t>S</t>
        </is>
      </c>
      <c r="BB27" s="12" t="inlineStr">
        <is>
          <t>S</t>
        </is>
      </c>
      <c r="BC27" s="13" t="n"/>
      <c r="BD27" s="13" t="n"/>
      <c r="BE27" s="13" t="n"/>
      <c r="BF27" s="13" t="n"/>
      <c r="BG27" s="13" t="n"/>
      <c r="BH27" s="13" t="n"/>
    </row>
    <row r="28">
      <c r="A28" s="6" t="n">
        <v>24</v>
      </c>
      <c r="B28" s="6" t="inlineStr">
        <is>
          <t>Roadmap</t>
        </is>
      </c>
      <c r="C28" s="6" t="inlineStr">
        <is>
          <t>Orchestration</t>
        </is>
      </c>
      <c r="D28" s="7" t="inlineStr">
        <is>
          <t>Build multi-agent orchestrator (Agent SDK)</t>
        </is>
      </c>
      <c r="E28" s="6" t="n">
        <v>10</v>
      </c>
      <c r="F28" s="6" t="n">
        <v>5</v>
      </c>
      <c r="G28" s="6" t="n">
        <v>2</v>
      </c>
      <c r="H28" s="6">
        <f>E28+F28+G28</f>
        <v/>
      </c>
      <c r="I28" s="6" t="inlineStr">
        <is>
          <t>L</t>
        </is>
      </c>
      <c r="AP28" s="24" t="inlineStr">
        <is>
          <t>L</t>
        </is>
      </c>
      <c r="AQ28" s="25" t="n"/>
      <c r="AR28" s="25" t="n"/>
      <c r="AS28" s="25" t="n"/>
      <c r="AT28" s="25" t="n"/>
      <c r="AU28" s="25" t="n"/>
      <c r="AV28" s="25" t="n"/>
      <c r="AW28" s="25" t="n"/>
      <c r="AX28" s="25" t="n"/>
      <c r="AY28" s="25" t="n"/>
      <c r="AZ28" s="25" t="n"/>
      <c r="BA28" s="25" t="n"/>
      <c r="BB28" s="25" t="n"/>
      <c r="BC28" s="25" t="n"/>
      <c r="BD28" s="25" t="n"/>
      <c r="BE28" s="25" t="n"/>
      <c r="BF28" s="25" t="n"/>
    </row>
    <row r="29">
      <c r="D29" s="26" t="inlineStr">
        <is>
          <t>MVP SUBTOTAL</t>
        </is>
      </c>
      <c r="E29" s="27">
        <f>E5+E6+E7+E8+E9+E10+E11+E12+E13+E14+E15+E16+E17+E18+E19+E20+E21+E22</f>
        <v/>
      </c>
      <c r="F29" s="27">
        <f>F5+F6+F7+F8+F9+F10+F11+F12+F13+F14+F15+F16+F17+F18+F19+F20+F21+F22</f>
        <v/>
      </c>
      <c r="G29" s="27">
        <f>G5+G6+G7+G8+G9+G10+G11+G12+G13+G14+G15+G16+G17+G18+G19+G20+G21+G22</f>
        <v/>
      </c>
      <c r="H29" s="27">
        <f>H5+H6+H7+H8+H9+H10+H11+H12+H13+H14+H15+H16+H17+H18+H19+H20+H21+H22</f>
        <v/>
      </c>
    </row>
    <row r="30">
      <c r="D30" s="26" t="inlineStr">
        <is>
          <t>ROADMAP SUBTOTAL</t>
        </is>
      </c>
      <c r="E30" s="27">
        <f>E23+E24+E25+E26+E27+E28</f>
        <v/>
      </c>
      <c r="F30" s="27">
        <f>F23+F24+F25+F26+F27+F28</f>
        <v/>
      </c>
      <c r="G30" s="27">
        <f>G23+G24+G25+G26+G27+G28</f>
        <v/>
      </c>
      <c r="H30" s="27">
        <f>H23+H24+H25+H26+H27+H28</f>
        <v/>
      </c>
    </row>
    <row r="31">
      <c r="D31" s="28" t="inlineStr">
        <is>
          <t>GRAND TOTAL</t>
        </is>
      </c>
      <c r="E31" s="29">
        <f>SUM(E5:E28)</f>
        <v/>
      </c>
      <c r="F31" s="29">
        <f>SUM(F5:F28)</f>
        <v/>
      </c>
      <c r="G31" s="29">
        <f>SUM(G5:G28)</f>
        <v/>
      </c>
      <c r="H31" s="29">
        <f>SUM(H5:H28)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30" t="inlineStr">
        <is>
          <t>Legend &amp; Method</t>
        </is>
      </c>
    </row>
    <row r="3">
      <c r="A3" s="31" t="inlineStr">
        <is>
          <t>Workstream colours</t>
        </is>
      </c>
    </row>
    <row r="4">
      <c r="A4" s="9" t="n"/>
      <c r="B4" s="32" t="inlineStr">
        <is>
          <t>Setup &amp; Infra</t>
        </is>
      </c>
    </row>
    <row r="5">
      <c r="A5" s="11" t="n"/>
      <c r="B5" s="32" t="inlineStr">
        <is>
          <t>Smart Contract</t>
        </is>
      </c>
    </row>
    <row r="6">
      <c r="A6" s="13" t="n"/>
      <c r="B6" s="32" t="inlineStr">
        <is>
          <t>Frontend</t>
        </is>
      </c>
    </row>
    <row r="7">
      <c r="A7" s="15" t="n"/>
      <c r="B7" s="32" t="inlineStr">
        <is>
          <t>Doc Verification</t>
        </is>
      </c>
    </row>
    <row r="8">
      <c r="A8" s="17" t="n"/>
      <c r="B8" s="32" t="inlineStr">
        <is>
          <t>Deal Intake</t>
        </is>
      </c>
    </row>
    <row r="9">
      <c r="A9" s="19" t="n"/>
      <c r="B9" s="32" t="inlineStr">
        <is>
          <t>Demo &amp; Deliverables</t>
        </is>
      </c>
    </row>
    <row r="10">
      <c r="A10" s="21" t="n"/>
      <c r="B10" s="32" t="inlineStr">
        <is>
          <t>Compliance</t>
        </is>
      </c>
    </row>
    <row r="11">
      <c r="A11" s="23" t="n"/>
      <c r="B11" s="32" t="inlineStr">
        <is>
          <t>Dispute</t>
        </is>
      </c>
    </row>
    <row r="12">
      <c r="A12" s="25" t="n"/>
      <c r="B12" s="32" t="inlineStr">
        <is>
          <t>Orchestration</t>
        </is>
      </c>
    </row>
    <row r="14">
      <c r="A14" s="31" t="inlineStr">
        <is>
          <t>T-shirt sizing (Total Effort → days)</t>
        </is>
      </c>
    </row>
    <row r="15">
      <c r="A15" s="26" t="inlineStr">
        <is>
          <t>XS</t>
        </is>
      </c>
      <c r="B15" s="32" t="inlineStr">
        <is>
          <t>up to 3 days</t>
        </is>
      </c>
    </row>
    <row r="16">
      <c r="A16" s="26" t="inlineStr">
        <is>
          <t>S</t>
        </is>
      </c>
      <c r="B16" s="32" t="inlineStr">
        <is>
          <t>4–7 days</t>
        </is>
      </c>
    </row>
    <row r="17">
      <c r="A17" s="26" t="inlineStr">
        <is>
          <t>M</t>
        </is>
      </c>
      <c r="B17" s="32" t="inlineStr">
        <is>
          <t>8–12 days</t>
        </is>
      </c>
    </row>
    <row r="18">
      <c r="A18" s="26" t="inlineStr">
        <is>
          <t>L</t>
        </is>
      </c>
      <c r="B18" s="32" t="inlineStr">
        <is>
          <t>13–20 days</t>
        </is>
      </c>
    </row>
    <row r="19">
      <c r="A19" s="26" t="inlineStr">
        <is>
          <t>XL</t>
        </is>
      </c>
      <c r="B19" s="32" t="inlineStr">
        <is>
          <t>21–30 days</t>
        </is>
      </c>
    </row>
    <row r="20">
      <c r="A20" s="26" t="inlineStr">
        <is>
          <t>XXL</t>
        </is>
      </c>
      <c r="B20" s="32" t="inlineStr">
        <is>
          <t>30+ days</t>
        </is>
      </c>
    </row>
    <row r="22">
      <c r="A22" s="31" t="inlineStr">
        <is>
          <t>Method</t>
        </is>
      </c>
    </row>
    <row r="23">
      <c r="A23" s="32" t="inlineStr">
        <is>
          <t>• Each bar's length = the task's Total Effort (Dev+Test+Deploy) in team-days, straight from sizing.csv.</t>
        </is>
      </c>
    </row>
    <row r="24">
      <c r="A24" s="32" t="inlineStr">
        <is>
          <t>• Tasks are sequenced serially within each workstream; separate workstreams run in parallel.</t>
        </is>
      </c>
    </row>
    <row r="25">
      <c r="A25" s="32" t="inlineStr">
        <is>
          <t>• MVP block runs first; the Roadmap block begins after the longest MVP workstream finishes.</t>
        </is>
      </c>
    </row>
    <row r="26">
      <c r="A26" s="32" t="inlineStr">
        <is>
          <t>• Day numbers across the top are cumulative team-days, not calendar dates (the team parallelises work).</t>
        </is>
      </c>
    </row>
    <row r="27">
      <c r="A27" s="32" t="inlineStr">
        <is>
          <t>• Source: proposal/sizing.csv. Totals are live formulas (=Dev+Test+Deploy).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2026-05-29T10:31:53Z</dcterms:created>
  <dcterms:modified xmlns:dcterms="http://purl.org/dc/terms/" xmlns:xsi="http://www.w3.org/2001/XMLSchema-instance" xsi:type="dcterms:W3CDTF">2026-05-29T10:31:53Z</dcterms:modified>
</cp:coreProperties>
</file>