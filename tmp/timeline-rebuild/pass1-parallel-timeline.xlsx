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eb7d51ca8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4b71b4d2eb5497c"/>
    <x:sheet xmlns:r="http://schemas.openxmlformats.org/officeDocument/2006/relationships" name="Dashboard" sheetId="2" r:id="R59f74bc2af454dcc"/>
    <x:sheet xmlns:r="http://schemas.openxmlformats.org/officeDocument/2006/relationships" name="Launch Readiness" sheetId="3" r:id="Raf0ae57c637149d5"/>
    <x:sheet xmlns:r="http://schemas.openxmlformats.org/officeDocument/2006/relationships" name="Tier Economics" sheetId="4" r:id="Rb88773f79ab340ca"/>
    <x:sheet xmlns:r="http://schemas.openxmlformats.org/officeDocument/2006/relationships" name="Revenue Risk Add-Ons" sheetId="5" r:id="Rf704fc8b35554e7a"/>
    <x:sheet xmlns:r="http://schemas.openxmlformats.org/officeDocument/2006/relationships" name="P&amp;L 5yr" sheetId="6" r:id="R4657f6e1e5c349f4"/>
    <x:sheet xmlns:r="http://schemas.openxmlformats.org/officeDocument/2006/relationships" name="Cash Flow Statement" sheetId="7" r:id="R21372d8859d545de"/>
    <x:sheet xmlns:r="http://schemas.openxmlformats.org/officeDocument/2006/relationships" name="Scenario Engine" sheetId="8" r:id="R292a874fd8a643a7"/>
    <x:sheet xmlns:r="http://schemas.openxmlformats.org/officeDocument/2006/relationships" name="Assumptions" sheetId="9" r:id="R31a24c391ea549c9"/>
    <x:sheet xmlns:r="http://schemas.openxmlformats.org/officeDocument/2006/relationships" name="Startup 6mo" sheetId="10" r:id="R661af177160047ef"/>
    <x:sheet xmlns:r="http://schemas.openxmlformats.org/officeDocument/2006/relationships" name="Sensitivity" sheetId="12" r:id="R78901081091140e2"/>
    <x:sheet xmlns:r="http://schemas.openxmlformats.org/officeDocument/2006/relationships" name="Risk Register" sheetId="13" r:id="R8a2abecca4e24254"/>
    <x:sheet xmlns:r="http://schemas.openxmlformats.org/officeDocument/2006/relationships" name="Driver Tables" sheetId="11" r:id="Re34c42e98920456a"/>
    <x:sheet xmlns:r="http://schemas.openxmlformats.org/officeDocument/2006/relationships" name="Model Checks" sheetId="14" r:id="Rf65ce0df77e049ef"/>
    <x:sheet xmlns:r="http://schemas.openxmlformats.org/officeDocument/2006/relationships" name="Client Funds Memo" sheetId="15" r:id="R602e760a0f694c85"/>
  </x:sheets>
</x:workbook>
</file>

<file path=xl/sharedStrings.xml><?xml version="1.0" encoding="utf-8"?>
<x:sst xmlns:x="http://schemas.openxmlformats.org/spreadsheetml/2006/main">
  <x:si>
    <x:t xml:space="preserve">Blockmediary — 5-Year Financial Model, Launch Path &amp; Runway</x:t>
  </x:si>
  <x:si>
    <x:t xml:space="preserve">Programmable documentary escrow for SME cross-border trade. UAE launch-path and commercial refresh: 11 Aug 2026.</x:t>
  </x:si>
  <x:si>
    <x:t xml:space="preserve">TABLE OF CONTENTS</x:t>
  </x:si>
  <x:si>
    <x:t xml:space="preserve">Tabs are ordered the way the business reads: what it is, whether we can trade, how it earns, whether it works.</x:t>
  </x:si>
  <x:si>
    <x:t xml:space="preserve">Click any tab name to jump to it.</x:t>
  </x:si>
  <x:si>
    <x:t xml:space="preserve">START HERE</x:t>
  </x:si>
  <x:si>
    <x:t xml:space="preserve">README</x:t>
  </x:si>
  <x:si>
    <x:t xml:space="preserve">Orientation, table of contents, open issues.</x:t>
  </x:si>
  <x:si>
    <x:t xml:space="preserve">Dashboard</x:t>
  </x:si>
  <x:si>
    <x:t xml:space="preserve">The headline: raise, break-even, path to profitability.</x:t>
  </x:si>
  <x:si>
    <x:t xml:space="preserve">CAN WE TRADE, AND WHEN</x:t>
  </x:si>
  <x:si>
    <x:t xml:space="preserve">Launch Readiness</x:t>
  </x:si>
  <x:si>
    <x:t xml:space="preserve">DIFC partner-led pilot timing, VARA scale stage, fees and restricted capital.</x:t>
  </x:si>
  <x:si>
    <x:t xml:space="preserve">HOW THE MONEY IS MADE</x:t>
  </x:si>
  <x:si>
    <x:t xml:space="preserve">Tier Economics</x:t>
  </x:si>
  <x:si>
    <x:t xml:space="preserve">Revenue and cost per deal, split by document verification tier.</x:t>
  </x:si>
  <x:si>
    <x:t xml:space="preserve">Revenue Risk Add-Ons</x:t>
  </x:si>
  <x:si>
    <x:t xml:space="preserve">DOES IT WORK</x:t>
  </x:si>
  <x:si>
    <x:t xml:space="preserve">P&amp;L 5yr</x:t>
  </x:si>
  <x:si>
    <x:t xml:space="preserve">Five-year profit and loss for the active scenario and launch path.</x:t>
  </x:si>
  <x:si>
    <x:t xml:space="preserve">Cash Flow Statement</x:t>
  </x:si>
  <x:si>
    <x:t xml:space="preserve">60-month cash flow: runway, funding, break-even month.</x:t>
  </x:si>
  <x:si>
    <x:t xml:space="preserve">Scenario Engine</x:t>
  </x:si>
  <x:si>
    <x:t xml:space="preserve">Low / Base / High side by side. How wide is the range of outcomes.</x:t>
  </x:si>
  <x:si>
    <x:t xml:space="preserve">WHAT IT RESTS ON</x:t>
  </x:si>
  <x:si>
    <x:t xml:space="preserve">Assumptions</x:t>
  </x:si>
  <x:si>
    <x:t xml:space="preserve">Every input in the model. The control panel — edit blue cells here.</x:t>
  </x:si>
  <x:si>
    <x:t xml:space="preserve">Startup 6mo</x:t>
  </x:si>
  <x:si>
    <x:t xml:space="preserve">One-off launch spend before the business is trading.</x:t>
  </x:si>
  <x:si>
    <x:t xml:space="preserve">Sensitivity</x:t>
  </x:si>
  <x:si>
    <x:t xml:space="preserve">Ranked view of the assumptions that most affect funding, margin and growth.</x:t>
  </x:si>
  <x:si>
    <x:t xml:space="preserve">Risk Register</x:t>
  </x:si>
  <x:si>
    <x:t xml:space="preserve">Key legal, regulatory, commercial and operating assumptions that still need validation.</x:t>
  </x:si>
  <x:si>
    <x:t xml:space="preserve">Driver Tables</x:t>
  </x:si>
  <x:si>
    <x:t xml:space="preserve">Research ranges and source notes supporting the model's cost and revenue inputs.</x:t>
  </x:si>
  <x:si>
    <x:t xml:space="preserve">SUPPORTING CHECKS &amp; APPENDICES</x:t>
  </x:si>
  <x:si>
    <x:t xml:space="preserve">Model Checks</x:t>
  </x:si>
  <x:si>
    <x:t xml:space="preserve">Mechanical tie-outs; must read PASS before figures are used.</x:t>
  </x:si>
  <x:si>
    <x:t xml:space="preserve">Client Funds Memo</x:t>
  </x:si>
  <x:si>
    <x:t xml:space="preserve">Safeguarded client-funds balances and holding-period sensitivity; excluded from operating cash.</x:t>
  </x:si>
  <x:si>
    <x:t xml:space="preserve">SCOPE</x:t>
  </x:si>
  <x:si>
    <x:t xml:space="preserve">Blockmediary is a documentary escrow and document-verification service. It is not a lending or financing product.</x:t>
  </x:si>
  <x:si>
    <x:t xml:space="preserve">This workbook is an indicative university idea-presentation model, not a business-loan application, regulatory filing, legal opinion or investment commitment.</x:t>
  </x:si>
  <x:si>
    <x:t xml:space="preserve">Amounts are readable planning approximations. Client funds remain safeguarded and excluded from operating cash, revenue and runway.</x:t>
  </x:si>
  <x:si>
    <x:t xml:space="preserve">HOW TO USE</x:t>
  </x:si>
  <x:si>
    <x:t xml:space="preserve">1. Edit blue inputs in Assumptions and Launch Readiness. Yellow cells are key presentation controls; formulas and linked values update automatically.</x:t>
  </x:si>
  <x:si>
    <x:t xml:space="preserve">2. Assumptions!C4 selects commercial performance: 1=Low, 2=Base, 3=High. The delivered presentation default is Base.</x:t>
  </x:si>
  <x:si>
    <x:t xml:space="preserve">3. Launch Readiness!B5 selects timing: 1=Early, 2=Base, 3=Delayed. The route is fixed as DIFC partner-led pilot followed by VARA expansion.</x:t>
  </x:si>
  <x:si>
    <x:t xml:space="preserve">4. Startup 6mo holds core pre-revenue build costs. Launch Readiness separately times partner/DIFC pilot costs, future VARA fees and restricted capital.</x:t>
  </x:si>
  <x:si>
    <x:t xml:space="preserve">5. P&amp;L 5yr, Cash Flow Statement and Model Checks provide economics, runway and integrity; supporting tabs retain sources, sensitivities, risks and safeguarding detail.</x:t>
  </x:si>
  <x:si>
    <x:t xml:space="preserve">CURRENCY</x:t>
  </x:si>
  <x:si>
    <x:t xml:space="preserve">Model base currency = GBP (£). USD-priced vendors (Anthropic, AWS, Vercel, KYC, gas) are converted at the FX rate in Assumptions (GBPUSD).</x:t>
  </x:si>
  <x:si>
    <x:t xml:space="preserve">Driver Tables keeps each driver in its native quoted currency; the conversion happens where the driver feeds the P&amp;L.</x:t>
  </x:si>
  <x:si>
    <x:t xml:space="preserve">SOURCE QUALITY KEY</x:t>
  </x:si>
  <x:si>
    <x:t xml:space="preserve">official = government / regulator / primary (GOV.UK, Companies House, FCA, HMRC, Base docs).  vendor = vendor pricing page.</x:t>
  </x:si>
  <x:si>
    <x:t xml:space="preserve">benchmark = credible third-party benchmark / salary survey / market report.  estimate = informed estimate, NOT independently sourced</x:t>
  </x:si>
  <x:si>
    <x:t xml:space="preserve">KEY MODEL BOUNDARIES</x:t>
  </x:si>
  <x:si>
    <x:t xml:space="preserve">• Base case: partner-led DIFC pilot Month 12; first receipt Month 13; VARA remains a later UAE-wide scale stage.</x:t>
  </x:si>
  <x:si>
    <x:t xml:space="preserve">• Pricing, volumes, salaries, partner terms and regulatory amounts are presentation-grade planning assumptions, not quotes.</x:t>
  </x:si>
  <x:si>
    <x:t xml:space="preserve">• Client funds remain safeguarded and excluded from revenue, operating cash, runway and the funding ask.</x:t>
  </x:si>
  <x:si>
    <x:t xml:space="preserve">• Future VARA fees and restricted capital are shown separately from the initial operating ask.</x:t>
  </x:si>
  <x:si>
    <x:t xml:space="preserve">• Confirm the final regulatory perimeter, custody/settlement responsibilities and partner fees with UAE counsel and the regulated partner.</x:t>
  </x:si>
  <x:si>
    <x:t xml:space="preserve">■  FINANCIAL MODEL DASHBOARD</x:t>
  </x:si>
  <x:si>
    <x:t xml:space="preserve">The base case funds a partner-led DIFC pilot in Month 12, with VARA expansion and restricted capital shown separately.</x:t>
  </x:si>
  <x:si>
    <x:t xml:space="preserve">Base cases shown. Inputs: Assumptions!C4 and Launch Readiness!B5. Y4/Y5 acquisition intensity is flagged in P&amp;L 5yr.</x:t>
  </x:si>
  <x:si>
    <x:t xml:space="preserve">Pitch deck metrics linked to model</x:t>
  </x:si>
  <x:si>
    <x:t xml:space="preserve">Slide</x:t>
  </x:si>
  <x:si>
    <x:t xml:space="preserve">Metric</x:t>
  </x:si>
  <x:si>
    <x:t xml:space="preserve">Model value</x:t>
  </x:si>
  <x:si>
    <x:t xml:space="preserve">Pitch-copy output</x:t>
  </x:si>
  <x:si>
    <x:t xml:space="preserve">Source / model link</x:t>
  </x:si>
  <x:si>
    <x:t xml:space="preserve">Deck slot</x:t>
  </x:si>
  <x:si>
    <x:t xml:space="preserve">Initial operating funding need (3-month reserve)</x:t>
  </x:si>
  <x:si>
    <x:t xml:space="preserve">First paying pilot customer</x:t>
  </x:si>
  <x:si>
    <x:t xml:space="preserve">Projected Steady State CAC</x:t>
  </x:si>
  <x:si>
    <x:t xml:space="preserve">Y5 annual revenue — Base commercial case</x:t>
  </x:si>
  <x:si>
    <x:t xml:space="preserve">7</x:t>
  </x:si>
  <x:si>
    <x:t xml:space="preserve">Settlement fee range</x:t>
  </x:si>
  <x:si>
    <x:t xml:space="preserve">Assumptions!F73:F75</x:t>
  </x:si>
  <x:si>
    <x:t xml:space="preserve">Business model card A</x:t>
  </x:si>
  <x:si>
    <x:t xml:space="preserve">monthly operating deficit plus reserve; future VARA capital excluded</x:t>
  </x:si>
  <x:si>
    <x:t xml:space="preserve">Base partner-led DIFC pilot timing</x:t>
  </x:si>
  <x:si>
    <x:t xml:space="preserve">AI-enabled staffing ramp targets &lt;=250 gross new customers per Sales/BD/CS FTE</x:t>
  </x:si>
  <x:si>
    <x:t xml:space="preserve">accepted commercial assumptions and UAE launch timing</x:t>
  </x:si>
  <x:si>
    <x:t xml:space="preserve">Blended gross margin</x:t>
  </x:si>
  <x:si>
    <x:t xml:space="preserve">Scenario Engine!$H$49:$L$49</x:t>
  </x:si>
  <x:si>
    <x:t xml:space="preserve">Bottom KPI</x:t>
  </x:si>
  <x:si>
    <x:t xml:space="preserve">Base path to profitability (£m)</x:t>
  </x:si>
  <x:si>
    <x:t xml:space="preserve">Funding stack (£m)</x:t>
  </x:si>
  <x:si>
    <x:t xml:space="preserve">Average ticket</x:t>
  </x:si>
  <x:si>
    <x:t xml:space="preserve">Scenario Engine!$H$9:$L$9</x:t>
  </x:si>
  <x:si>
    <x:t xml:space="preserve">Revenue and EBITDA in GBP millions, Base commercial case.</x:t>
  </x:si>
  <x:si>
    <x:t xml:space="preserve">Revenue scales before the payroll/opex curve catches up.</x:t>
  </x:si>
  <x:si>
    <x:t xml:space="preserve">Initial funding stack in GBP millions; future VARA capital is excluded.</x:t>
  </x:si>
  <x:si>
    <x:t xml:space="preserve">Monthly-model deficit, reserve and restricted capital.</x:t>
  </x:si>
  <x:si>
    <x:t xml:space="preserve">Processed deals</x:t>
  </x:si>
  <x:si>
    <x:t xml:space="preserve">Scenario Engine!$H$8:$J$8</x:t>
  </x:si>
  <x:si>
    <x:t xml:space="preserve">11</x:t>
  </x:si>
  <x:si>
    <x:t xml:space="preserve">Y3 annual revenue range</x:t>
  </x:si>
  <x:si>
    <x:t xml:space="preserve">Scenario Engine!D30/J30/P30</x:t>
  </x:si>
  <x:si>
    <x:t xml:space="preserve">Top KPI card</x:t>
  </x:si>
  <x:si>
    <x:t xml:space="preserve">Y3 active customers range</x:t>
  </x:si>
  <x:si>
    <x:t xml:space="preserve">Scenario Engine!D62/J62/P62</x:t>
  </x:si>
  <x:si>
    <x:t xml:space="preserve">Monthly cash-flow breakeven</x:t>
  </x:si>
  <x:si>
    <x:t xml:space="preserve">Cash Flow Statement!B45:B47</x:t>
  </x:si>
  <x:si>
    <x:t xml:space="preserve">Initial funding need</x:t>
  </x:si>
  <x:si>
    <x:t xml:space="preserve">Launch Readiness!F12</x:t>
  </x:si>
  <x:si>
    <x:t xml:space="preserve">Blended escrow take rate</x:t>
  </x:si>
  <x:si>
    <x:t xml:space="preserve">Tier Economics total escrow fee / GMV</x:t>
  </x:si>
  <x:si>
    <x:t xml:space="preserve">Key assumptions</x:t>
  </x:si>
  <x:si>
    <x:t xml:space="preserve">Tier A adoption</x:t>
  </x:si>
  <x:si>
    <x:t xml:space="preserve">Assumptions!D64,D160</x:t>
  </x:si>
  <x:si>
    <x:t xml:space="preserve">13</x:t>
  </x:si>
  <x:si>
    <x:t xml:space="preserve">Initial operating funding</x:t>
  </x:si>
  <x:si>
    <x:t xml:space="preserve">Total seed raise</x:t>
  </x:si>
  <x:si>
    <x:t xml:space="preserve">Monthly cumulative operating cash (£m)</x:t>
  </x:si>
  <x:si>
    <x:t xml:space="preserve">Engineering &amp; product</x:t>
  </x:si>
  <x:si>
    <x:t xml:space="preserve">Dashboard!J58:M58</x:t>
  </x:si>
  <x:si>
    <x:t xml:space="preserve">Use of funds</x:t>
  </x:si>
  <x:si>
    <x:t xml:space="preserve">Ending cash balance in GBP millions at 6-month checkpoints.</x:t>
  </x:si>
  <x:si>
    <x:t xml:space="preserve">Six-month checkpoints avoid unreadable 60-label charts.</x:t>
  </x:si>
  <x:si>
    <x:t xml:space="preserve">Scenario readout</x:t>
  </x:si>
  <x:si>
    <x:t xml:space="preserve">Ops, people &amp; G&amp;A</x:t>
  </x:si>
  <x:si>
    <x:t xml:space="preserve">Dashboard!J59:M59</x:t>
  </x:si>
  <x:si>
    <x:t xml:space="preserve">Break-even timing and funding gap by scenario.</x:t>
  </x:si>
  <x:si>
    <x:t xml:space="preserve">Break-even timing and funding gap by case.</x:t>
  </x:si>
  <x:si>
    <x:t xml:space="preserve">Compliance, legal &amp; regulatory</x:t>
  </x:si>
  <x:si>
    <x:t xml:space="preserve">Dashboard!J60:M60</x:t>
  </x:si>
  <x:si>
    <x:t xml:space="preserve">Case</x:t>
  </x:si>
  <x:si>
    <x:t xml:space="preserve">Monthly BE</x:t>
  </x:si>
  <x:si>
    <x:t xml:space="preserve">Peak gap</x:t>
  </x:si>
  <x:si>
    <x:t xml:space="preserve">M60 cash</x:t>
  </x:si>
  <x:si>
    <x:t xml:space="preserve">Funding ask</x:t>
  </x:si>
  <x:si>
    <x:t xml:space="preserve">GTM &amp; acquisition</x:t>
  </x:si>
  <x:si>
    <x:t xml:space="preserve">Dashboard!J61:M61</x:t>
  </x:si>
  <x:si>
    <x:t xml:space="preserve">Low</x:t>
  </x:si>
  <x:si>
    <x:t xml:space="preserve">Working capital + contingency</x:t>
  </x:si>
  <x:si>
    <x:t xml:space="preserve">Dashboard!J62:M62</x:t>
  </x:si>
  <x:si>
    <x:t xml:space="preserve">Base</x:t>
  </x:si>
  <x:si>
    <x:t xml:space="preserve">Future VARA restricted capital</x:t>
  </x:si>
  <x:si>
    <x:t xml:space="preserve">Launch Readiness!F17</x:t>
  </x:si>
  <x:si>
    <x:t xml:space="preserve">Scale-stage callout</x:t>
  </x:si>
  <x:si>
    <x:t xml:space="preserve">High</x:t>
  </x:si>
  <x:si>
    <x:t xml:space="preserve">IMPLIED CUSTOMER ACQUISITION COST — FIVE-YEAR VIEW</x:t>
  </x:si>
  <x:si>
    <x:t xml:space="preserve">• No lending spread, FX trading revenue, or balance-sheet credit risk is modelled.</x:t>
  </x:si>
  <x:si>
    <x:t xml:space="preserve">Loaded Sales/BD/CS compensation + marketing + CRM ÷ gross new customers. Y1 includes the launch build-out.</x:t>
  </x:si>
  <x:si>
    <x:t xml:space="preserve">• Tier C paper collection is a priced fallback, not the strategic scale path.</x:t>
  </x:si>
  <x:si>
    <x:t xml:space="preserve">• Base Y4/Y5 volume is a planning target; acquisition capacity is flagged in P&amp;L 5yr.</x:t>
  </x:si>
  <x:si>
    <x:t xml:space="preserve">Year</x:t>
  </x:si>
  <x:si>
    <x:t xml:space="preserve">Implied CAC</x:t>
  </x:si>
  <x:si>
    <x:t xml:space="preserve">Gross new customers</x:t>
  </x:si>
  <x:si>
    <x:t xml:space="preserve">New customers / Sales FTE</x:t>
  </x:si>
  <x:si>
    <x:t xml:space="preserve">Capacity readout</x:t>
  </x:si>
  <x:si>
    <x:t xml:space="preserve">Y1</x:t>
  </x:si>
  <x:si>
    <x:t xml:space="preserve">Y2</x:t>
  </x:si>
  <x:si>
    <x:t xml:space="preserve">Y3</x:t>
  </x:si>
  <x:si>
    <x:t xml:space="preserve">Y4</x:t>
  </x:si>
  <x:si>
    <x:t xml:space="preserve">Y5</x:t>
  </x:si>
  <x:si>
    <x:t xml:space="preserve">Y1 is intentionally high: one acquired customer carries the launch-year commercial build-out.</x:t>
  </x:si>
  <x:si>
    <x:t xml:space="preserve">Planning cross-check, not observed CAC. AI-enabled staffing ramp targets &lt;=250 gross new customers per Sales/BD/CS FTE (Assumptions C191:G191).</x:t>
  </x:si>
  <x:si>
    <x:t xml:space="preserve">Base path helper</x:t>
  </x:si>
  <x:si>
    <x:t xml:space="preserve">Use of funds helper</x:t>
  </x:si>
  <x:si>
    <x:t xml:space="preserve">Use of funds allocation helper</x:t>
  </x:si>
  <x:si>
    <x:t xml:space="preserve">Revenue</x:t>
  </x:si>
  <x:si>
    <x:t xml:space="preserve">EBITDA</x:t>
  </x:si>
  <x:si>
    <x:t xml:space="preserve">Category</x:t>
  </x:si>
  <x:si>
    <x:t xml:space="preserve">Amount</x:t>
  </x:si>
  <x:si>
    <x:t xml:space="preserve">Pre-scale cost driver</x:t>
  </x:si>
  <x:si>
    <x:t xml:space="preserve">Share</x:t>
  </x:si>
  <x:si>
    <x:t xml:space="preserve">Peak operating deficit</x:t>
  </x:si>
  <x:si>
    <x:t xml:space="preserve">Operating reserve</x:t>
  </x:si>
  <x:si>
    <x:t xml:space="preserve">Initial restricted capital</x:t>
  </x:si>
  <x:si>
    <x:t xml:space="preserve">Initial operating funding need</x:t>
  </x:si>
  <x:si>
    <x:t xml:space="preserve">Cash runway helper</x:t>
  </x:si>
  <x:si>
    <x:t xml:space="preserve">Checkpoint</x:t>
  </x:si>
  <x:si>
    <x:t xml:space="preserve">LAUNCH READINESS — DIFC PARTNER PILOT TO VARA SCALE</x:t>
  </x:si>
  <x:si>
    <x:t xml:space="preserve">Presentation planning model. Base case assumes a paid partner-led DIFC pilot in Month 12 and later VARA expansion; all permissions and fees remain subject to UAE counsel, partner and regulator confirmation.</x:t>
  </x:si>
  <x:si>
    <x:t xml:space="preserve">DECISION INPUTS</x:t>
  </x:si>
  <x:si>
    <x:t xml:space="preserve">ACTIVE BASE-CASE OUTPUTS</x:t>
  </x:si>
  <x:si>
    <x:t xml:space="preserve">Timing case (1=Early, 2=Base, 3=Delayed)</x:t>
  </x:si>
  <x:si>
    <x:t xml:space="preserve">Route</x:t>
  </x:si>
  <x:si>
    <x:t xml:space="preserve">DIFC partner-led pilot → VARA expansion</x:t>
  </x:si>
  <x:si>
    <x:t xml:space="preserve">Operating reserve (months)</x:t>
  </x:si>
  <x:si>
    <x:t xml:space="preserve">First paying pilot</x:t>
  </x:si>
  <x:si>
    <x:t xml:space="preserve">Cash receipt lag (months)</x:t>
  </x:si>
  <x:si>
    <x:t xml:space="preserve">Pre-revenue period</x:t>
  </x:si>
  <x:si>
    <x:t xml:space="preserve">DIFC / regulated-partner pilot one-off (£)****</x:t>
  </x:si>
  <x:si>
    <x:t xml:space="preserve">Pilot regulatory / onboarding one-off</x:t>
  </x:si>
  <x:si>
    <x:t xml:space="preserve">Partner-pilot annual fees and oversight (£)****</x:t>
  </x:si>
  <x:si>
    <x:t xml:space="preserve">Pilot annual partner / regulatory run-rate</x:t>
  </x:si>
  <x:si>
    <x:t xml:space="preserve">Pre-pilot share of partner run-rate</x:t>
  </x:si>
  <x:si>
    <x:t xml:space="preserve">Partner onboarding / application start month</x:t>
  </x:si>
  <x:si>
    <x:t xml:space="preserve">First cash receipt</x:t>
  </x:si>
  <x:si>
    <x:t xml:space="preserve">VARA application fee placeholder* (AED)</x:t>
  </x:si>
  <x:si>
    <x:t xml:space="preserve">VARA annual supervision placeholder** (AED)</x:t>
  </x:si>
  <x:si>
    <x:t xml:space="preserve">Average pre-revenue operating burn</x:t>
  </x:si>
  <x:si>
    <x:t xml:space="preserve">VARA restricted-capital placeholder*** (AED)</x:t>
  </x:si>
  <x:si>
    <x:t xml:space="preserve">VARA scale target</x:t>
  </x:si>
  <x:si>
    <x:t xml:space="preserve">VARA application start</x:t>
  </x:si>
  <x:si>
    <x:t xml:space="preserve">AED per USD*****</x:t>
  </x:si>
  <x:si>
    <x:t xml:space="preserve">Future VARA application fees</x:t>
  </x:si>
  <x:si>
    <x:t xml:space="preserve">Future VARA annual supervision</x:t>
  </x:si>
  <x:si>
    <x:t xml:space="preserve">TIMING CASES — ONE SEQUENTIAL UAE ROUTE</x:t>
  </x:si>
  <x:si>
    <x:t xml:space="preserve">Year 1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</x:si>
  <x:si>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</x:si>
  <x:si>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</x:si>
  <x:si>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</x:si>
  <x:si>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</x:si>
  <x:si>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Revenue-active months</x:t>
  </x:si>
  <x:si>
    <x:t xml:space="preserve">Pre-revenue months</x:t>
  </x:si>
  <x:si>
    <x:t xml:space="preserve">Revenue activity factor</x:t>
  </x:si>
  <x:si>
    <x:t xml:space="preserve">Partner / application phase months</x:t>
  </x:si>
  <x:si>
    <x:t xml:space="preserve">Pre-pilot partner cost factor</x:t>
  </x:si>
  <x:si>
    <x:t xml:space="preserve">VARA operating months</x:t>
  </x:si>
  <x:si>
    <x:t xml:space="preserve">VARA annual fee factor</x:t>
  </x:si>
  <x:si>
    <x:t xml:space="preserve">VARA application fee timing</x:t>
  </x:si>
  <x:si>
    <x:t xml:space="preserve">Partner-pilot annual fee factor</x:t>
  </x:si>
  <x:si>
    <x:t xml:space="preserve">WORKFORCE TIMING — EXPLICIT AND INDEPENDENT OF LAUNCH DATE</x:t>
  </x:si>
  <x:si>
    <x:t xml:space="preserve">Role</x:t>
  </x:si>
  <x:si>
    <x:t xml:space="preserve">Start month</x:t>
  </x:si>
  <x:si>
    <x:t xml:space="preserve">Cost treatment</x:t>
  </x:si>
  <x:si>
    <x:t xml:space="preserve">Founders</x:t>
  </x:si>
  <x:si>
    <x:t xml:space="preserve">Core team from Month 1</x:t>
  </x:si>
  <x:si>
    <x:t xml:space="preserve">Engineering</x:t>
  </x:si>
  <x:si>
    <x:t xml:space="preserve">Production hardening; not delayed by launch case</x:t>
  </x:si>
  <x:si>
    <x:t xml:space="preserve">Compliance</x:t>
  </x:si>
  <x:si>
    <x:t xml:space="preserve">Internal control ownership from Month 1</x:t>
  </x:si>
  <x:si>
    <x:t xml:space="preserve">Sales</x:t>
  </x:si>
  <x:si>
    <x:t xml:space="preserve">Pilot contracting and commercial preparation</x:t>
  </x:si>
  <x:si>
    <x:t xml:space="preserve">CUSTOMER-LAUNCH CRITICAL PATH</x:t>
  </x:si>
  <x:si>
    <x:t xml:space="preserve">Workstream</x:t>
  </x:si>
  <x:si>
    <x:t xml:space="preserve">Finish month</x:t>
  </x:si>
  <x:si>
    <x:t xml:space="preserve">Customer-blocking?</x:t>
  </x:si>
  <x:si>
    <x:t xml:space="preserve">Readout</x:t>
  </x:si>
  <x:si>
    <x:t xml:space="preserve">UAE regulatory perimeter (incl. payment-token treatment)</x:t>
  </x:si>
  <x:si>
    <x:t xml:space="preserve">Yes</x:t>
  </x:si>
  <x:si>
    <x:t xml:space="preserve">Counsel and partner confirm the permitted pilot structure, token treatment and regulated entity.</x:t>
  </x:si>
  <x:si>
    <x:t xml:space="preserve">DIFC pilot structure and partner term sheet</x:t>
  </x:si>
  <x:si>
    <x:t xml:space="preserve">Executed terms define fees, customer contract, liability and pilot limits.</x:t>
  </x:si>
  <x:si>
    <x:t xml:space="preserve">Custody, settlement and responsibility matrix</x:t>
  </x:si>
  <x:si>
    <x:t xml:space="preserve">Responsibilities for funds, release controls, complaints and reporting are agreed.</x:t>
  </x:si>
  <x:si>
    <x:t xml:space="preserve">KYB, sanctions, monitoring and review SOPs</x:t>
  </x:si>
  <x:si>
    <x:t xml:space="preserve">Provider, escalation route, reviewer process and audit evidence are operational.</x:t>
  </x:si>
  <x:si>
    <x:t xml:space="preserve">Production security, contract audit and API hardening</x:t>
  </x:si>
  <x:si>
    <x:t xml:space="preserve">Smart-contract audit, key controls, rate limits, CORS and partner API readiness.</x:t>
  </x:si>
  <x:si>
    <x:t xml:space="preserve">Escrow agreement, disputes, testing and go-live approval</x:t>
  </x:si>
  <x:si>
    <x:t xml:space="preserve">Contract pack, objection/dispute handling and limited-pilot testing are approved.</x:t>
  </x:si>
  <x:si>
    <x:t xml:space="preserve">Milestone</x:t>
  </x:si>
  <x:si>
    <x:t xml:space="preserve">Paid partner-led DIFC pilot begins.</x:t>
  </x:si>
  <x:si>
    <x:t xml:space="preserve">VARA application and UAE-wide approval</x:t>
  </x:si>
  <x:si>
    <x:t xml:space="preserve">No for pilot; yes for scale</x:t>
  </x:si>
  <x:si>
    <x:t xml:space="preserve">Future scale stage; capital remains restricted and separate from pilot runway.</x:t>
  </x:si>
  <x:si>
    <x:t xml:space="preserve">SOURCES &amp; MODEL BOUNDARIES</x:t>
  </x:si>
  <x:si>
    <x:t xml:space="preserve">Item</x:t>
  </x:si>
  <x:si>
    <x:t xml:space="preserve">Basis</x:t>
  </x:si>
  <x:si>
    <x:t xml:space="preserve">Source</x:t>
  </x:si>
  <x:si>
    <x:t xml:space="preserve">Model treatment / boundary</x:t>
  </x:si>
  <x:si>
    <x:t xml:space="preserve">UAE licensing route</x:t>
  </x:si>
  <x:si>
    <x:t xml:space="preserve">Planning route</x:t>
  </x:si>
  <x:si>
    <x:t xml:space="preserve">docs/Dubai_Fintech_License_Requirements.md</x:t>
  </x:si>
  <x:si>
    <x:t xml:space="preserve">DIFC partner-led pilot first; VARA approval is a later UAE-scale gate. Confirm the final perimeter with UAE counsel and the regulated partner.</x:t>
  </x:si>
  <x:si>
    <x:t xml:space="preserve">VARA application fee*</x:t>
  </x:si>
  <x:si>
    <x:t xml:space="preserve">Placeholder</x:t>
  </x:si>
  <x:si>
    <x:t xml:space="preserve">https://rulebooks.vara.ae/rulebook/schedule-2-supervision-and-authorisation-fees</x:t>
  </x:si>
  <x:si>
    <x:t xml:space="preserve">AED 200k is rounded. Published activity ordering may imply about AED 170k; confirm the required permissions and extension fees.</x:t>
  </x:si>
  <x:si>
    <x:t xml:space="preserve">VARA annual supervision**</x:t>
  </x:si>
  <x:si>
    <x:t xml:space="preserve">AED 480k assumes Custody (200k), Transfer &amp; Settlement (80k) and Broker-Dealer (200k) each year.</x:t>
  </x:si>
  <x:si>
    <x:t xml:space="preserve">VARA restricted capital***</x:t>
  </x:si>
  <x:si>
    <x:t xml:space="preserve">https://rulebooks.vara.ae/rulebook/b-paid-capital</x:t>
  </x:si>
  <x:si>
    <x:t xml:space="preserve">AED 1.5m sums three activity floors (600k + 500k + 400k). VARA applies the higher of each floor or its overhead test; fewer activities would reduce the total.</x:t>
  </x:si>
  <x:si>
    <x:t xml:space="preserve">Partner-pilot costs****</x:t>
  </x:si>
  <x:si>
    <x:t xml:space="preserve">Management estimate</x:t>
  </x:si>
  <x:si>
    <x:t xml:space="preserve">Driver Tables row 19 / pending partner term sheet</x:t>
  </x:si>
  <x:si>
    <x:t xml:space="preserve">£60k setup and £67k annual oversight are internal allowances, pending the partner term sheet and responsibility matrix.</x:t>
  </x:si>
  <x:si>
    <x:t xml:space="preserve">FX conversion*****</x:t>
  </x:si>
  <x:si>
    <x:t xml:space="preserve">Planning FX</x:t>
  </x:si>
  <x:si>
    <x:t xml:space="preserve">https://centralbank.ae/en/forex-eibor/exchange-rates/</x:t>
  </x:si>
  <x:si>
    <x:t xml:space="preserve">AED/USD 3.6725 peg; GBP/USD 1.28 planning cross-rate as at 10 Aug 2026.</x:t>
  </x:si>
  <x:si>
    <x:t xml:space="preserve">Competitor pricing</x:t>
  </x:si>
  <x:si>
    <x:t xml:space="preserve">Management pricing</x:t>
  </x:si>
  <x:si>
    <x:t xml:space="preserve">docs/Competitor-analysis.md</x:t>
  </x:si>
  <x:si>
    <x:t xml:space="preserve">The 0.8%–3.0% take rates are management hypotheses informed by listed competitors; validate through paid pilots.</x:t>
  </x:si>
  <x:si>
    <x:t xml:space="preserve">Production readiness</x:t>
  </x:si>
  <x:si>
    <x:t xml:space="preserve">Internal specification</x:t>
  </x:si>
  <x:si>
    <x:t xml:space="preserve">docs/technical-requirements.md</x:t>
  </x:si>
  <x:si>
    <x:t xml:space="preserve">Partner API, security controls, testing and audit evidence are required before live use.</x:t>
  </x:si>
  <x:si>
    <x:t xml:space="preserve">Tier Economics - revenue, cost and risk by document-intake tier</x:t>
  </x:si>
  <x:si>
    <x:t xml:space="preserve">Tier A eBL Y1</x:t>
  </x:si>
  <x:si>
    <x:t xml:space="preserve">Tier B API Y1</x:t>
  </x:si>
  <x:si>
    <x:t xml:space="preserve">Tier C Paper Y1</x:t>
  </x:si>
  <x:si>
    <x:t xml:space="preserve">Total Y1</x:t>
  </x:si>
  <x:si>
    <x:t xml:space="preserve">Tier A eBL Y2</x:t>
  </x:si>
  <x:si>
    <x:t xml:space="preserve">Tier B API Y2</x:t>
  </x:si>
  <x:si>
    <x:t xml:space="preserve">Tier C Paper Y2</x:t>
  </x:si>
  <x:si>
    <x:t xml:space="preserve">Total Y2</x:t>
  </x:si>
  <x:si>
    <x:t xml:space="preserve">Tier A eBL Y3</x:t>
  </x:si>
  <x:si>
    <x:t xml:space="preserve">Tier B API Y3</x:t>
  </x:si>
  <x:si>
    <x:t xml:space="preserve">Tier C Paper Y3</x:t>
  </x:si>
  <x:si>
    <x:t xml:space="preserve">Total Y3</x:t>
  </x:si>
  <x:si>
    <x:t xml:space="preserve">Tier A eBL Y4</x:t>
  </x:si>
  <x:si>
    <x:t xml:space="preserve">Tier B API Y4</x:t>
  </x:si>
  <x:si>
    <x:t xml:space="preserve">Tier C Paper Y4</x:t>
  </x:si>
  <x:si>
    <x:t xml:space="preserve">Total Y4</x:t>
  </x:si>
  <x:si>
    <x:t xml:space="preserve">Tier A eBL Y5</x:t>
  </x:si>
  <x:si>
    <x:t xml:space="preserve">Tier B API Y5</x:t>
  </x:si>
  <x:si>
    <x:t xml:space="preserve">Tier C Paper Y5</x:t>
  </x:si>
  <x:si>
    <x:t xml:space="preserve">Total Y5</x:t>
  </x:si>
  <x:si>
    <x:t xml:space="preserve">Tier mix</x:t>
  </x:si>
  <x:si>
    <x:t xml:space="preserve">Deals</x:t>
  </x:si>
  <x:si>
    <x:t xml:space="preserve">Docs per deal</x:t>
  </x:si>
  <x:si>
    <x:t xml:space="preserve">Documents processed</x:t>
  </x:si>
  <x:si>
    <x:t xml:space="preserve">Avg deal value*</x:t>
  </x:si>
  <x:si>
    <x:t xml:space="preserve">GMV</x:t>
  </x:si>
  <x:si>
    <x:t xml:space="preserve">Escrow take rate**</x:t>
  </x:si>
  <x:si>
    <x:t xml:space="preserve">Minimum escrow fee***</x:t>
  </x:si>
  <x:si>
    <x:t xml:space="preserve">Escrow fee revenue</x:t>
  </x:si>
  <x:si>
    <x:t xml:space="preserve">Doc/review fee per deal</x:t>
  </x:si>
  <x:si>
    <x:t xml:space="preserve">Doc/review revenue</x:t>
  </x:si>
  <x:si>
    <x:t xml:space="preserve">Dispute rate</x:t>
  </x:si>
  <x:si>
    <x:t xml:space="preserve">Disputed deals</x:t>
  </x:si>
  <x:si>
    <x:t xml:space="preserve">Dispute/amendment fee</x:t>
  </x:si>
  <x:si>
    <x:t xml:space="preserve">Dispute/amendment revenue</x:t>
  </x:si>
  <x:si>
    <x:t xml:space="preserve">External eBL/API/paper cost</x:t>
  </x:si>
  <x:si>
    <x:t xml:space="preserve">Human review cost</x:t>
  </x:si>
  <x:si>
    <x:t xml:space="preserve">Support cost</x:t>
  </x:si>
  <x:si>
    <x:t xml:space="preserve">Dispute handling cost</x:t>
  </x:si>
  <x:si>
    <x:t xml:space="preserve">Total tier-specific COGS</x:t>
  </x:si>
  <x:si>
    <x:t xml:space="preserve">Tier revenue</x:t>
  </x:si>
  <x:si>
    <x:t xml:space="preserve">Gross profit before shared COGS</x:t>
  </x:si>
  <x:si>
    <x:t xml:space="preserve">Gross margin</x:t>
  </x:si>
  <x:si>
    <x:t xml:space="preserve">Notes</x:t>
  </x:si>
  <x:si>
    <x:t xml:space="preserve">*Year-1 deal values (£35k Tier A; £30k Tier B/C) and 10%/8%/5% annual growth are triangulated planning averages, not observed tier-level transaction data. The research report documents the proxies, judgement and confidence limits.</x:t>
  </x:si>
  <x:si>
    <x:t xml:space="preserve">../docs/Blockmediary_Deal_Value_Research_Report.pdf</x:t>
  </x:si>
  <x:si>
    <x:t xml:space="preserve">**Take rates of 0.8%/1.5%/3.0% are management pricing choices informed by Tazapay, Truzo, XREX, Escrow.com and bank-LC comparables. They are paid-pilot hypotheses, not competitor quotations.</x:t>
  </x:si>
  <x:si>
    <x:t xml:space="preserve">../docs/Competitor-analysis.md</x:t>
  </x:si>
  <x:si>
    <x:t xml:space="preserve">***Minimum fees (£150/£250/£500) are internal floors intended to protect contribution margin on smaller deals; no external tariff is being claimed. Validate conversion and willingness-to-pay in the pilot.</x:t>
  </x:si>
  <x:si>
    <x:t xml:space="preserve">Management assumption — pilot validation required</x:t>
  </x:si>
  <x:si>
    <x:t xml:space="preserve">Line item</x:t>
  </x:si>
  <x:si>
    <x:t xml:space="preserve">Logic / note</x:t>
  </x:si>
  <x:si>
    <x:t xml:space="preserve">5-Year P&amp;L (annual) - driven by Assumptions sheet</x:t>
  </x:si>
  <x:si>
    <x:t xml:space="preserve">All figures GBP. Revenue &amp; COGS scale with deal volume. Active scenario shown; change Assumptions!C4.</x:t>
  </x:si>
  <x:si>
    <x:t xml:space="preserve">Unit / note</x:t>
  </x:si>
  <x:si>
    <x:t xml:space="preserve">VOLUME &amp; DRIVERS</x:t>
  </x:si>
  <x:si>
    <x:t xml:space="preserve">Deals processed</x:t>
  </x:si>
  <x:si>
    <x:t xml:space="preserve">From Assumptions</x:t>
  </x:si>
  <x:si>
    <x:t xml:space="preserve">Avg deal value (£)</x:t>
  </x:si>
  <x:si>
    <x:t xml:space="preserve">GMV per deal</x:t>
  </x:si>
  <x:si>
    <x:t xml:space="preserve">Gross trade value processed (GMV)</x:t>
  </x:si>
  <x:si>
    <x:t xml:space="preserve">Deals × avg value (NOT revenue)</x:t>
  </x:si>
  <x:si>
    <x:t xml:space="preserve">Tier-weighted docs/deal from Tier Economics</x:t>
  </x:si>
  <x:si>
    <x:t xml:space="preserve">New counterparties onboarded</x:t>
  </x:si>
  <x:si>
    <x:t xml:space="preserve">Deals x parties/deal x new-counterparty onboarding share</x:t>
  </x:si>
  <x:si>
    <x:t xml:space="preserve">Disputed/amended deals</x:t>
  </x:si>
  <x:si>
    <x:t xml:space="preserve">Tier-weighted dispute rates</x:t>
  </x:si>
  <x:si>
    <x:t xml:space="preserve">REVENUE</x:t>
  </x:si>
  <x:si>
    <x:t xml:space="preserve">Total revenue</x:t>
  </x:si>
  <x:si>
    <x:t xml:space="preserve">Sum of revenue lines</x:t>
  </x:si>
  <x:si>
    <x:t xml:space="preserve">COGS / VARIABLE COSTS</x:t>
  </x:si>
  <x:si>
    <x:t xml:space="preserve">Claude API (doc extraction)</x:t>
  </x:si>
  <x:si>
    <x:t xml:space="preserve">USD→GBP</x:t>
  </x:si>
  <x:si>
    <x:t xml:space="preserve">KYB business onboarding</x:t>
  </x:si>
  <x:si>
    <x:t xml:space="preserve">Fresh KYB only for new counterparties</x:t>
  </x:si>
  <x:si>
    <x:t xml:space="preserve">KYC/UBO + sanctions onboarding</x:t>
  </x:si>
  <x:si>
    <x:t xml:space="preserve">Fresh KYC/KYB only for new counterparties</x:t>
  </x:si>
  <x:si>
    <x:t xml:space="preserve">Tiered document verification ops</x:t>
  </x:si>
  <x:si>
    <x:t xml:space="preserve">External eBL/API/paper + human examiner cost</x:t>
  </x:si>
  <x:si>
    <x:t xml:space="preserve">Blockchain gas</x:t>
  </x:si>
  <x:si>
    <x:t xml:space="preserve">Base L2 USD→GBP</x:t>
  </x:si>
  <x:si>
    <x:t xml:space="preserve">RPC / node provider</x:t>
  </x:si>
  <x:si>
    <x:t xml:space="preserve">Deals x RPC cost; USD to GBP</x:t>
  </x:si>
  <x:si>
    <x:t xml:space="preserve">Document / ledger storage</x:t>
  </x:si>
  <x:si>
    <x:t xml:space="preserve">Deals x storage cost; USD to GBP</x:t>
  </x:si>
  <x:si>
    <x:t xml:space="preserve">Customer support</x:t>
  </x:si>
  <x:si>
    <x:t xml:space="preserve">Tiered support load</x:t>
  </x:si>
  <x:si>
    <x:t xml:space="preserve">Total COGS</x:t>
  </x:si>
  <x:si>
    <x:t xml:space="preserve">Sum of COGS lines</x:t>
  </x:si>
  <x:si>
    <x:t xml:space="preserve">Gross profit</x:t>
  </x:si>
  <x:si>
    <x:t xml:space="preserve">Total revenue minus total COGS</x:t>
  </x:si>
  <x:si>
    <x:t xml:space="preserve">Gross margin %</x:t>
  </x:si>
  <x:si>
    <x:t xml:space="preserve">Gross profit / revenue</x:t>
  </x:si>
  <x:si>
    <x:t xml:space="preserve">HEADCOUNT &amp; PAYROLL</x:t>
  </x:si>
  <x:si>
    <x:t xml:space="preserve">Founders (FTE)</x:t>
  </x:si>
  <x:si>
    <x:t xml:space="preserve">Founder headcount held flat</x:t>
  </x:si>
  <x:si>
    <x:t xml:space="preserve">Engineers (FTE)</x:t>
  </x:si>
  <x:si>
    <x:t xml:space="preserve">Ramp +1/yr</x:t>
  </x:si>
  <x:si>
    <x:t xml:space="preserve">Compliance/ops (FTE)</x:t>
  </x:si>
  <x:si>
    <x:t xml:space="preserve">Ramp</x:t>
  </x:si>
  <x:si>
    <x:t xml:space="preserve">Sales/BD/CS (FTE)</x:t>
  </x:si>
  <x:si>
    <x:t xml:space="preserve">Explicit AI-enabled ramp from Assumptions C191:G191</x:t>
  </x:si>
  <x:si>
    <x:t xml:space="preserve">Total FTE</x:t>
  </x:si>
  <x:si>
    <x:t xml:space="preserve">Founders + engineers + compliance/ops + sales/BD/CS</x:t>
  </x:si>
  <x:si>
    <x:t xml:space="preserve">Gross salaries</x:t>
  </x:si>
  <x:si>
    <x:t xml:space="preserve">FTE × salary</x:t>
  </x:si>
  <x:si>
    <x:t xml:space="preserve">Employer NI</x:t>
  </x:si>
  <x:si>
    <x:t xml:space="preserve">15% above threshold, less Employment Allowance; confirm eligibility</x:t>
  </x:si>
  <x:si>
    <x:t xml:space="preserve">Employer pension</x:t>
  </x:si>
  <x:si>
    <x:t xml:space="preserve">Gross salaries x pension contribution</x:t>
  </x:si>
  <x:si>
    <x:t xml:space="preserve">Other employment on-costs</x:t>
  </x:si>
  <x:si>
    <x:t xml:space="preserve">Gross salaries x other employment on-costs</x:t>
  </x:si>
  <x:si>
    <x:t xml:space="preserve">Total payroll cost</x:t>
  </x:si>
  <x:si>
    <x:t xml:space="preserve">Gross salaries + employer NI + pension + other on-costs</x:t>
  </x:si>
  <x:si>
    <x:t xml:space="preserve">FIXED OPERATING COSTS (annual = monthly ×12)</x:t>
  </x:si>
  <x:si>
    <x:t xml:space="preserve">Cloud hosting (Vercel/AWS)</x:t>
  </x:si>
  <x:si>
    <x:t xml:space="preserve">Monthly base × scale factor</x:t>
  </x:si>
  <x:si>
    <x:t xml:space="preserve">Database + object storage</x:t>
  </x:si>
  <x:si>
    <x:t xml:space="preserve">Monitoring/logging/security tools</x:t>
  </x:si>
  <x:si>
    <x:t xml:space="preserve">GitHub + dev SaaS</x:t>
  </x:si>
  <x:si>
    <x:t xml:space="preserve">Monthly base × FTE scale</x:t>
  </x:si>
  <x:si>
    <x:t xml:space="preserve">Google Workspace / collab</x:t>
  </x:si>
  <x:si>
    <x:t xml:space="preserve">CRM + BD tooling</x:t>
  </x:si>
  <x:si>
    <x:t xml:space="preserve">Monthly base × sales/BD scale</x:t>
  </x:si>
  <x:si>
    <x:t xml:space="preserve">Accounting/payroll/bookkeeping</x:t>
  </x:si>
  <x:si>
    <x:t xml:space="preserve">Legal retainer (ongoing)</x:t>
  </x:si>
  <x:si>
    <x:t xml:space="preserve">Monthly base × complexity scale</x:t>
  </x:si>
  <x:si>
    <x:t xml:space="preserve">Marketing / conferences / partnerships</x:t>
  </x:si>
  <x:si>
    <x:t xml:space="preserve">Office / coworking</x:t>
  </x:si>
  <x:si>
    <x:t xml:space="preserve">Insurance (PI+cyber+D&amp;O) / mo</x:t>
  </x:si>
  <x:si>
    <x:t xml:space="preserve">Year 1 prepaid; Years 2–3 monthly ×12</x:t>
  </x:si>
  <x:si>
    <x:t xml:space="preserve">Total fixed opex</x:t>
  </x:si>
  <x:si>
    <x:t xml:space="preserve">Sum of fixed opex lines</x:t>
  </x:si>
  <x:si>
    <x:t xml:space="preserve">ONE-OFF &amp; STARTUP COSTS</x:t>
  </x:si>
  <x:si>
    <x:t xml:space="preserve">Startup + staged UAE regulatory one-off costs</x:t>
  </x:si>
  <x:si>
    <x:t xml:space="preserve">Core startup spend, pilot onboarding cost and later VARA application fees.</x:t>
  </x:si>
  <x:si>
    <x:t xml:space="preserve">RESULT</x:t>
  </x:si>
  <x:si>
    <x:t xml:space="preserve">Total operating expenditure</x:t>
  </x:si>
  <x:si>
    <x:t xml:space="preserve">Payroll+opex+one-off</x:t>
  </x:si>
  <x:si>
    <x:t xml:space="preserve">EBITDA (pre one-off)</x:t>
  </x:si>
  <x:si>
    <x:t xml:space="preserve">Gross profit − payroll − opex</x:t>
  </x:si>
  <x:si>
    <x:t xml:space="preserve">Net profit / (loss) incl. one-off</x:t>
  </x:si>
  <x:si>
    <x:t xml:space="preserve">Gross profit minus total operating expenditure</x:t>
  </x:si>
  <x:si>
    <x:t xml:space="preserve">Cumulative net result</x:t>
  </x:si>
  <x:si>
    <x:t xml:space="preserve">Running total</x:t>
  </x:si>
  <x:si>
    <x:t xml:space="preserve">Peak cumulative operating deficit</x:t>
  </x:si>
  <x:si>
    <x:t xml:space="preserve">Peak monthly-model operating deficit through each year</x:t>
  </x:si>
  <x:si>
    <x:t xml:space="preserve">Operating reserve target</x:t>
  </x:si>
  <x:si>
    <x:t xml:space="preserve">Selected reserve months × launch-year payroll and fixed opex</x:t>
  </x:si>
  <x:si>
    <x:t xml:space="preserve">Operating funding ask incl. reserve</x:t>
  </x:si>
  <x:si>
    <x:t xml:space="preserve">Monthly-model cash need plus operating reserve</x:t>
  </x:si>
  <x:si>
    <x:t xml:space="preserve">COMMERCIAL SCALE &amp; ACQUISITION CHECK</x:t>
  </x:si>
  <x:si>
    <x:t xml:space="preserve">Deals / active customer / year</x:t>
  </x:si>
  <x:si>
    <x:t xml:space="preserve">Commercial sanity check from Assumptions</x:t>
  </x:si>
  <x:si>
    <x:t xml:space="preserve">Implied active customers</x:t>
  </x:si>
  <x:si>
    <x:t xml:space="preserve">Deals / deals per active customer</x:t>
  </x:si>
  <x:si>
    <x:t xml:space="preserve">Revenue / deal</x:t>
  </x:si>
  <x:si>
    <x:t xml:space="preserve">Total revenue / deals</x:t>
  </x:si>
  <x:si>
    <x:t xml:space="preserve">Revenue / active customer</x:t>
  </x:si>
  <x:si>
    <x:t xml:space="preserve">Total revenue / implied customers</x:t>
  </x:si>
  <x:si>
    <x:t xml:space="preserve">VAT registration flag</x:t>
  </x:si>
  <x:si>
    <x:t xml:space="preserve">Revenue &gt; threshold</x:t>
  </x:si>
  <x:si>
    <x:t xml:space="preserve">Gross margin sanity check</x:t>
  </x:si>
  <x:si>
    <x:t xml:space="preserve">Warn if &gt;90% and tiered document-verification COGS is nonzero</x:t>
  </x:si>
  <x:si>
    <x:t xml:space="preserve">Gross new customers / Sales-BD-CS FTE</x:t>
  </x:si>
  <x:si>
    <x:t xml:space="preserve">CUSTOMER RETENTION — REQUIRED ACQUISITION CHECK</x:t>
  </x:si>
  <x:si>
    <x:t xml:space="preserve">Target ending active customers</x:t>
  </x:si>
  <x:si>
    <x:t xml:space="preserve">Net commercial target implied by annual deal volume.</x:t>
  </x:si>
  <x:si>
    <x:t xml:space="preserve">Beginning active customers</x:t>
  </x:si>
  <x:si>
    <x:t xml:space="preserve">Prior-year ending cohort; Year 1 begins at zero.</x:t>
  </x:si>
  <x:si>
    <x:t xml:space="preserve">Annual customer churn rate</x:t>
  </x:si>
  <x:si>
    <x:t xml:space="preserve">Prior-year ending cohort; revenue remains driven by the selected deal-volume target.</x:t>
  </x:si>
  <x:si>
    <x:t xml:space="preserve">Churned customers</x:t>
  </x:si>
  <x:si>
    <x:t xml:space="preserve">Opening customers expected to leave during the year.</x:t>
  </x:si>
  <x:si>
    <x:t xml:space="preserve">Retained opening customers</x:t>
  </x:si>
  <x:si>
    <x:t xml:space="preserve">Opening customers remaining after churn.</x:t>
  </x:si>
  <x:si>
    <x:t xml:space="preserve">Gross new customers required</x:t>
  </x:si>
  <x:si>
    <x:t xml:space="preserve">New logos required to achieve the net ending-customer target.</x:t>
  </x:si>
  <x:si>
    <x:t xml:space="preserve">Ending active customers</x:t>
  </x:si>
  <x:si>
    <x:t xml:space="preserve">Retained opening customers plus gross new customers.</x:t>
  </x:si>
  <x:si>
    <x:t xml:space="preserve">Bridge check</x:t>
  </x:si>
  <x:si>
    <x:t xml:space="preserve">Must equal zero in every year.</x:t>
  </x:si>
  <x:si>
    <x:t xml:space="preserve">RUNWAY RESERVE SENSITIVITY</x:t>
  </x:si>
  <x:si>
    <x:t xml:space="preserve">Planning sensitivity; base case remains 3 months</x:t>
  </x:si>
  <x:si>
    <x:t xml:space="preserve">Launch-year payroll plus fixed operating costs</x:t>
  </x:si>
  <x:si>
    <x:t xml:space="preserve">Operating funding need</x:t>
  </x:si>
  <x:si>
    <x:t xml:space="preserve">Peak monthly operating deficit plus reserve; future VARA capital separate</x:t>
  </x:si>
  <x:si>
    <x:t xml:space="preserve">CASH FLOW STATEMENT — MONTHLY 60-MONTH PROJECTION</x:t>
  </x:si>
  <x:si>
    <x:t xml:space="preserve">Base case: paid partner-led DIFC pilot in Month 12; one-month receipt lag; future VARA fees and restricted capital staged separately from the initial operating ask.</x:t>
  </x:si>
  <x:si>
    <x:t xml:space="preserve">Peak monthly-model operating deficit</x:t>
  </x:si>
  <x:si>
    <x:t xml:space="preserve">Month 60 cumulative operating cash</x:t>
  </x:si>
  <x:si>
    <x:t xml:space="preserve">Active scenario</x:t>
  </x:si>
  <x:si>
    <x:t xml:space="preserve">Cash-flow break-even month</x:t>
  </x:si>
  <x:si>
    <x:t xml:space="preserve">Month #</x:t>
  </x:si>
  <x:si>
    <x:t xml:space="preserve">Model year</x:t>
  </x:si>
  <x:si>
    <x:t xml:space="preserve">Month in year</x:t>
  </x:si>
  <x:si>
    <x:t xml:space="preserve">Period</x:t>
  </x:si>
  <x:si>
    <x:t xml:space="preserve">CASH FLOWS FROM OPERATING ACTIVITIES</x:t>
  </x:si>
  <x:si>
    <x:t xml:space="preserve">Customer receipts</x:t>
  </x:si>
  <x:si>
    <x:t xml:space="preserve">Revenue receipts are phased after Year 1 pre-revenue months; Years 2-5 are straight-lined monthly.</x:t>
  </x:si>
  <x:si>
    <x:t xml:space="preserve">Variable COGS cash payments</x:t>
  </x:si>
  <x:si>
    <x:t xml:space="preserve">COGS follows the same revenue phasing.</x:t>
  </x:si>
  <x:si>
    <x:t xml:space="preserve">Gross operating cash margin</x:t>
  </x:si>
  <x:si>
    <x:t xml:space="preserve">Payroll cash payments</x:t>
  </x:si>
  <x:si>
    <x:t xml:space="preserve">Annual payroll from P&amp;L 5yr divided by 12.</x:t>
  </x:si>
  <x:si>
    <x:t xml:space="preserve">Fixed opex cash payments</x:t>
  </x:si>
  <x:si>
    <x:t xml:space="preserve">Annual fixed opex from P&amp;L 5yr divided by 12.</x:t>
  </x:si>
  <x:si>
    <x:t xml:space="preserve">Startup / one-off cash payments</x:t>
  </x:si>
  <x:si>
    <x:t xml:space="preserve">Startup 6mo / Year 1 one-off spend paid over months 1-6.</x:t>
  </x:si>
  <x:si>
    <x:t xml:space="preserve">Operating working capital (client escrow excluded)</x:t>
  </x:si>
  <x:si>
    <x:t xml:space="preserve">Client escrow funds remain restricted/off-balance-sheet; no settlement float benefit is modelled.</x:t>
  </x:si>
  <x:si>
    <x:t xml:space="preserve">Net cash from operating activities</x:t>
  </x:si>
  <x:si>
    <x:t xml:space="preserve">CASH FLOWS FROM INVESTING ACTIVITIES</x:t>
  </x:si>
  <x:si>
    <x:t xml:space="preserve">Capitalised development / capex</x:t>
  </x:si>
  <x:si>
    <x:t xml:space="preserve">Net cash from investing activities</x:t>
  </x:si>
  <x:si>
    <x:t xml:space="preserve">CASH FLOWS FROM FINANCING ACTIVITIES</x:t>
  </x:si>
  <x:si>
    <x:t xml:space="preserve">External funding raised — operating need plus separately timed restricted capital</x:t>
  </x:si>
  <x:si>
    <x:t xml:space="preserve">Raised in month 1 of any year when the cumulative funding ask steps up.</x:t>
  </x:si>
  <x:si>
    <x:t xml:space="preserve">Restricted regulatory capital placed</x:t>
  </x:si>
  <x:si>
    <x:t xml:space="preserve">Funding-only contingency reserve is separated from unrestricted operating cash.</x:t>
  </x:si>
  <x:si>
    <x:t xml:space="preserve">Net cash from financing activities</x:t>
  </x:si>
  <x:si>
    <x:t xml:space="preserve">CASH RECONCILIATION</x:t>
  </x:si>
  <x:si>
    <x:t xml:space="preserve">Opening unrestricted cash</x:t>
  </x:si>
  <x:si>
    <x:t xml:space="preserve">Net change in unrestricted cash</x:t>
  </x:si>
  <x:si>
    <x:t xml:space="preserve">Closing unrestricted cash</x:t>
  </x:si>
  <x:si>
    <x:t xml:space="preserve">Restricted regulatory capital held</x:t>
  </x:si>
  <x:si>
    <x:t xml:space="preserve">Total cash incl. restricted capital</x:t>
  </x:si>
  <x:si>
    <x:t xml:space="preserve">BREAKEVEN / RUNWAY</x:t>
  </x:si>
  <x:si>
    <x:t xml:space="preserve">Operating cumulative cash flow before financing</x:t>
  </x:si>
  <x:si>
    <x:t xml:space="preserve">This is the monthly cash-flow break-even test before external financing.</x:t>
  </x:si>
  <x:si>
    <x:t xml:space="preserve">Cash-flow break-even status</x:t>
  </x:si>
  <x:si>
    <x:t xml:space="preserve">Runway warning</x:t>
  </x:si>
  <x:si>
    <x:t xml:space="preserve">Scenario comparison - monthly cash-flow break-even</x:t>
  </x:si>
  <x:si>
    <x:t xml:space="preserve">Scenario</x:t>
  </x:si>
  <x:si>
    <x:t xml:space="preserve">EBITDA break-even</x:t>
  </x:si>
  <x:si>
    <x:t xml:space="preserve">Funding ask incl. reserve</x:t>
  </x:si>
  <x:si>
    <x:t xml:space="preserve">Scenario cumulative operating cash flow before financing - monthly</x:t>
  </x:si>
  <x:si>
    <x:t xml:space="preserve">Low break-even helper</x:t>
  </x:si>
  <x:si>
    <x:t xml:space="preserve">Base break-even helper</x:t>
  </x:si>
  <x:si>
    <x:t xml:space="preserve">High break-even helper</x:t>
  </x:si>
  <x:si>
    <x:t xml:space="preserve">Active break-even helper</x:t>
  </x:si>
  <x:si>
    <x:t xml:space="preserve">Scenario Engine — Low / Base / High in one sheet</x:t>
  </x:si>
  <x:si>
    <x:t xml:space="preserve">only two things vary by scenario: deal count and tier mix. Everything else is the fixed price book in Assumptions column F, so it is computed once per scenario-year rather than in three parallel P&amp;Ls.</x:t>
  </x:si>
  <x:si>
    <x:t xml:space="preserve">Payroll, fixed opex and one-off cost are scenario-invariant and link straight to P&amp;L 5yr. Green cells are links to other sheets.</x:t>
  </x:si>
  <x:si>
    <x:t xml:space="preserve">LOW SCENARIO</x:t>
  </x:si>
  <x:si>
    <x:t xml:space="preserve">BASE SCENARIO</x:t>
  </x:si>
  <x:si>
    <x:t xml:space="preserve">HIGH SCENARIO</x:t>
  </x:si>
  <x:si>
    <x:t xml:space="preserve">Avg deal value (GBP)</x:t>
  </x:si>
  <x:si>
    <x:t xml:space="preserve">Tier A eBL mix</x:t>
  </x:si>
  <x:si>
    <x:t xml:space="preserve">Tier B carrier/API mix</x:t>
  </x:si>
  <x:si>
    <x:t xml:space="preserve">Tier C paper mix</x:t>
  </x:si>
  <x:si>
    <x:t xml:space="preserve">Disputed / amended deals</x:t>
  </x:si>
  <x:si>
    <x:t xml:space="preserve">Escrow transaction fees</x:t>
  </x:si>
  <x:si>
    <x:t xml:space="preserve">Document review fees</x:t>
  </x:si>
  <x:si>
    <x:t xml:space="preserve">Dispute / amendment fees</x:t>
  </x:si>
  <x:si>
    <x:t xml:space="preserve">First-deal discount drag</x:t>
  </x:si>
  <x:si>
    <x:t xml:space="preserve">KYC/KYB onboarding fees</x:t>
  </x:si>
  <x:si>
    <x:t xml:space="preserve">Tier C forensics pass-through margin</x:t>
  </x:si>
  <x:si>
    <x:t xml:space="preserve">Tier C courier / original handling fees</x:t>
  </x:si>
  <x:si>
    <x:t xml:space="preserve">Discrepancy cure / waiver fees</x:t>
  </x:si>
  <x:si>
    <x:t xml:space="preserve">Partner setup &amp; committed-volume fees</x:t>
  </x:si>
  <x:si>
    <x:t xml:space="preserve">Archive / audit record fees</x:t>
  </x:si>
  <x:si>
    <x:t xml:space="preserve">Dispute handling</x:t>
  </x:si>
  <x:si>
    <x:t xml:space="preserve">External dispute forum cost</x:t>
  </x:si>
  <x:si>
    <x:t xml:space="preserve">Operational error / wrongful-release reserve</x:t>
  </x:si>
  <x:si>
    <x:t xml:space="preserve">Partner / channel commission</x:t>
  </x:si>
  <x:si>
    <x:t xml:space="preserve">Other retained-risk variable (leakage, outage)</x:t>
  </x:si>
  <x:si>
    <x:t xml:space="preserve">SCENARIO-INVARIANT COSTS (linked from P&amp;L 5yr)</x:t>
  </x:si>
  <x:si>
    <x:t xml:space="preserve">Startup &amp; regulatory one-off costs</x:t>
  </x:si>
  <x:si>
    <x:t xml:space="preserve">Assumptions — Control Panel</x:t>
  </x:si>
  <x:si>
    <x:t xml:space="preserve">Scenario columns are only used for true adoption/mix drivers. Fixed inputs use one value in column F and flow through every downstream sheet.</x:t>
  </x:si>
  <x:si>
    <x:t xml:space="preserve">SCENARIO SWITCH (1/2/3)</x:t>
  </x:si>
  <x:si>
    <x:t xml:space="preserve">Assumption</x:t>
  </x:si>
  <x:si>
    <x:t xml:space="preserve">Low scenario</x:t>
  </x:si>
  <x:si>
    <x:t xml:space="preserve">Base scenario</x:t>
  </x:si>
  <x:si>
    <x:t xml:space="preserve">High scenario</x:t>
  </x:si>
  <x:si>
    <x:t xml:space="preserve">Active / fixed value</x:t>
  </x:si>
  <x:si>
    <x:t xml:space="preserve">Unit</x:t>
  </x:si>
  <x:si>
    <x:t xml:space="preserve">Notes / source quality</x:t>
  </x:si>
  <x:si>
    <x:t xml:space="preserve">-- GLOBAL --</x:t>
  </x:si>
  <x:si>
    <x:t xml:space="preserve">GBP:USD FX rate*</x:t>
  </x:si>
  <x:si>
    <x:t xml:space="preserve">$/£</x:t>
  </x:si>
  <x:si>
    <x:t xml:space="preserve">CBUAE 10 Aug 2026 planning cross-rate; refresh before use.</x:t>
  </x:si>
  <x:si>
    <x:t xml:space="preserve">-- DEAL VOLUME / CORE OPERATING DRIVERS --</x:t>
  </x:si>
  <x:si>
    <x:t xml:space="preserve">Year 1 deals (total)</x:t>
  </x:si>
  <x:si>
    <x:t xml:space="preserve">deals/yr</x:t>
  </x:si>
  <x:si>
    <x:t xml:space="preserve">Pilot→paid ramp. Pre-seed B2B fintech (estimate)</x:t>
  </x:si>
  <x:si>
    <x:t xml:space="preserve">Year 2 deals (total)</x:t>
  </x:si>
  <x:si>
    <x:t xml:space="preserve">estimate</x:t>
  </x:si>
  <x:si>
    <x:t xml:space="preserve">Year 3 deals (total)</x:t>
  </x:si>
  <x:si>
    <x:t xml:space="preserve">Avg counterparties / deal before repeat adjustment</x:t>
  </x:si>
  <x:si>
    <x:t xml:space="preserve">parties/deal</x:t>
  </x:si>
  <x:si>
    <x:t xml:space="preserve">Buyer + seller before repeat-customer onboarding adjustment</x:t>
  </x:si>
  <x:si>
    <x:t xml:space="preserve">Partner count Yr2</x:t>
  </x:si>
  <x:si>
    <x:t xml:space="preserve">partners</x:t>
  </x:si>
  <x:si>
    <x:t xml:space="preserve">API/platform partners live by Year 2</x:t>
  </x:si>
  <x:si>
    <x:t xml:space="preserve">-- TRANSACTION COGS --</x:t>
  </x:si>
  <x:si>
    <x:t xml:space="preserve">Claude API cost / document</x:t>
  </x:si>
  <x:si>
    <x:t xml:space="preserve">$/doc</x:t>
  </x:si>
  <x:si>
    <x:t xml:space="preserve">Haiku/Sonnet extraction. Anthropic $1/$5–$3/$15 MTok (vendor)</x:t>
  </x:si>
  <x:si>
    <x:t xml:space="preserve">KYB screening / business party</x:t>
  </x:si>
  <x:si>
    <x:t xml:space="preserve">$/party</x:t>
  </x:si>
  <x:si>
    <x:t xml:space="preserve">Didit fr $2, Sumsub tier (vendor)</x:t>
  </x:si>
  <x:si>
    <x:t xml:space="preserve">KYC/UBO+sanctions / person</x:t>
  </x:si>
  <x:si>
    <x:t xml:space="preserve">$/person</x:t>
  </x:si>
  <x:si>
    <x:t xml:space="preserve">Didit $0.30 / Sumsub $1.35 (vendor)</x:t>
  </x:si>
  <x:si>
    <x:t xml:space="preserve">Blockchain gas / deal (multi-tx)</x:t>
  </x:si>
  <x:si>
    <x:t xml:space="preserve">$/deal</x:t>
  </x:si>
  <x:si>
    <x:t xml:space="preserve">Base L2, several txns/deal (official: Base docs)</x:t>
  </x:si>
  <x:si>
    <x:t xml:space="preserve">RPC/node provider / deal</x:t>
  </x:si>
  <x:si>
    <x:t xml:space="preserve">Alchemy/QuickNode metered (vendor/estimate)</x:t>
  </x:si>
  <x:si>
    <x:t xml:space="preserve">Doc + audit-ledger storage / deal</x:t>
  </x:si>
  <x:si>
    <x:t xml:space="preserve">S3/object storage per deal (vendor/estimate)</x:t>
  </x:si>
  <x:si>
    <x:t xml:space="preserve">-- FIXED OPEX --</x:t>
  </x:si>
  <x:si>
    <x:t xml:space="preserve">£/mo</x:t>
  </x:si>
  <x:si>
    <x:t xml:space="preserve">Vercel Pro $20/seat + AWS/usage (vendor)</x:t>
  </x:si>
  <x:si>
    <x:t xml:space="preserve">Managed Postgres + S3 (vendor/estimate)</x:t>
  </x:si>
  <x:si>
    <x:t xml:space="preserve">Sentry/Datadog/Snyk tiers (vendor/estimate)</x:t>
  </x:si>
  <x:si>
    <x:t xml:space="preserve">GitHub $4–21/user (vendor)</x:t>
  </x:si>
  <x:si>
    <x:t xml:space="preserve">~£12/user Business Standard (vendor)</x:t>
  </x:si>
  <x:si>
    <x:t xml:space="preserve">HubSpot/Pipedrive (vendor/estimate)</x:t>
  </x:si>
  <x:si>
    <x:t xml:space="preserve">Outsourced (estimate)</x:t>
  </x:si>
  <x:si>
    <x:t xml:space="preserve">Commercial + regulatory queries (estimate)</x:t>
  </x:si>
  <x:si>
    <x:t xml:space="preserve">Compliance / MLRO support</x:t>
  </x:si>
  <x:si>
    <x:t xml:space="preserve">Fractional MLRO/consultant (benchmark/estimate)</x:t>
  </x:si>
  <x:si>
    <x:t xml:space="preserve">Trade events, content (estimate)</x:t>
  </x:si>
  <x:si>
    <x:t xml:space="preserve">Hot-desk → small office (estimate)</x:t>
  </x:si>
  <x:si>
    <x:t xml:space="preserve">Annualised /12; fintech loading (benchmark/estimate)</x:t>
  </x:si>
  <x:si>
    <x:t xml:space="preserve">-- HEADCOUNT BASELINE --</x:t>
  </x:si>
  <x:si>
    <x:t xml:space="preserve">FTE</x:t>
  </x:si>
  <x:si>
    <x:t xml:space="preserve">Engineers Yr1 baseline</x:t>
  </x:si>
  <x:si>
    <x:t xml:space="preserve">FTE Yr1</x:t>
  </x:si>
  <x:si>
    <x:t xml:space="preserve">Scaled in P&amp;L by year (benchmark)</x:t>
  </x:si>
  <x:si>
    <x:t xml:space="preserve">Compliance/ops Yr1 baseline</x:t>
  </x:si>
  <x:si>
    <x:t xml:space="preserve">Compliance/ops baseline headcount starts at one FTE.</x:t>
  </x:si>
  <x:si>
    <x:t xml:space="preserve">Sales/BD + CS Yr1 baseline</x:t>
  </x:si>
  <x:si>
    <x:t xml:space="preserve">(benchmark)</x:t>
  </x:si>
  <x:si>
    <x:t xml:space="preserve">-- SALARIES --****</x:t>
  </x:si>
  <x:si>
    <x:t xml:space="preserve">Founder salary</x:t>
  </x:si>
  <x:si>
    <x:t xml:space="preserve">£/yr</x:t>
  </x:si>
  <x:si>
    <x:t xml:space="preserve">Pre-seed founder (benchmark)</x:t>
  </x:si>
  <x:si>
    <x:t xml:space="preserve">Engineer salary</x:t>
  </x:si>
  <x:si>
    <x:t xml:space="preserve">UK fintech SWE (benchmark)</x:t>
  </x:si>
  <x:si>
    <x:t xml:space="preserve">Compliance/ops salary</x:t>
  </x:si>
  <x:si>
    <x:t xml:space="preserve">FS compliance officer (benchmark)</x:t>
  </x:si>
  <x:si>
    <x:t xml:space="preserve">Sales/BD/CS salary</x:t>
  </x:si>
  <x:si>
    <x:t xml:space="preserve">Employer NI rate**</x:t>
  </x:si>
  <x:si>
    <x:t xml:space="preserve">% of pay &gt;£5k</x:t>
  </x:si>
  <x:si>
    <x:t xml:space="preserve">15% above the £5,000 secondary threshold in 2026/27 (GOV.UK).</x:t>
  </x:si>
  <x:si>
    <x:t xml:space="preserve">Employer NI secondary threshold**</x:t>
  </x:si>
  <x:si>
    <x:t xml:space="preserve">£5,000 annual secondary threshold for 2026/27 (GOV.UK).</x:t>
  </x:si>
  <x:si>
    <x:t xml:space="preserve">Employer pension contribution***</x:t>
  </x:si>
  <x:si>
    <x:t xml:space="preserve">% of salary</x:t>
  </x:si>
  <x:si>
    <x:t xml:space="preserve">4% planning contribution; statutory employer minimum is 3% (TPR).</x:t>
  </x:si>
  <x:si>
    <x:t xml:space="preserve">Equipment, benefits, software/seat (estimate)</x:t>
  </x:si>
  <x:si>
    <x:t xml:space="preserve">-- TAX &amp; OPERATING FLAGS --</x:t>
  </x:si>
  <x:si>
    <x:t xml:space="preserve">Employment allowance**</x:t>
  </x:si>
  <x:si>
    <x:t xml:space="preserve">GBP/yr</x:t>
  </x:si>
  <x:si>
    <x:t xml:space="preserve">£10,500 Employment Allowance in 2026/27 (GOV.UK).</x:t>
  </x:si>
  <x:si>
    <x:t xml:space="preserve">VAT registration threshold</x:t>
  </x:si>
  <x:si>
    <x:t xml:space="preserve">GBP revenue</x:t>
  </x:si>
  <x:si>
    <x:t xml:space="preserve">Flag threshold only; VAT cash timing not modelled in P&amp;L</x:t>
  </x:si>
  <x:si>
    <x:t xml:space="preserve">New counterparty onboarding share</x:t>
  </x:si>
  <x:si>
    <x:t xml:space="preserve">% screened parties</x:t>
  </x:si>
  <x:si>
    <x:t xml:space="preserve">Only this share gets fresh KYC/KYB onboarding; repeat checks assumed lower-touch/opex</x:t>
  </x:si>
  <x:si>
    <x:t xml:space="preserve">-- DOCUMENT INTAKE MIX + TIER PRICE BOOK --</x:t>
  </x:si>
  <x:si>
    <x:t xml:space="preserve">Tier A eBL mix Yr1</x:t>
  </x:si>
  <x:si>
    <x:t xml:space="preserve">% deals</x:t>
  </x:si>
  <x:si>
    <x:t xml:space="preserve">Lowest operational risk; source-of-truth digital document rail</x:t>
  </x:si>
  <x:si>
    <x:t xml:space="preserve">Tier B carrier/API mix Yr1</x:t>
  </x:si>
  <x:si>
    <x:t xml:space="preserve">Paper docs with DCSA/carrier/API verification</x:t>
  </x:si>
  <x:si>
    <x:t xml:space="preserve">Tier C paper collection mix Yr1</x:t>
  </x:si>
  <x:si>
    <x:t xml:space="preserve">Paper originals / manual collection / forensic fallback</x:t>
  </x:si>
  <x:si>
    <x:t xml:space="preserve">Tier A eBL mix Yr2</x:t>
  </x:si>
  <x:si>
    <x:t xml:space="preserve">Mix improves as eBL adoption grows</x:t>
  </x:si>
  <x:si>
    <x:t xml:space="preserve">Tier B carrier/API mix Yr2</x:t>
  </x:si>
  <x:si>
    <x:t xml:space="preserve">Core commercial tier</x:t>
  </x:si>
  <x:si>
    <x:t xml:space="preserve">Tier C paper collection mix Yr2</x:t>
  </x:si>
  <x:si>
    <x:t xml:space="preserve">Should shrink over time</x:t>
  </x:si>
  <x:si>
    <x:t xml:space="preserve">Tier A eBL mix Yr3</x:t>
  </x:si>
  <x:si>
    <x:t xml:space="preserve">Best-margin scaled tier</x:t>
  </x:si>
  <x:si>
    <x:t xml:space="preserve">Tier B carrier/API mix Yr3</x:t>
  </x:si>
  <x:si>
    <x:t xml:space="preserve">Carrier/API verified middle tier</x:t>
  </x:si>
  <x:si>
    <x:t xml:space="preserve">Tier C paper collection mix Yr3</x:t>
  </x:si>
  <x:si>
    <x:t xml:space="preserve">High-risk fallback, not strategic core</x:t>
  </x:si>
  <x:si>
    <x:t xml:space="preserve">Tier A escrow take rate</x:t>
  </x:si>
  <x:si>
    <x:t xml:space="preserve">% GMV</x:t>
  </x:si>
  <x:si>
    <x:t xml:space="preserve">Tier A eBL/source-of-truth rail: 0.80% of GMV. Competitive entry point versus researched escrow and LC alternatives; fixed across commercial scenarios.</x:t>
  </x:si>
  <x:si>
    <x:t xml:space="preserve">Tier B escrow take rate</x:t>
  </x:si>
  <x:si>
    <x:t xml:space="preserve">Tier B carrier/API-verified documents: 1.50% of GMV. Mid-tier fee reflects verification work while remaining inside the researched competitor range.</x:t>
  </x:si>
  <x:si>
    <x:t xml:space="preserve">Tier C escrow take rate</x:t>
  </x:si>
  <x:si>
    <x:t xml:space="preserve">Tier C paper/originals fallback: 3.00% of GMV. Premium manual tier for higher handling and dispute risk; still within researched upper-end escrow pricing.</x:t>
  </x:si>
  <x:si>
    <x:t xml:space="preserve">Tier A minimum escrow fee</x:t>
  </x:si>
  <x:si>
    <x:t xml:space="preserve">GBP/deal</x:t>
  </x:si>
  <x:si>
    <x:t xml:space="preserve">Single price-book assumption repeated across Low/Base/High; scenarios now vary adoption/mix/risk, not customer pricing. Benchmarked as an LC-like service below typical bank LC all-in economics.</x:t>
  </x:si>
  <x:si>
    <x:t xml:space="preserve">Tier B minimum escrow fee</x:t>
  </x:si>
  <x:si>
    <x:t xml:space="preserve">Tier C minimum escrow fee</x:t>
  </x:si>
  <x:si>
    <x:t xml:space="preserve">Tier A document/review fee</x:t>
  </x:si>
  <x:si>
    <x:t xml:space="preserve">Tier A light document/release-rule review fee; familiar admin-fee style pricing.</x:t>
  </x:si>
  <x:si>
    <x:t xml:space="preserve">Tier B document/review fee</x:t>
  </x:si>
  <x:si>
    <x:t xml:space="preserve">Tier B API-assisted document review fee; below many bank discrepancy/amendment fee stacks.</x:t>
  </x:si>
  <x:si>
    <x:t xml:space="preserve">Tier C document/review fee</x:t>
  </x:si>
  <x:si>
    <x:t xml:space="preserve">Tier C manual/paper review fee; priced for higher work but still LC-competitive all-in.</x:t>
  </x:si>
  <x:si>
    <x:t xml:space="preserve">Tier A dispute/amendment fee</x:t>
  </x:si>
  <x:si>
    <x:t xml:space="preserve">GBP/event</x:t>
  </x:si>
  <x:si>
    <x:t xml:space="preserve">Dispute/amendment admin fee within familiar LC admin-fee range.</x:t>
  </x:si>
  <x:si>
    <x:t xml:space="preserve">Tier B dispute/amendment fee</x:t>
  </x:si>
  <x:si>
    <x:t xml:space="preserve">Tier C dispute/amendment fee</x:t>
  </x:si>
  <x:si>
    <x:t xml:space="preserve">Paper/originals discrepancy handling; premium manual workflow fee.</x:t>
  </x:si>
  <x:si>
    <x:t xml:space="preserve">Tier A eBL/API handling cost</x:t>
  </x:si>
  <x:si>
    <x:t xml:space="preserve">eBL platform/API/validation cost; quote-based</x:t>
  </x:si>
  <x:si>
    <x:t xml:space="preserve">Tier B carrier/API handling cost</x:t>
  </x:si>
  <x:si>
    <x:t xml:space="preserve">Carrier/DCSA/API lookup + reconciliation</x:t>
  </x:si>
  <x:si>
    <x:t xml:space="preserve">Tier C paper/forensics handling cost</x:t>
  </x:si>
  <x:si>
    <x:t xml:space="preserve">Courier/originals/forensics partner fallback</x:t>
  </x:si>
  <x:si>
    <x:t xml:space="preserve">Tier A human review cost</x:t>
  </x:si>
  <x:si>
    <x:t xml:space="preserve">AI-assisted light examiner time</x:t>
  </x:si>
  <x:si>
    <x:t xml:space="preserve">Tier B human review cost</x:t>
  </x:si>
  <x:si>
    <x:t xml:space="preserve">Examiner plus carrier-source check</x:t>
  </x:si>
  <x:si>
    <x:t xml:space="preserve">Tier C human review cost</x:t>
  </x:si>
  <x:si>
    <x:t xml:space="preserve">Manual examiner + paper workflow</x:t>
  </x:si>
  <x:si>
    <x:t xml:space="preserve">Tier A support cost</x:t>
  </x:si>
  <x:si>
    <x:t xml:space="preserve">Low-touch self-serve</x:t>
  </x:si>
  <x:si>
    <x:t xml:space="preserve">Tier B support cost</x:t>
  </x:si>
  <x:si>
    <x:t xml:space="preserve">Assisted verification</x:t>
  </x:si>
  <x:si>
    <x:t xml:space="preserve">Tier C support cost</x:t>
  </x:si>
  <x:si>
    <x:t xml:space="preserve">Manual coordination</x:t>
  </x:si>
  <x:si>
    <x:t xml:space="preserve">Tier A dispute rate</x:t>
  </x:si>
  <x:si>
    <x:t xml:space="preserve">Lower source-document risk</x:t>
  </x:si>
  <x:si>
    <x:t xml:space="preserve">Tier B dispute rate</x:t>
  </x:si>
  <x:si>
    <x:t xml:space="preserve">Medium mismatch risk</x:t>
  </x:si>
  <x:si>
    <x:t xml:space="preserve">Tier C dispute rate</x:t>
  </x:si>
  <x:si>
    <x:t xml:space="preserve">Paper/originals risk</x:t>
  </x:si>
  <x:si>
    <x:t xml:space="preserve">Tier A dispute handling cost</x:t>
  </x:si>
  <x:si>
    <x:t xml:space="preserve">Internal handling cost</x:t>
  </x:si>
  <x:si>
    <x:t xml:space="preserve">Tier B dispute handling cost</x:t>
  </x:si>
  <x:si>
    <x:t xml:space="preserve">Tier C dispute handling cost</x:t>
  </x:si>
  <x:si>
    <x:t xml:space="preserve">Tier A docs/deal</x:t>
  </x:si>
  <x:si>
    <x:t xml:space="preserve">docs/deal</x:t>
  </x:si>
  <x:si>
    <x:t xml:space="preserve">Digital doc bundle</x:t>
  </x:si>
  <x:si>
    <x:t xml:space="preserve">Tier B docs/deal</x:t>
  </x:si>
  <x:si>
    <x:t xml:space="preserve">Carrier/API verified bundle</x:t>
  </x:si>
  <x:si>
    <x:t xml:space="preserve">Tier C docs/deal</x:t>
  </x:si>
  <x:si>
    <x:t xml:space="preserve">Paper/originals bundle</x:t>
  </x:si>
  <x:si>
    <x:t xml:space="preserve">-- CUSTOMER ACQUISITION CROSS-CHECK --</x:t>
  </x:si>
  <x:si>
    <x:t xml:space="preserve">Deals per active customer Yr1</x:t>
  </x:si>
  <x:si>
    <x:t xml:space="preserve">deals/customer/yr</x:t>
  </x:si>
  <x:si>
    <x:t xml:space="preserve">Commercial sanity check; P&amp;L remains driven by deal count</x:t>
  </x:si>
  <x:si>
    <x:t xml:space="preserve">Deals per active customer Yr2</x:t>
  </x:si>
  <x:si>
    <x:t xml:space="preserve">Commercial sanity check; should improve with repeat usage</x:t>
  </x:si>
  <x:si>
    <x:t xml:space="preserve">Deals per active customer Yr3</x:t>
  </x:si>
  <x:si>
    <x:t xml:space="preserve">Commercial sanity check; high case assumes repeat platform usage</x:t>
  </x:si>
  <x:si>
    <x:t xml:space="preserve">Partner count Yr3</x:t>
  </x:si>
  <x:si>
    <x:t xml:space="preserve">Total API/platform partners by Year 3; setup fee charges only net-new partners</x:t>
  </x:si>
  <x:si>
    <x:t xml:space="preserve">First-deal discount rate</x:t>
  </x:si>
  <x:si>
    <x:t xml:space="preserve">% discount</x:t>
  </x:si>
  <x:si>
    <x:t xml:space="preserve">Commercial launch discount policy; repeated across scenarios.</x:t>
  </x:si>
  <x:si>
    <x:t xml:space="preserve">Tier B expedited review uptake</x:t>
  </x:si>
  <x:si>
    <x:t xml:space="preserve">% Tier B deals</x:t>
  </x:si>
  <x:si>
    <x:t xml:space="preserve">Scenario-driven customer uptake of optional expedited Tier B review; fee itself is fixed in row 129.</x:t>
  </x:si>
  <x:si>
    <x:t xml:space="preserve">Tier C expedited review uptake</x:t>
  </x:si>
  <x:si>
    <x:t xml:space="preserve">% Tier C deals</x:t>
  </x:si>
  <x:si>
    <x:t xml:space="preserve">Scenario-driven customer uptake of optional expedited Tier C review; fee itself is fixed in row 130.</x:t>
  </x:si>
  <x:si>
    <x:t xml:space="preserve">Tier B expedited review fee</x:t>
  </x:si>
  <x:si>
    <x:t xml:space="preserve">Optional expedited Tier B review; price-book assumption, not scenario sensitivity.</x:t>
  </x:si>
  <x:si>
    <x:t xml:space="preserve">Tier C expedited review fee</x:t>
  </x:si>
  <x:si>
    <x:t xml:space="preserve">Optional expedited Tier C paper/originals workflow; price-book assumption.</x:t>
  </x:si>
  <x:si>
    <x:t xml:space="preserve">KYC/KYB onboarding fee / counterparty</x:t>
  </x:si>
  <x:si>
    <x:t xml:space="preserve">GBP/party</x:t>
  </x:si>
  <x:si>
    <x:t xml:space="preserve">KYC/KYB onboarding admin fee; can be charged or bundled into first deal.</x:t>
  </x:si>
  <x:si>
    <x:t xml:space="preserve">Tier C forensics pass-through markup</x:t>
  </x:si>
  <x:si>
    <x:t xml:space="preserve">% over cost</x:t>
  </x:si>
  <x:si>
    <x:t xml:space="preserve">Pass-through markup on paper/forensics partner costs.</x:t>
  </x:si>
  <x:si>
    <x:t xml:space="preserve">Tier C courier/original handling fee</x:t>
  </x:si>
  <x:si>
    <x:t xml:space="preserve">Tier C courier/original handling admin fee.</x:t>
  </x:si>
  <x:si>
    <x:t xml:space="preserve">Discrepancy cure / waiver fee</x:t>
  </x:si>
  <x:si>
    <x:t xml:space="preserve">GBP/case</x:t>
  </x:si>
  <x:si>
    <x:t xml:space="preserve">Discrepancy cure/waiver fee in familiar LC admin-fee range.</x:t>
  </x:si>
  <x:si>
    <x:t xml:space="preserve">% disputed deals resolved as cure/waiver</x:t>
  </x:si>
  <x:si>
    <x:t xml:space="preserve">% disputed</x:t>
  </x:si>
  <x:si>
    <x:t xml:space="preserve">Scenario-driven share of disputed deals resolved through lighter cure/waiver workflow.</x:t>
  </x:si>
  <x:si>
    <x:t xml:space="preserve">Partner setup / integration fee</x:t>
  </x:si>
  <x:si>
    <x:t xml:space="preserve">GBP/new partner</x:t>
  </x:si>
  <x:si>
    <x:t xml:space="preserve">Forwarder/platform/API setup fee; price-book assumption.</x:t>
  </x:si>
  <x:si>
    <x:t xml:space="preserve">Monthly minimum / committed volume fee</x:t>
  </x:si>
  <x:si>
    <x:t xml:space="preserve">GBP/partner/mo</x:t>
  </x:si>
  <x:si>
    <x:t xml:space="preserve">Monthly minimum / committed-volume fee for API/platform partners.</x:t>
  </x:si>
  <x:si>
    <x:t xml:space="preserve">Archive / audit record fee</x:t>
  </x:si>
  <x:si>
    <x:t xml:space="preserve">Archive/audit record fee per deal.</x:t>
  </x:si>
  <x:si>
    <x:t xml:space="preserve">Regulated yield economics (out of MVP)</x:t>
  </x:si>
  <x:si>
    <x:t xml:space="preserve">Not modelled</x:t>
  </x:si>
  <x:si>
    <x:t xml:space="preserve">Excluded from the MVP and funding case; no yield revenue is modelled.</x:t>
  </x:si>
  <x:si>
    <x:t xml:space="preserve">Carrier/eBL integration maintenance</x:t>
  </x:si>
  <x:si>
    <x:t xml:space="preserve">Ongoing partner integration, certification and API maintenance</x:t>
  </x:si>
  <x:si>
    <x:t xml:space="preserve">Forensics partner retainer</x:t>
  </x:si>
  <x:si>
    <x:t xml:space="preserve">Traydstream/Cleareye-style retainer or minimum commitment</x:t>
  </x:si>
  <x:si>
    <x:t xml:space="preserve">Fraud database build / governance Y1</x:t>
  </x:si>
  <x:si>
    <x:t xml:space="preserve">GBP Yr1</x:t>
  </x:si>
  <x:si>
    <x:t xml:space="preserve">BoL/document hash database; privacy/governance work</x:t>
  </x:si>
  <x:si>
    <x:t xml:space="preserve">Fraud database ongoing governance</x:t>
  </x:si>
  <x:si>
    <x:t xml:space="preserve">Hosting, governance and data-sharing overhead</x:t>
  </x:si>
  <x:si>
    <x:t xml:space="preserve">QA second-review rate</x:t>
  </x:si>
  <x:si>
    <x:t xml:space="preserve">Four-eyes check for high-risk or out-of-envelope decisions</x:t>
  </x:si>
  <x:si>
    <x:t xml:space="preserve">QA second-review cost</x:t>
  </x:si>
  <x:si>
    <x:t xml:space="preserve">GBP/review</x:t>
  </x:si>
  <x:si>
    <x:t xml:space="preserve">Examiner QA cost</x:t>
  </x:si>
  <x:si>
    <x:t xml:space="preserve">External dispute forum rate</x:t>
  </x:si>
  <x:si>
    <x:t xml:space="preserve">% disputed deals</x:t>
  </x:si>
  <x:si>
    <x:t xml:space="preserve">Share of DISPUTED deals escalating to formal external forum / expert determination (previously modelled as 3% of ALL deals stacked on tier dispute rates). Estimate - refine.</x:t>
  </x:si>
  <x:si>
    <x:t xml:space="preserve">Should be passed through where possible</x:t>
  </x:si>
  <x:si>
    <x:t xml:space="preserve">Operational error / wrongful release reserve</x:t>
  </x:si>
  <x:si>
    <x:t xml:space="preserve">% revenue</x:t>
  </x:si>
  <x:si>
    <x:t xml:space="preserve">Retained process-error risk, not delivery risk</x:t>
  </x:si>
  <x:si>
    <x:t xml:space="preserve">Insurance deductible reserve</x:t>
  </x:si>
  <x:si>
    <x:t xml:space="preserve">Expected out-of-pocket claim/deductible buffer</x:t>
  </x:si>
  <x:si>
    <x:t xml:space="preserve">KMS / multisig / key security ops</x:t>
  </x:si>
  <x:si>
    <x:t xml:space="preserve">Custody/key-management tooling and monitoring</x:t>
  </x:si>
  <x:si>
    <x:t xml:space="preserve">Regulatory reporting ops</x:t>
  </x:si>
  <x:si>
    <x:t xml:space="preserve">SAR/escalation handling, ongoing screening ops</x:t>
  </x:si>
  <x:si>
    <x:t xml:space="preserve">Partner/channel commission</x:t>
  </x:si>
  <x:si>
    <x:t xml:space="preserve">Forwarder/platform referral/revenue share; applied to partner-sourced revenue only (F167), not total revenue.</x:t>
  </x:si>
  <x:si>
    <x:t xml:space="preserve">Fee collection leakage</x:t>
  </x:si>
  <x:si>
    <x:t xml:space="preserve">% non-escrow fees</x:t>
  </x:si>
  <x:si>
    <x:t xml:space="preserve">Fees not always collected from escrow flow</x:t>
  </x:si>
  <x:si>
    <x:t xml:space="preserve">Partner/API outage manual fallback rate</x:t>
  </x:si>
  <x:si>
    <x:t xml:space="preserve">When carrier/API lookup fails</x:t>
  </x:si>
  <x:si>
    <x:t xml:space="preserve">Partner/API outage fallback cost</x:t>
  </x:si>
  <x:si>
    <x:t xml:space="preserve">Manual fallback cost</x:t>
  </x:si>
  <x:si>
    <x:t xml:space="preserve">Smart contract incident reserve</x:t>
  </x:si>
  <x:si>
    <x:t xml:space="preserve">Emergency audit, redeploy, legal response</x:t>
  </x:si>
  <x:si>
    <x:t xml:space="preserve">Liability wording legal review</x:t>
  </x:si>
  <x:si>
    <x:t xml:space="preserve">Drafting/confirming documents-not-goods liability boundary</x:t>
  </x:si>
  <x:si>
    <x:t xml:space="preserve">Document-source indemnity legal review</x:t>
  </x:si>
  <x:si>
    <x:t xml:space="preserve">Carrier/eBL/API/forensics contract risk allocation</x:t>
  </x:si>
  <x:si>
    <x:t xml:space="preserve">-- YEAR 4/5 GROWTH DRIVERS --</x:t>
  </x:si>
  <x:si>
    <x:t xml:space="preserve">Year 4 deals (total)</x:t>
  </x:si>
  <x:si>
    <x:t xml:space="preserve">Five-year continuation; linked into P&amp;L 5yr</x:t>
  </x:si>
  <x:si>
    <x:t xml:space="preserve">Year 5 deals (total)</x:t>
  </x:si>
  <x:si>
    <x:t xml:space="preserve">Five-year continuation; used to test cash-flow breakeven</x:t>
  </x:si>
  <x:si>
    <x:t xml:space="preserve">Tier A eBL mix Yr4</x:t>
  </x:si>
  <x:si>
    <x:t xml:space="preserve">Assumes continued migration toward eBL/source-of-truth rails</x:t>
  </x:si>
  <x:si>
    <x:t xml:space="preserve">Tier B carrier/API mix Yr4</x:t>
  </x:si>
  <x:si>
    <x:t xml:space="preserve">Tier C paper collection mix Yr4</x:t>
  </x:si>
  <x:si>
    <x:t xml:space="preserve">High-risk paper fallback shrinks with scale</x:t>
  </x:si>
  <x:si>
    <x:t xml:space="preserve">Tier A eBL mix Yr5</x:t>
  </x:si>
  <x:si>
    <x:t xml:space="preserve">Tier B carrier/API mix Yr5</x:t>
  </x:si>
  <x:si>
    <x:t xml:space="preserve">Tier C paper collection mix Yr5</x:t>
  </x:si>
  <x:si>
    <x:t xml:space="preserve">Paper fallback retained but not strategic core</x:t>
  </x:si>
  <x:si>
    <x:t xml:space="preserve">Partner count Yr4</x:t>
  </x:si>
  <x:si>
    <x:t xml:space="preserve">Total API/platform partners by Year 4</x:t>
  </x:si>
  <x:si>
    <x:t xml:space="preserve">Partner count Yr5</x:t>
  </x:si>
  <x:si>
    <x:t xml:space="preserve">Total API/platform partners by Year 5</x:t>
  </x:si>
  <x:si>
    <x:t xml:space="preserve">Deals per active customer Yr4</x:t>
  </x:si>
  <x:si>
    <x:t xml:space="preserve">Improves with repeat platform usage</x:t>
  </x:si>
  <x:si>
    <x:t xml:space="preserve">Deals per active customer Yr5</x:t>
  </x:si>
  <x:si>
    <x:t xml:space="preserve">Commercial sanity check for mature usage</x:t>
  </x:si>
  <x:si>
    <x:t xml:space="preserve">Partner-sourced revenue share</x:t>
  </x:si>
  <x:si>
    <x:t xml:space="preserve">Est. share of revenue via partner/channel deals; partner commission (F144) applies only to this share, not total revenue. Planning estimate - refine, ideally by year.</x:t>
  </x:si>
  <x:si>
    <x:t xml:space="preserve">TIER-SPECIFIC DEAL VALUES</x:t>
  </x:si>
  <x:si>
    <x:t xml:space="preserve">Source: Blockmediary Deal-Value Research Report and Model, 11 Aug 2026.</x:t>
  </x:si>
  <x:si>
    <x:t xml:space="preserve">Tier A — Year 1 base deal value</x:t>
  </x:si>
  <x:si>
    <x:t xml:space="preserve">Base case from deal-value research; fixed across volume scenarios.</x:t>
  </x:si>
  <x:si>
    <x:t xml:space="preserve">Tier A — annual deal-value growth</x:t>
  </x:si>
  <x:si>
    <x:t xml:space="preserve">% per year</x:t>
  </x:si>
  <x:si>
    <x:t xml:space="preserve">Exact annual compounding; independent of customer-volume scenario.</x:t>
  </x:si>
  <x:si>
    <x:t xml:space="preserve">Tier B — Year 1 base deal value</x:t>
  </x:si>
  <x:si>
    <x:t xml:space="preserve">Tier B — annual deal-value growth</x:t>
  </x:si>
  <x:si>
    <x:t xml:space="preserve">Tier C — Year 1 base deal value</x:t>
  </x:si>
  <x:si>
    <x:t xml:space="preserve">Tier C — annual deal-value growth</x:t>
  </x:si>
  <x:si>
    <x:t xml:space="preserve">CUSTOMER RETENTION &amp; CLIENT FUNDS</x:t>
  </x:si>
  <x:si>
    <x:t xml:space="preserve">Planning assumptions and hard controls added 11 Aug 2026.</x:t>
  </x:si>
  <x:si>
    <x:t xml:space="preserve">Planning assumption from Year 2. Annual deal volumes remain net targets; replace with observed cohort retention.</x:t>
  </x:si>
  <x:si>
    <x:t xml:space="preserve">Average funded-to-release holding period</x:t>
  </x:si>
  <x:si>
    <x:t xml:space="preserve">days</x:t>
  </x:si>
  <x:si>
    <x:t xml:space="preserve">Used only to estimate safeguarded client assets; replace with pilot telemetry.</x:t>
  </x:si>
  <x:si>
    <x:t xml:space="preserve">Client escrow funds available to operations</x:t>
  </x:si>
  <x:si>
    <x:t xml:space="preserve">%</x:t>
  </x:si>
  <x:si>
    <x:t xml:space="preserve">Hard control: customer funds are not corporate cash and cannot fund operations.</x:t>
  </x:si>
  <x:si>
    <x:t xml:space="preserve">Client-asset yield recognised in model</x:t>
  </x:si>
  <x:si>
    <x:t xml:space="preserve">No yield or spread is recognised without legal, regulatory and accounting approval.</x:t>
  </x:si>
  <x:si>
    <x:t xml:space="preserve">PRESENTATION CONTROLS — REVIEW &amp; CAPACITY</x:t>
  </x:si>
  <x:si>
    <x:t xml:space="preserve">Simple planning controls; replace with pilot evidence.</x:t>
  </x:si>
  <x:si>
    <x:t xml:space="preserve">Deals above £50k threshold — Year 1</x:t>
  </x:si>
  <x:si>
    <x:t xml:space="preserve">Planning distribution tail; autonomy threshold from docs/business-requirements.md §9.2.</x:t>
  </x:si>
  <x:si>
    <x:t xml:space="preserve">Deals above £50k threshold — Year 2</x:t>
  </x:si>
  <x:si>
    <x:t xml:space="preserve">Planning estimate as ticket size and portfolio scale increase.</x:t>
  </x:si>
  <x:si>
    <x:t xml:space="preserve">Deals above £50k threshold — Year 3</x:t>
  </x:si>
  <x:si>
    <x:t xml:space="preserve">Planning estimate; refine from paid-pilot transaction distribution.</x:t>
  </x:si>
  <x:si>
    <x:t xml:space="preserve">Deals above £50k threshold — Year 4</x:t>
  </x:si>
  <x:si>
    <x:t xml:space="preserve">Planning estimate; reflects migration toward larger Tier A deals.</x:t>
  </x:si>
  <x:si>
    <x:t xml:space="preserve">Deals above £50k threshold — Year 5</x:t>
  </x:si>
  <x:si>
    <x:t xml:space="preserve">Planning estimate; refine before external reliance.</x:t>
  </x:si>
  <x:si>
    <x:t xml:space="preserve">Incremental mandatory review cost</x:t>
  </x:si>
  <x:si>
    <x:t xml:space="preserve">Loaded human-review allowance above the £50k autonomy threshold.</x:t>
  </x:si>
  <x:si>
    <x:t xml:space="preserve">Acquisition capacity warning threshold</x:t>
  </x:si>
  <x:si>
    <x:t xml:space="preserve">gross new customers / FTE</x:t>
  </x:si>
  <x:si>
    <x:t xml:space="preserve">Presentation warning only; not a full staffing engine.</x:t>
  </x:si>
  <x:si>
    <x:t xml:space="preserve">Sales/BD/CS FTE ramp (Y1 to Y5)</x:t>
  </x:si>
  <x:si>
    <x:t xml:space="preserve">Y1 / Y2 / Y3 / Y4 / Y5. Aggressive AI-enabled ramp; targets &lt;=250 gross new customers per FTE.</x:t>
  </x:si>
  <x:si>
    <x:t xml:space="preserve">MODEL CONVENTIONS</x:t>
  </x:si>
  <x:si>
    <x:t xml:space="preserve">Scope disclosures for this university idea-presentation model.</x:t>
  </x:si>
  <x:si>
    <x:t xml:space="preserve">Entity / workforce convention</x:t>
  </x:si>
  <x:si>
    <x:t xml:space="preserve">UK dev / UAE pilot</x:t>
  </x:si>
  <x:si>
    <x:t xml:space="preserve">planning</x:t>
  </x:si>
  <x:si>
    <x:t xml:space="preserve">UK development-cost assumptions; regulated pilot activity and oversight are partner-led until later UAE scale.</x:t>
  </x:si>
  <x:si>
    <x:t xml:space="preserve">Accounting scope</x:t>
  </x:si>
  <x:si>
    <x:t xml:space="preserve">Pre-tax operating model</x:t>
  </x:si>
  <x:si>
    <x:t xml:space="preserve">Runway model, not statutory accounts; all development expenditure is expensed.</x:t>
  </x:si>
  <x:si>
    <x:t xml:space="preserve">Payments and FX scope</x:t>
  </x:si>
  <x:si>
    <x:t xml:space="preserve">Partner-borne / excluded</x:t>
  </x:si>
  <x:si>
    <x:t xml:space="preserve">MVP boundary</x:t>
  </x:si>
  <x:si>
    <x:t xml:space="preserve">Blockmediary does not provide on/off-ramp or FX services in the MVP.</x:t>
  </x:si>
  <x:si>
    <x:t xml:space="preserve">NOTES</x:t>
  </x:si>
  <x:si>
    <x:t xml:space="preserve">SOURCE</x:t>
  </x:si>
  <x:si>
    <x:t xml:space="preserve">*GBP/USD 1.28 is a presentation translation rate derived from CBUAE AED cross-rates on 10 August 2026, not a live hedge rate. Refresh it before filing, contracting or fundraising.</x:t>
  </x:si>
  <x:si>
    <x:t xml:space="preserve">**Employer NI uses the 2026/27 15% rate above the £5,000 secondary threshold and a £10,500 Employment Allowance. The allowance remains subject to eligibility.</x:t>
  </x:si>
  <x:si>
    <x:t xml:space="preserve">https://www.gov.uk/guidance/rates-and-thresholds-for-employers-2026-to-2027</x:t>
  </x:si>
  <x:si>
    <x:t xml:space="preserve">***The model’s 4% employer pension contribution is deliberately above the 3% statutory minimum. Scheme definition and qualifying-earnings treatment should be confirmed at payroll setup.</x:t>
  </x:si>
  <x:si>
    <x:t xml:space="preserve">https://www.thepensionsregulator.gov.uk/media/s1shf2oe/the-essential-guide-for-automatic-enrolment-psn-2022.pdf</x:t>
  </x:si>
  <x:si>
    <x:t xml:space="preserve">****Founder, engineering, compliance and commercial salaries are UK planning midpoints informed by public recruitment data—not offers or committed hires. Location and seniority can materially change burn.</x:t>
  </x:si>
  <x:si>
    <x:t xml:space="preserve">https://www.morganmckinley.com/uk/salary-guide/calculator</x:t>
  </x:si>
  <x:si>
    <x:t xml:space="preserve">First 6 Months — Startup Costs (one-off + setup ramp)</x:t>
  </x:si>
  <x:si>
    <x:t xml:space="preserve">One-off costs incurred in months 0-6. Recurring opex/payroll lives in P&amp;L 5yr. Scenario-driven (Low/Base/High).</x:t>
  </x:si>
  <x:si>
    <x:t xml:space="preserve">Cost driver</x:t>
  </x:si>
  <x:si>
    <x:t xml:space="preserve">Active</x:t>
  </x:si>
  <x:si>
    <x:t xml:space="preserve">Cur</x:t>
  </x:si>
  <x:si>
    <x:t xml:space="preserve">COMPANY FORMATION &amp; FILINGS</x:t>
  </x:si>
  <x:si>
    <x:t xml:space="preserve">Core company incorporation / filing</x:t>
  </x:si>
  <x:si>
    <x:t xml:space="preserve">£</x:t>
  </x:si>
  <x:si>
    <x:t xml:space="preserve">Administrative company setup only; UAE launch permissions are modelled in Launch Readiness.</x:t>
  </x:si>
  <x:si>
    <x:t xml:space="preserve">Registered office / address service (6mo)</x:t>
  </x:si>
  <x:si>
    <x:t xml:space="preserve">Administrative operating-base allowance (vendor/estimate).</x:t>
  </x:si>
  <x:si>
    <x:t xml:space="preserve">Founder/director verification and admin</x:t>
  </x:si>
  <x:si>
    <x:t xml:space="preserve">Identity and company-administration allowance (official/estimate).</x:t>
  </x:si>
  <x:si>
    <x:t xml:space="preserve">Annual corporate filing</x:t>
  </x:si>
  <x:si>
    <x:t xml:space="preserve">Administrative filing allowance; not a launch permission.</x:t>
  </x:si>
  <x:si>
    <x:t xml:space="preserve">LEGAL SETUP</x:t>
  </x:si>
  <x:si>
    <x:t xml:space="preserve">Shareholder agreement*</x:t>
  </x:si>
  <x:si>
    <x:t xml:space="preserve">£375–£3,000 fixed-fee (benchmark)</x:t>
  </x:si>
  <x:si>
    <x:t xml:space="preserve">IP assignment (founders/contractors)</x:t>
  </x:si>
  <x:si>
    <x:t xml:space="preserve">Assign IP into company (estimate)</x:t>
  </x:si>
  <x:si>
    <x:t xml:space="preserve">Articles / cap table / SAFE setup</x:t>
  </x:si>
  <x:si>
    <x:t xml:space="preserve">SAFE/ASA template + review (estimate)</x:t>
  </x:si>
  <x:si>
    <x:t xml:space="preserve">Website terms + privacy policy</x:t>
  </x:si>
  <x:si>
    <x:t xml:space="preserve">Bespoke for fintech (estimate)</x:t>
  </x:si>
  <x:si>
    <x:t xml:space="preserve">Trade Escrow Agreement template (bespoke)</x:t>
  </x:si>
  <x:si>
    <x:t xml:space="preserve">Core product contract; bespoke drafting (estimate)</x:t>
  </x:si>
  <x:si>
    <x:t xml:space="preserve">REGULATORY &amp; COMPLIANCE SETUP</x:t>
  </x:si>
  <x:si>
    <x:t xml:space="preserve">UAE regulatory perimeter + partner-route advice**</x:t>
  </x:si>
  <x:si>
    <x:t xml:space="preserve">DIFC partner-led pilot, custody/arranging split and VARA scale perimeter (estimate; verify with UAE counsel).</x:t>
  </x:si>
  <x:si>
    <x:t xml:space="preserve">UAE AML/KYC/sanctions policy + procedures</x:t>
  </x:si>
  <x:si>
    <x:t xml:space="preserve">Pilot policy pack, partner escalation and MLRO setup (estimate).</x:t>
  </x:si>
  <x:si>
    <x:t xml:space="preserve">DIFC data-protection setup (DPIA, records)</x:t>
  </x:si>
  <x:si>
    <x:t xml:space="preserve">DIFC/UAE data mapping, DPIA and processing records (estimate).</x:t>
  </x:si>
  <x:si>
    <x:t xml:space="preserve">DIFC data-protection filing allowance</x:t>
  </x:si>
  <x:si>
    <x:t xml:space="preserve">Planning allowance; confirm current DIFC requirements and fees.</x:t>
  </x:si>
  <x:si>
    <x:t xml:space="preserve">SECURITY</x:t>
  </x:si>
  <x:si>
    <x:t xml:space="preserve">Smart-contract audit / security review***</x:t>
  </x:si>
  <x:si>
    <x:t xml:space="preserve">Moderate-complexity escrow contracts (benchmark)</x:t>
  </x:si>
  <x:si>
    <x:t xml:space="preserve">Penetration test (web app)</x:t>
  </x:si>
  <x:si>
    <x:t xml:space="preserve">Pre-launch pentest (vendor/estimate)</x:t>
  </x:si>
  <x:si>
    <x:t xml:space="preserve">PRODUCT BUILD (one-off, pre-revenue)</x:t>
  </x:si>
  <x:si>
    <x:t xml:space="preserve">Smart-contract production hardening / integrations</x:t>
  </x:si>
  <x:si>
    <x:t xml:space="preserve">Production hardening, partner/custody integration and deployment controls (estimate).</x:t>
  </x:si>
  <x:si>
    <x:t xml:space="preserve">Web app hardening / partner API readiness</x:t>
  </x:si>
  <x:si>
    <x:t xml:space="preserve">Authentication, rate limits, CORS, integration and production-readiness work (estimate).</x:t>
  </x:si>
  <x:si>
    <x:t xml:space="preserve">UI/UX pilot readiness</x:t>
  </x:si>
  <x:si>
    <x:t xml:space="preserve">Pilot workflow refinement and usability testing (estimate).</x:t>
  </x:si>
  <x:si>
    <x:t xml:space="preserve">BRAND, DECK &amp; WEB</x:t>
  </x:si>
  <x:si>
    <x:t xml:space="preserve">Pitch deck + brand identity</x:t>
  </x:si>
  <x:si>
    <x:t xml:space="preserve">(estimate)</x:t>
  </x:si>
  <x:si>
    <x:t xml:space="preserve">Marketing website</x:t>
  </x:si>
  <x:si>
    <x:t xml:space="preserve">Domain + email + initial SaaS</x:t>
  </x:si>
  <x:si>
    <x:t xml:space="preserve">Domain, Workspace setup (vendor)</x:t>
  </x:si>
  <x:si>
    <x:t xml:space="preserve">BUSINESS DEVELOPMENT (setup)</x:t>
  </x:si>
  <x:si>
    <x:t xml:space="preserve">Pilot outreach / travel (UAE)</x:t>
  </x:si>
  <x:si>
    <x:t xml:space="preserve">DIFC and UAE pilot-customer development (estimate).</x:t>
  </x:si>
  <x:si>
    <x:t xml:space="preserve">DIFC/UAE fintech and trade events (first 6mo)</x:t>
  </x:si>
  <x:si>
    <x:t xml:space="preserve">Partner and pilot-customer events (estimate).</x:t>
  </x:si>
  <x:si>
    <x:t xml:space="preserve">INSURANCE (first-year, paid upfront)</x:t>
  </x:si>
  <x:si>
    <x:t xml:space="preserve">Professional indemnity (annual)</x:t>
  </x:si>
  <x:si>
    <x:t xml:space="preserve">Prepaid first-year insurance; do not also include Year 1 monthly insurance in P&amp;L.</x:t>
  </x:si>
  <x:si>
    <x:t xml:space="preserve">Cyber insurance (annual)</x:t>
  </x:si>
  <x:si>
    <x:t xml:space="preserve">D&amp;O insurance (annual)</x:t>
  </x:si>
  <x:si>
    <x:t xml:space="preserve">CONTINGENCY</x:t>
  </x:si>
  <x:si>
    <x:t xml:space="preserve">Contingency on one-off costs</x:t>
  </x:si>
  <x:si>
    <x:t xml:space="preserve">Applied to subtotal (estimate)</x:t>
  </x:si>
  <x:si>
    <x:t xml:space="preserve">Subtotal one-off costs (ex-contingency)</x:t>
  </x:si>
  <x:si>
    <x:t xml:space="preserve">Contingency amount</x:t>
  </x:si>
  <x:si>
    <x:t xml:space="preserve">TOTAL FIRST-6-MONTHS ONE-OFF COSTS</x:t>
  </x:si>
  <x:si>
    <x:t xml:space="preserve">*The £1,500 shareholder-agreement base case is the midpoint of public UK fixed-fee examples (£375–£3,000), not a legal quote. Complexity, investor rights and tax advice can increase it.</x:t>
  </x:si>
  <x:si>
    <x:t xml:space="preserve">https://founderdocuments.co.uk</x:t>
  </x:si>
  <x:si>
    <x:t xml:space="preserve">**The £25,000 UAE perimeter and partner-route allowance is a planning estimate for specialist advice and the pilot control pack—not a regulator charge. Replace it with a scoped UAE counsel quote.</x:t>
  </x:si>
  <x:si>
    <x:t xml:space="preserve">../docs/Dubai_Fintech_License_Requirements.md</x:t>
  </x:si>
  <x:si>
    <x:t xml:space="preserve">***The £30,000 smart-contract audit base case is a scoped planning allowance within published 2026 market ranges. Contract count, code complexity, documentation and urgency determine the final quote.</x:t>
  </x:si>
  <x:si>
    <x:t xml:space="preserve">https://www.zealynx.io/research/audit-ops/audit-pricing-2026</x:t>
  </x:si>
  <x:si>
    <x:t xml:space="preserve">Sensitivity Map</x:t>
  </x:si>
  <x:si>
    <x:t xml:space="preserve">Current 5-year model drivers, linked to the assumption rows that control each sensitivity.</x:t>
  </x:si>
  <x:si>
    <x:t xml:space="preserve">Use the links below to jump to the editable assumption. Scenario-driven rows use Low/Base/High; fixed rows use the active value in Assumptions column F.</x:t>
  </x:si>
  <x:si>
    <x:t xml:space="preserve">Rank</x:t>
  </x:si>
  <x:si>
    <x:t xml:space="preserve">Sensitivity lever</x:t>
  </x:si>
  <x:si>
    <x:t xml:space="preserve">Why it matters in this model</x:t>
  </x:si>
  <x:si>
    <x:t xml:space="preserve">Click to edit</x:t>
  </x:si>
  <x:si>
    <x:t xml:space="preserve">Related assumption rows</x:t>
  </x:si>
  <x:si>
    <x:t xml:space="preserve">Current model setting</x:t>
  </x:si>
  <x:si>
    <x:t xml:space="preserve">Outputs affected</x:t>
  </x:si>
  <x:si>
    <x:t xml:space="preserve">How to test it</x:t>
  </x:si>
  <x:si>
    <x:t xml:space="preserve">Deal volume</x:t>
  </x:si>
  <x:si>
    <x:t xml:space="preserve">Master adoption driver. Revenue, GMV, variable costs, onboarding activity, and cash-flow timing all scale from deal count.</x:t>
  </x:si>
  <x:si>
    <x:t xml:space="preserve">Assumptions!B11</x:t>
  </x:si>
  <x:si>
    <x:t xml:space="preserve">B11:B13; B155:B156</x:t>
  </x:si>
  <x:si>
    <x:t xml:space="preserve">Revenue, COGS, cash-flow break-even, funding ask</x:t>
  </x:si>
  <x:si>
    <x:t xml:space="preserve">Change deal counts by year or switch scenario in Assumptions!C4.</x:t>
  </x:si>
  <x:si>
    <x:t xml:space="preserve">Document intake mix</x:t>
  </x:si>
  <x:si>
    <x:t xml:space="preserve">Assumptions!B64</x:t>
  </x:si>
  <x:si>
    <x:t xml:space="preserve">B64:B72; B157:B162</x:t>
  </x:si>
  <x:si>
    <x:t xml:space="preserve">Move volume away from Tier C over time to test automation / eBL adoption.</x:t>
  </x:si>
  <x:si>
    <x:t xml:space="preserve">Tier price book</x:t>
  </x:si>
  <x:si>
    <x:t xml:space="preserve">Core revenue is tier-specific now. The old generic escrow fee is retired.</x:t>
  </x:si>
  <x:si>
    <x:t xml:space="preserve">Assumptions!B73</x:t>
  </x:si>
  <x:si>
    <x:t xml:space="preserve">B73:B84</x:t>
  </x:si>
  <x:si>
    <x:t xml:space="preserve">Revenue per deal, gross margin, break-even timing</x:t>
  </x:si>
  <x:si>
    <x:t xml:space="preserve">Adjust tier take rates, minimum fees, document fees, and dispute fees.</x:t>
  </x:si>
  <x:si>
    <x:t xml:space="preserve">Average deal value</x:t>
  </x:si>
  <x:si>
    <x:t xml:space="preserve">Tier-specific deal values</x:t>
  </x:si>
  <x:si>
    <x:t xml:space="preserve">Assumptions!B170:B175</x:t>
  </x:si>
  <x:si>
    <x:t xml:space="preserve">GMV, escrow fee revenue, revenue/deal</x:t>
  </x:si>
  <x:si>
    <x:t xml:space="preserve">Use the independent deal-value cases below; do not automatically combine ticket-size upside with the High volume scenario.</x:t>
  </x:si>
  <x:si>
    <x:t xml:space="preserve">Partner commercialization</x:t>
  </x:si>
  <x:si>
    <x:t xml:space="preserve">Partner counts create setup revenue and monthly minimums, but also affect integration/operating complexity.</x:t>
  </x:si>
  <x:si>
    <x:t xml:space="preserve">Assumptions!B17</x:t>
  </x:si>
  <x:si>
    <x:t xml:space="preserve">B17; B113; B163:B164; B125:B126</x:t>
  </x:si>
  <x:si>
    <x:t xml:space="preserve">Add-on revenue, customer acquisition, cash runway</x:t>
  </x:si>
  <x:si>
    <x:t xml:space="preserve">Change partner count rows and setup/monthly minimum fees together.</x:t>
  </x:si>
  <x:si>
    <x:t xml:space="preserve">Repeat usage / active customers</x:t>
  </x:si>
  <x:si>
    <x:t xml:space="preserve">Converts deal targets into implied active customers and checks whether adoption assumptions are believable.</x:t>
  </x:si>
  <x:si>
    <x:t xml:space="preserve">Assumptions!B110</x:t>
  </x:si>
  <x:si>
    <x:t xml:space="preserve">B110:B112; B165:B166</x:t>
  </x:si>
  <x:si>
    <x:t xml:space="preserve">Active customers, revenue/customer, sales load</x:t>
  </x:si>
  <x:si>
    <x:t xml:space="preserve">Lower repeat usage if customers are mostly one-off shipments.</x:t>
  </x:si>
  <x:si>
    <x:t xml:space="preserve">KYC/KYB onboarding economics</x:t>
  </x:si>
  <x:si>
    <x:t xml:space="preserve">Repeat-counterparty treatment affects both onboarding revenue and screening cost.</x:t>
  </x:si>
  <x:si>
    <x:t xml:space="preserve">Assumptions!B62</x:t>
  </x:si>
  <x:si>
    <x:t xml:space="preserve">B62; B19:B20; B120</x:t>
  </x:si>
  <x:si>
    <x:t xml:space="preserve">COGS, add-on revenue, margin on repeat customers</x:t>
  </x:si>
  <x:si>
    <x:t xml:space="preserve">Stress whether repeat customers require fresh checks every deal.</x:t>
  </x:si>
  <x:si>
    <x:t xml:space="preserve">Tier C paper / forensics recovery</x:t>
  </x:si>
  <x:si>
    <x:t xml:space="preserve">Tier C is the high-risk fallback. Margin depends on passing through the expensive handling and forensics work.</x:t>
  </x:si>
  <x:si>
    <x:t xml:space="preserve">Assumptions!B87</x:t>
  </x:si>
  <x:si>
    <x:t xml:space="preserve">B87; B90; B93; B121:B122</x:t>
  </x:si>
  <x:si>
    <x:t xml:space="preserve">Tier C gross margin, ops burden, risk reserve</x:t>
  </x:si>
  <x:si>
    <x:t xml:space="preserve">Increase Tier C costs or reduce pass-through to test downside exposure.</x:t>
  </x:si>
  <x:si>
    <x:t xml:space="preserve">Disputes and retained-risk reserves</x:t>
  </x:si>
  <x:si>
    <x:t xml:space="preserve">Disputes drive service fees, human handling cost, external forum cost, and wrongful-release/process-error reserves.</x:t>
  </x:si>
  <x:si>
    <x:t xml:space="preserve">Assumptions!B94</x:t>
  </x:si>
  <x:si>
    <x:t xml:space="preserve">B94:B99; B136:B148; B151:B153</x:t>
  </x:si>
  <x:si>
    <x:t xml:space="preserve">Risk costs, funding ask, gross margin</x:t>
  </x:si>
  <x:si>
    <x:t xml:space="preserve">Test a bad-doc environment by increasing Tier C dispute rates and forum cost.</x:t>
  </x:si>
  <x:si>
    <x:t xml:space="preserve">Headcount and salaries</x:t>
  </x:si>
  <x:si>
    <x:t xml:space="preserve">Payroll is the dominant fixed cost and the biggest determinant of burn before scale.</x:t>
  </x:si>
  <x:si>
    <x:t xml:space="preserve">Assumptions!B39</x:t>
  </x:si>
  <x:si>
    <x:t xml:space="preserve">B39:B51</x:t>
  </x:si>
  <x:si>
    <x:t xml:space="preserve">EBITDA, burn, funding ask, break-even</x:t>
  </x:si>
  <x:si>
    <x:t xml:space="preserve">Delay hires or increase salary/on-cost assumptions to test runway.</x:t>
  </x:si>
  <x:si>
    <x:t xml:space="preserve">Fixed opex and compliance</x:t>
  </x:si>
  <x:si>
    <x:t xml:space="preserve">Ongoing legal, compliance, insurance, tooling, and infrastructure spend sets the monthly burn floor.</x:t>
  </x:si>
  <x:si>
    <x:t xml:space="preserve">Assumptions!B26</x:t>
  </x:si>
  <x:si>
    <x:t xml:space="preserve">B26:B37; B132:B135; B141:B143</x:t>
  </x:si>
  <x:si>
    <x:t xml:space="preserve">Operating burn, cash runway, funding ask</x:t>
  </x:si>
  <x:si>
    <x:t xml:space="preserve">Raise compliance/legal/insurance costs for regulated-market downside.</x:t>
  </x:si>
  <x:si>
    <x:t xml:space="preserve">Operating reserve and UAE launch timing</x:t>
  </x:si>
  <x:si>
    <x:t xml:space="preserve">Funding need is driven by the first paid pilot, the later VARA stage, peak monthly deficit and the selected unrestricted operating reserve.</x:t>
  </x:si>
  <x:si>
    <x:t xml:space="preserve">Launch Readiness!A5</x:t>
  </x:si>
  <x:si>
    <x:t xml:space="preserve">B5:B6; F6; F14</x:t>
  </x:si>
  <x:si>
    <x:t xml:space="preserve">Funding ask, runway, first-revenue timing, future scale capital</x:t>
  </x:si>
  <x:si>
    <x:t xml:space="preserve">Change the timing case or operating-reserve months; workforce start months remain explicit.</x:t>
  </x:si>
  <x:si>
    <x:t xml:space="preserve">Customer churn</x:t>
  </x:si>
  <x:si>
    <x:t xml:space="preserve">Raises replacement acquisition required to maintain net annual deal targets.</x:t>
  </x:si>
  <x:si>
    <x:t xml:space="preserve">Assumptions!B178</x:t>
  </x:si>
  <x:si>
    <x:t xml:space="preserve">Gross acquisition requirement; sales capacity</x:t>
  </x:si>
  <x:si>
    <x:t xml:space="preserve">Raise or lower churn. Planned deal volumes remain net targets unless the commercial scenarios are also changed.</x:t>
  </x:si>
  <x:si>
    <x:t xml:space="preserve">Accuracy check</x:t>
  </x:si>
  <x:si>
    <x:t xml:space="preserve">The old generic escrow-fee sensitivity is removed. Pricing sensitivity now points to tier-specific take rates, minimum fees, document/review fees, and dispute/amendment fees in Assumptions rows 72-83.</x:t>
  </x:si>
  <x:si>
    <x:t xml:space="preserve">Pilot-to-paid conversion is not a standalone model input. It is represented by deal volume, partner count, and repeat usage / active customer assumptions.</x:t>
  </x:si>
  <x:si>
    <x:t xml:space="preserve">DEAL-VALUE SENSITIVITY — INDEPENDENT OF COMMERCIAL SCENARIO</x:t>
  </x:si>
  <x:si>
    <x:t xml:space="preserve">Tier</x:t>
  </x:si>
  <x:si>
    <x:t xml:space="preserve">Year 1 (GBP)</x:t>
  </x:si>
  <x:si>
    <x:t xml:space="preserve">Annual growth</x:t>
  </x:si>
  <x:si>
    <x:t xml:space="preserve">Year 5 (GBP)</x:t>
  </x:si>
  <x:si>
    <x:t xml:space="preserve">Commercial interpretation</x:t>
  </x:si>
  <x:si>
    <x:t xml:space="preserve">Model use</x:t>
  </x:si>
  <x:si>
    <x:t xml:space="preserve">Source / status</x:t>
  </x:si>
  <x:si>
    <x:t xml:space="preserve">A</x:t>
  </x:si>
  <x:si>
    <x:t xml:space="preserve">Conservative initial use and expansion.</x:t>
  </x:si>
  <x:si>
    <x:t xml:space="preserve">Sensitivity only; not linked to the scenario engine.</x:t>
  </x:si>
  <x:si>
    <x:t xml:space="preserve">Deal-value research, 11 Aug 2026</x:t>
  </x:si>
  <x:si>
    <x:t xml:space="preserve">Implemented operating assumption.</x:t>
  </x:si>
  <x:si>
    <x:t xml:space="preserve">Strong adoption and wallet expansion.</x:t>
  </x:si>
  <x:si>
    <x:t xml:space="preserve">B</x:t>
  </x:si>
  <x:si>
    <x:t xml:space="preserve">Commercially stressed; fee burden is material at this size.</x:t>
  </x:si>
  <x:si>
    <x:t xml:space="preserve">Strong adoption and repeat usage.</x:t>
  </x:si>
  <x:si>
    <x:t xml:space="preserve">C</x:t>
  </x:si>
  <x:si>
    <x:t xml:space="preserve">Commercially stressed; customer fee is approximately 4% at GBP 20k.</x:t>
  </x:si>
  <x:si>
    <x:t xml:space="preserve">Larger and more frequent repeat transactions.</x:t>
  </x:si>
  <x:si>
    <x:t xml:space="preserve">Sensitivity cases are deliberately separate from Low / Base / High customer-volume scenarios to prevent unintentional growth stacking.</x:t>
  </x:si>
  <x:si>
    <x:t xml:space="preserve">Risk Register — UAE Pilot, Pricing &amp; Model Assumptions</x:t>
  </x:si>
  <x:si>
    <x:t xml:space="preserve">Presentation-grade assumptions requiring UAE counsel, regulated-partner confirmation or firm quotes before live use.</x:t>
  </x:si>
  <x:si>
    <x:t xml:space="preserve">Assumption / item</x:t>
  </x:si>
  <x:si>
    <x:t xml:space="preserve">Risk level</x:t>
  </x:si>
  <x:si>
    <x:t xml:space="preserve">Why it's high-risk / what to confirm</x:t>
  </x:si>
  <x:si>
    <x:t xml:space="preserve">Confirm with</x:t>
  </x:si>
  <x:si>
    <x:t xml:space="preserve">DIFC partner-led pilot permission basis</x:t>
  </x:si>
  <x:si>
    <x:t xml:space="preserve">CRITICAL</x:t>
  </x:si>
  <x:si>
    <x:t xml:space="preserve">The Month-12 pilot assumes a regulated partner can support the relevant custody/settlement permissions and approve the operating model. Responsibilities and customer limits remain unconfirmed.</x:t>
  </x:si>
  <x:si>
    <x:t xml:space="preserve">UAE regulatory counsel + regulated partner</x:t>
  </x:si>
  <x:si>
    <x:t xml:space="preserve">VARA licensing perimeter for UAE-wide scale</x:t>
  </x:si>
  <x:si>
    <x:t xml:space="preserve">The Month-30 scale case assumes the required VARA categories, capital and operating controls can be secured. Current model values are planning assumptions, not approval.</x:t>
  </x:si>
  <x:si>
    <x:t xml:space="preserve">VARA counsel / regulator</x:t>
  </x:si>
  <x:si>
    <x:t xml:space="preserve">Escrow take rate &amp; revenue lines</x:t>
  </x:si>
  <x:si>
    <x:t xml:space="preserve">HIGH</x:t>
  </x:si>
  <x:si>
    <x:t xml:space="preserve">All revenue figures are 'estimate' quality — no clean public documentary-escrow comparable. The entire revenue model is a hypothesis until validated in paid pilots.</x:t>
  </x:si>
  <x:si>
    <x:t xml:space="preserve">Pilot pricing tests</x:t>
  </x:si>
  <x:si>
    <x:t xml:space="preserve">Trade Escrow Agreement enforceability</x:t>
  </x:si>
  <x:si>
    <x:t xml:space="preserve">Bespoke contract governing on-chain release of funds against off-chain documents; enforceability across buyer/seller jurisdictions is untested.</x:t>
  </x:si>
  <x:si>
    <x:t xml:space="preserve">Trade-finance + crypto counsel</x:t>
  </x:si>
  <x:si>
    <x:t xml:space="preserve">Smart-contract audit scope &amp; cost</x:t>
  </x:si>
  <x:si>
    <x:t xml:space="preserve">MEDIUM</x:t>
  </x:si>
  <x:si>
    <x:t xml:space="preserve">Audit cost depends on final contract complexity; a contract holding client funds warrants a top-tier audit and possibly re-audit after changes.</x:t>
  </x:si>
  <x:si>
    <x:t xml:space="preserve">Audit firm quote (scoped)</x:t>
  </x:si>
  <x:si>
    <x:t xml:space="preserve">UAE AML/KYC obligations and MLRO split</x:t>
  </x:si>
  <x:si>
    <x:t xml:space="preserve">Internal compliance FTE owns controls; the MLRO/specialist retainer is advisory and escalation support. Partner responsibilities must be documented to avoid gaps or duplicate costs.</x:t>
  </x:si>
  <x:si>
    <x:t xml:space="preserve">MLRO + partner compliance lead</x:t>
  </x:si>
  <x:si>
    <x:t xml:space="preserve">DIFC/UAE data protection</x:t>
  </x:si>
  <x:si>
    <x:t xml:space="preserve">Trade documents may contain personal data. DIFC/UAE processing, transfer, retention and breach requirements must be mapped before pilot launch.</x:t>
  </x:si>
  <x:si>
    <x:t xml:space="preserve">UAE data-protection counsel</x:t>
  </x:si>
  <x:si>
    <x:t xml:space="preserve">Insurance availability &amp; loading</x:t>
  </x:si>
  <x:si>
    <x:t xml:space="preserve">Crypto/fintech PI, cyber and D&amp;O can be hard to place and carry heavy loadings or exclusions (e.g. crypto exclusions). Quotes will vary widely.</x:t>
  </x:si>
  <x:si>
    <x:t xml:space="preserve">Specialist fintech insurance broker</x:t>
  </x:si>
  <x:si>
    <x:t xml:space="preserve">Salary &amp; contractor benchmarks</x:t>
  </x:si>
  <x:si>
    <x:t xml:space="preserve">LOW</x:t>
  </x:si>
  <x:si>
    <x:t xml:space="preserve">Ranges are benchmark-quality, not offers; actual hires may sit outside the band, especially scarce crypto/compliance talent.</x:t>
  </x:si>
  <x:si>
    <x:t xml:space="preserve">Recruiter / live market data</x:t>
  </x:si>
  <x:si>
    <x:t xml:space="preserve">Funding size &amp; timing</x:t>
  </x:si>
  <x:si>
    <x:t xml:space="preserve">The initial raise and later VARA capital call are modelled separately. Funding availability and investor timing may not match the planned launch milestones.</x:t>
  </x:si>
  <x:si>
    <x:t xml:space="preserve">Pre-seed/seed investors</x:t>
  </x:si>
  <x:si>
    <x:t xml:space="preserve">Goods delivery / quality / performance risk</x:t>
  </x:si>
  <x:si>
    <x:t xml:space="preserve">EXCLUDED</x:t>
  </x:si>
  <x:si>
    <x:t xml:space="preserve">Core premise: Blockmediary releases against documents, not actual delivery/condition. Must be drafted explicitly in TEA and customer terms.</x:t>
  </x:si>
  <x:si>
    <x:t xml:space="preserve">Trade finance counsel</x:t>
  </x:si>
  <x:si>
    <x:t xml:space="preserve">Wrongful release / process error</x:t>
  </x:si>
  <x:si>
    <x:t xml:space="preserve">Retained risk: if our rules engine, examiner, API integration or release workflow makes a bad decision, we may face claims.</x:t>
  </x:si>
  <x:si>
    <x:t xml:space="preserve">PI/E&amp;O insurer + counsel</x:t>
  </x:si>
  <x:si>
    <x:t xml:space="preserve">Document-source failure or outage</x:t>
  </x:si>
  <x:si>
    <x:t xml:space="preserve">Carrier/eBL/API source may be unavailable or wrong; model includes fallback and integration costs.</x:t>
  </x:si>
  <x:si>
    <x:t xml:space="preserve">Carrier/eBL partners</x:t>
  </x:si>
  <x:si>
    <x:t xml:space="preserve">Tier C paper/originals risk</x:t>
  </x:si>
  <x:si>
    <x:t xml:space="preserve">Manual paper, courier, originals and forensics create higher operational error and dispute risk.</x:t>
  </x:si>
  <x:si>
    <x:t xml:space="preserve">Forensics partner + ops lead</x:t>
  </x:si>
  <x:si>
    <x:t xml:space="preserve">Partner indemnities / pass-throughs</x:t>
  </x:si>
  <x:si>
    <x:t xml:space="preserve">Need contracts with eBL, carrier API, forensics, courier and KYC providers to push source failures and direct costs outward.</x:t>
  </x:si>
  <x:si>
    <x:t xml:space="preserve">Commercial counsel</x:t>
  </x:si>
  <x:si>
    <x:t xml:space="preserve">Operational error reserve adequacy</x:t>
  </x:si>
  <x:si>
    <x:t xml:space="preserve">Reserve is assumption-based, not actuarial. Must be revisited after pilot loss/dispute history.</x:t>
  </x:si>
  <x:si>
    <x:t xml:space="preserve">CFO + insurer</x:t>
  </x:si>
  <x:si>
    <x:t xml:space="preserve">Regulatory delay reserve</x:t>
  </x:si>
  <x:si>
    <x:t xml:space="preserve">Base planning assumes paid pilot Month 12 and VARA scale Month 30. Rework, partner conditions or regulator feedback can move both dates and increase operating funding need.</x:t>
  </x:si>
  <x:si>
    <x:t xml:space="preserve">UAE counsel / partner / investors</x:t>
  </x:si>
  <x:si>
    <x:t xml:space="preserve">Yield share upside</x:t>
  </x:si>
  <x:si>
    <x:t xml:space="preserve">Kept off in base case. Only use if regulated yield infrastructure and customer terms permit it.</x:t>
  </x:si>
  <x:si>
    <x:t xml:space="preserve">Crypto/payments counsel</x:t>
  </x:si>
  <x:si>
    <x:t xml:space="preserve">Driver Tables — Researched Cost &amp; Revenue Assumptions</x:t>
  </x:si>
  <x:si>
    <x:t xml:space="preserve">Reference ranges in native quoted currency. The operating model itself is controlled from Assumptions: fixed inputs use Assumptions column F; scenario drivers use Low/Base/High.</x:t>
  </x:si>
  <x:si>
    <x:t xml:space="preserve">Cost/Revenue driver</x:t>
  </x:si>
  <x:si>
    <x:t xml:space="preserve">Reference low</x:t>
  </x:si>
  <x:si>
    <x:t xml:space="preserve">Model / reference base</x:t>
  </x:si>
  <x:si>
    <x:t xml:space="preserve">Reference high</x:t>
  </x:si>
  <x:si>
    <x:t xml:space="preserve">Currency</x:t>
  </x:si>
  <x:si>
    <x:t xml:space="preserve">Source quality</x:t>
  </x:si>
  <x:si>
    <x:t xml:space="preserve">Source URL / note</x:t>
  </x:si>
  <x:si>
    <x:t xml:space="preserve">Modelling note</x:t>
  </x:si>
  <x:si>
    <x:t xml:space="preserve">Model usage</x:t>
  </x:si>
  <x:si>
    <x:t xml:space="preserve">Tiered escrow take rates</x:t>
  </x:si>
  <x:si>
    <x:t xml:space="preserve">Internal competitor analysis: Tazapay, Truzo, XREX and Komgo; final pilot pricing remains to be tested.</x:t>
  </x:si>
  <x:si>
    <x:t xml:space="preserve">Model uses one fixed Assumptions value; Low/Base/High scenarios do not change pricing.</x:t>
  </x:si>
  <x:si>
    <x:t xml:space="preserve">Reference; model input in Assumptions</x:t>
  </x:si>
  <x:si>
    <x:t xml:space="preserve">Minimum escrow fee</x:t>
  </x:si>
  <x:si>
    <x:t xml:space="preserve">A £150 / B £250 / C £500</x:t>
  </x:si>
  <x:si>
    <x:t xml:space="preserve">Single price book</x:t>
  </x:si>
  <x:si>
    <x:t xml:space="preserve">Protects small-deal margin</x:t>
  </x:si>
  <x:si>
    <x:t xml:space="preserve">Protects margin on small deals</x:t>
  </x:si>
  <x:si>
    <x:t xml:space="preserve">Document review fee</x:t>
  </x:si>
  <x:si>
    <x:t xml:space="preserve">A £25 / B £90 / C £300</x:t>
  </x:si>
  <x:si>
    <x:t xml:space="preserve">Below familiar LC discrepancy/admin fee burden</x:t>
  </x:si>
  <x:si>
    <x:t xml:space="preserve">Flat per-deal doc-check charge</x:t>
  </x:si>
  <x:si>
    <x:t xml:space="preserve">A £100 / B £200 / C £500</x:t>
  </x:si>
  <x:si>
    <x:t xml:space="preserve">Admin-fee comparable</x:t>
  </x:si>
  <x:si>
    <x:t xml:space="preserve">Charged only on disputed/amended deals</x:t>
  </x:si>
  <x:si>
    <x:t xml:space="preserve">SaaS/API partner fee</x:t>
  </x:si>
  <x:si>
    <x:t xml:space="preserve">White-label/API from Yr2</x:t>
  </x:si>
  <x:si>
    <x:t xml:space="preserve">× partners × 12</x:t>
  </x:si>
  <x:si>
    <x:t xml:space="preserve">Pilot→paid conversion</x:t>
  </x:si>
  <x:si>
    <x:t xml:space="preserve">benchmark</x:t>
  </x:si>
  <x:si>
    <x:t xml:space="preserve">B2B fintech pilots convert ~20–55%; feeds deal ramp</x:t>
  </x:si>
  <x:si>
    <x:t xml:space="preserve">Drives Yr1→Yr2 deal growth</x:t>
  </x:si>
  <x:si>
    <x:t xml:space="preserve">Scenario driver</x:t>
  </x:si>
  <x:si>
    <x:t xml:space="preserve">Startup cost</x:t>
  </x:si>
  <x:si>
    <x:t xml:space="preserve">Administrative company setup allowance; UAE launch permissions are modelled separately in Launch Readiness.</x:t>
  </x:si>
  <x:si>
    <x:t xml:space="preserve">Administrative setup only.</x:t>
  </x:si>
  <x:si>
    <x:t xml:space="preserve">Registered office / address service</x:t>
  </x:si>
  <x:si>
    <x:t xml:space="preserve">Compliance/legal</x:t>
  </x:si>
  <x:si>
    <x:t xml:space="preserve">DIFC/UAE operating-base quote required.</x:t>
  </x:si>
  <x:si>
    <x:t xml:space="preserve">Six-month planning allowance.</x:t>
  </x:si>
  <x:si>
    <x:t xml:space="preserve">Identity and company-administration allowance.</x:t>
  </x:si>
  <x:si>
    <x:t xml:space="preserve">Shareholder agreement</x:t>
  </x:si>
  <x:si>
    <x:t xml:space="preserve">https://founderdocuments.co.uk / lawyersonline.co.uk</x:t>
  </x:si>
  <x:si>
    <x:t xml:space="preserve">Fixed-fee range</x:t>
  </x:si>
  <x:si>
    <x:t xml:space="preserve">IP assignment</x:t>
  </x:si>
  <x:si>
    <x:t xml:space="preserve">Founder/contractor IP into NewCo</x:t>
  </x:si>
  <x:si>
    <x:t xml:space="preserve">Terms + privacy policy</x:t>
  </x:si>
  <x:si>
    <x:t xml:space="preserve">Fintech-grade</x:t>
  </x:si>
  <x:si>
    <x:t xml:space="preserve">Trade Escrow Agreement (bespoke)</x:t>
  </x:si>
  <x:si>
    <x:t xml:space="preserve">Core product contract; bespoke</x:t>
  </x:si>
  <x:si>
    <x:t xml:space="preserve">HIGH uncertainty</x:t>
  </x:si>
  <x:si>
    <x:t xml:space="preserve">UAE regulatory perimeter + partner-route advice</x:t>
  </x:si>
  <x:si>
    <x:t xml:space="preserve">docs/Dubai_Fintech_License_Requirements.md plus specialist UAE counsel.</x:t>
  </x:si>
  <x:si>
    <x:t xml:space="preserve">DIFC partner pilot and later VARA scale perimeter.</x:t>
  </x:si>
  <x:si>
    <x:t xml:space="preserve">UAE counsel and regulated-partner operating requirements.</x:t>
  </x:si>
  <x:si>
    <x:t xml:space="preserve">Pilot control pack and MLRO/escalation split.</x:t>
  </x:si>
  <x:si>
    <x:t xml:space="preserve">DIFC data-protection setup</x:t>
  </x:si>
  <x:si>
    <x:t xml:space="preserve">DIFC/UAE data-protection requirements; verify current primary rules.</x:t>
  </x:si>
  <x:si>
    <x:t xml:space="preserve">DPIA, processing records and transfer mapping.</x:t>
  </x:si>
  <x:si>
    <x:t xml:space="preserve">Planning allowance; verify current DIFC filing requirements and fees.</x:t>
  </x:si>
  <x:si>
    <x:t xml:space="preserve">Administrative data-protection filing allowance.</x:t>
  </x:si>
  <x:si>
    <x:t xml:space="preserve">Smart-contract audit</x:t>
  </x:si>
  <x:si>
    <x:t xml:space="preserve">Moderate-complexity escrow</x:t>
  </x:si>
  <x:si>
    <x:t xml:space="preserve">Penetration test</x:t>
  </x:si>
  <x:si>
    <x:t xml:space="preserve">Pre-launch web app pentest</x:t>
  </x:si>
  <x:si>
    <x:t xml:space="preserve">Smart-contract development</x:t>
  </x:si>
  <x:si>
    <x:t xml:space="preserve">Contract build (days×rate)</x:t>
  </x:si>
  <x:si>
    <x:t xml:space="preserve">Web/full-stack build</x:t>
  </x:si>
  <x:si>
    <x:t xml:space="preserve">MVP incl integrations</x:t>
  </x:si>
  <x:si>
    <x:t xml:space="preserve">UI/UX design</x:t>
  </x:si>
  <x:si>
    <x:t xml:space="preserve">Brand + pitch deck</x:t>
  </x:si>
  <x:si>
    <x:t xml:space="preserve">Marketing website + domain</x:t>
  </x:si>
  <x:si>
    <x:t xml:space="preserve">vendor/estimate</x:t>
  </x:si>
  <x:si>
    <x:t xml:space="preserve">Domain/Workspace vendor-priced</x:t>
  </x:si>
  <x:si>
    <x:t xml:space="preserve">667</x:t>
  </x:si>
  <x:si>
    <x:t xml:space="preserve">Business development</x:t>
  </x:si>
  <x:si>
    <x:t xml:space="preserve">ME travel raises high end</x:t>
  </x:si>
  <x:si>
    <x:t xml:space="preserve">Claude API per document</x:t>
  </x:si>
  <x:si>
    <x:t xml:space="preserve">COGS/variable cost</x:t>
  </x:si>
  <x:si>
    <x:t xml:space="preserve">$</x:t>
  </x:si>
  <x:si>
    <x:t xml:space="preserve">vendor</x:t>
  </x:si>
  <x:si>
    <x:t xml:space="preserve">https://docs.claude.com (Haiku $1/$5, Sonnet $3/$15 per MTok)</x:t>
  </x:si>
  <x:si>
    <x:t xml:space="preserve">Use Haiku+caching; batch −50%</x:t>
  </x:si>
  <x:si>
    <x:t xml:space="preserve">OCR alternative (AWS Textract etc.)</x:t>
  </x:si>
  <x:si>
    <x:t xml:space="preserve">AWS Textract ~$1.5/1000 pages forms-tier</x:t>
  </x:si>
  <x:si>
    <x:t xml:space="preserve">Fallback/complement to LLM</x:t>
  </x:si>
  <x:si>
    <x:t xml:space="preserve">KYB business verification</x:t>
  </x:si>
  <x:si>
    <x:t xml:space="preserve">https://didit.me (fr $2); https://sumsub.com/pricing</x:t>
  </x:si>
  <x:si>
    <x:t xml:space="preserve">Per entity</x:t>
  </x:si>
  <x:si>
    <x:t xml:space="preserve">KYC/UBO + sanctions</x:t>
  </x:si>
  <x:si>
    <x:t xml:space="preserve">https://sumsub.com/pricing ($1.35); Didit $0.30</x:t>
  </x:si>
  <x:si>
    <x:t xml:space="preserve">Per counterparty/UBO</x:t>
  </x:si>
  <x:si>
    <x:t xml:space="preserve">Human document review</x:t>
  </x:si>
  <x:si>
    <x:t xml:space="preserve">Human-in-loop; automate down over time</x:t>
  </x:si>
  <x:si>
    <x:t xml:space="preserve">Scales with volume</x:t>
  </x:si>
  <x:si>
    <x:t xml:space="preserve">Blockchain gas (Base L2)</x:t>
  </x:si>
  <x:si>
    <x:t xml:space="preserve">official</x:t>
  </x:si>
  <x:si>
    <x:t xml:space="preserve">https://docs.base.org/.../network-fees (~$0.002/200k gas)</x:t>
  </x:si>
  <x:si>
    <x:t xml:space="preserve">Several txns/deal (deploy+release)</x:t>
  </x:si>
  <x:si>
    <x:t xml:space="preserve">RPC/node provider</x:t>
  </x:si>
  <x:si>
    <x:t xml:space="preserve">Alchemy/QuickNode metered compute units</x:t>
  </x:si>
  <x:si>
    <x:t xml:space="preserve">Doc + ledger storage</x:t>
  </x:si>
  <x:si>
    <x:t xml:space="preserve">S3 + Glacier audit ledger</x:t>
  </x:si>
  <x:si>
    <x:t xml:space="preserve">Blended</x:t>
  </x:si>
  <x:si>
    <x:t xml:space="preserve">Manual labour</x:t>
  </x:si>
  <x:si>
    <x:t xml:space="preserve">× disputed deals</x:t>
  </x:si>
  <x:si>
    <x:t xml:space="preserve">Fixed opex</x:t>
  </x:si>
  <x:si>
    <x:t xml:space="preserve">https://vercel.com/pricing ($20/seat) + AWS usage</x:t>
  </x:si>
  <x:si>
    <x:t xml:space="preserve">Watch usage overages</x:t>
  </x:si>
  <x:si>
    <x:t xml:space="preserve">Managed Postgres + S3</x:t>
  </x:si>
  <x:si>
    <x:t xml:space="preserve">Monitoring/logging/security</x:t>
  </x:si>
  <x:si>
    <x:t xml:space="preserve">Sentry/Datadog/Snyk</x:t>
  </x:si>
  <x:si>
    <x:t xml:space="preserve">GitHub $4–21/user</x:t>
  </x:si>
  <x:si>
    <x:t xml:space="preserve">Google Workspace</x:t>
  </x:si>
  <x:si>
    <x:t xml:space="preserve">~£12/user Business Standard</x:t>
  </x:si>
  <x:si>
    <x:t xml:space="preserve">HubSpot/Pipedrive</x:t>
  </x:si>
  <x:si>
    <x:t xml:space="preserve">Outsourced</x:t>
  </x:si>
  <x:si>
    <x:t xml:space="preserve">Legal retainer</x:t>
  </x:si>
  <x:si>
    <x:t xml:space="preserve">Ongoing commercial/reg</x:t>
  </x:si>
  <x:si>
    <x:t xml:space="preserve">benchmark/estimate</x:t>
  </x:si>
  <x:si>
    <x:t xml:space="preserve">Fractional MLRO/consultant</x:t>
  </x:si>
  <x:si>
    <x:t xml:space="preserve">Marketing / conferences</x:t>
  </x:si>
  <x:si>
    <x:t xml:space="preserve">Insurance PI+cyber+D&amp;O</x:t>
  </x:si>
  <x:si>
    <x:t xml:space="preserve">Superscript/Lockton fintech; PI+cyber+D&amp;O</x:t>
  </x:si>
  <x:si>
    <x:t xml:space="preserve">Annual /12; fintech loading</x:t>
  </x:si>
  <x:si>
    <x:t xml:space="preserve">HR</x:t>
  </x:si>
  <x:si>
    <x:t xml:space="preserve">Pre-seed founder norm</x:t>
  </x:si>
  <x:si>
    <x:t xml:space="preserve">Software engineer salary</x:t>
  </x:si>
  <x:si>
    <x:t xml:space="preserve">https://savingtool.co.uk; glassdoor UK fintech SWE</x:t>
  </x:si>
  <x:si>
    <x:t xml:space="preserve">https://www.morganmckinley.com/uk/salary-guide/data/compliance-officer/london</x:t>
  </x:si>
  <x:si>
    <x:t xml:space="preserve">FS compliance officer</x:t>
  </x:si>
  <x:si>
    <x:t xml:space="preserve">15% above £5,000 ST</x:t>
  </x:si>
  <x:si>
    <x:t xml:space="preserve">Min 3% employer</x:t>
  </x:si>
  <x:si>
    <x:t xml:space="preserve">Smart-contract dev day rate</x:t>
  </x:si>
  <x:si>
    <x:t xml:space="preserve">Specialist Solidity contractor</x:t>
  </x:si>
  <x:si>
    <x:t xml:space="preserve">Reference benchmark only; Startup 6mo uses project-level cost estimates.</x:t>
  </x:si>
  <x:si>
    <x:t xml:space="preserve">Full-stack dev day rate</x:t>
  </x:si>
  <x:si>
    <x:t xml:space="preserve">Inside/outside IR35 varies</x:t>
  </x:si>
  <x:si>
    <x:t xml:space="preserve">Compliance consultant day rate</x:t>
  </x:si>
  <x:si>
    <x:t xml:space="preserve">Crypto reg specialist</x:t>
  </x:si>
  <x:si>
    <x:t xml:space="preserve">UX/design day rate</x:t>
  </x:si>
  <x:si>
    <x:t xml:space="preserve">Pre-seed raise (UK/EU)</x:t>
  </x:si>
  <x:si>
    <x:t xml:space="preserve">Funding</x:t>
  </x:si>
  <x:si>
    <x:t xml:space="preserve">Carta/PitchBook; UK/EU pre-seed via SAFE</x:t>
  </x:si>
  <x:si>
    <x:t xml:space="preserve">SAFE common &lt;£4M-equiv</x:t>
  </x:si>
  <x:si>
    <x:t xml:space="preserve">Seed raise (UK/EU)</x:t>
  </x:si>
  <x:si>
    <x:t xml:space="preserve">Median seed $2.5–3.5M</x:t>
  </x:si>
  <x:si>
    <x:t xml:space="preserve">Priced round</x:t>
  </x:si>
  <x:si>
    <x:t xml:space="preserve">Seed raise (Middle East)</x:t>
  </x:si>
  <x:si>
    <x:t xml:space="preserve">ME avg seed ~$3.7M</x:t>
  </x:si>
  <x:si>
    <x:t xml:space="preserve">Higher dilution ~25%</x:t>
  </x:si>
  <x:si>
    <x:t xml:space="preserve">Pre-seed dilution</x:t>
  </x:si>
  <x:si>
    <x:t xml:space="preserve">Carta State of Pre-Seed</x:t>
  </x:si>
  <x:si>
    <x:t xml:space="preserve">Runway buffer (regulated fintech)</x:t>
  </x:si>
  <x:si>
    <x:t xml:space="preserve">months</x:t>
  </x:si>
  <x:si>
    <x:t xml:space="preserve">Regulated fintech carries longer buffer</x:t>
  </x:si>
  <x:si>
    <x:t xml:space="preserve">Cash buffer guidance</x:t>
  </x:si>
  <x:si>
    <x:t xml:space="preserve">Tier A/B/C mix by year</x:t>
  </x:si>
  <x:si>
    <x:t xml:space="preserve">Revenue / risk</x:t>
  </x:si>
  <x:si>
    <x:t xml:space="preserve">See Assumptions rows 75-83</x:t>
  </x:si>
  <x:si>
    <x:t xml:space="preserve">Base: A 15%-&gt;30%-&gt;45%; B 45%-&gt;45%-&gt;40%; C 40%-&gt;25%-&gt;15%</x:t>
  </x:si>
  <x:si>
    <x:t xml:space="preserve">Upside shifts faster to eBL</x:t>
  </x:si>
  <x:si>
    <x:t xml:space="preserve">% of deals</x:t>
  </x:si>
  <x:si>
    <x:t xml:space="preserve">Derived from slide-09 six-layer verification stack and slide-10 tier mix</x:t>
  </x:si>
  <x:si>
    <x:t xml:space="preserve">Feeds Tier Economics</x:t>
  </x:si>
  <x:si>
    <x:t xml:space="preserve">Tier A eBL take rate/min fee</x:t>
  </x:si>
  <x:si>
    <x:t xml:space="preserve">% GMV / GBP</x:t>
  </x:si>
  <x:si>
    <x:t xml:space="preserve">Tier A eBL/source-of-truth rail; competitive entry price. Source: docs/Competitor-analysis.md.</x:t>
  </x:si>
  <x:si>
    <x:t xml:space="preserve">Single price book; commercial scenarios change adoption and mix, not pricing.</x:t>
  </x:si>
  <x:si>
    <x:t xml:space="preserve">Tier B carrier/API take rate/min fee</x:t>
  </x:si>
  <x:si>
    <x:t xml:space="preserve">Tier B carrier/API verification; mid-tier escrow price. Source: docs/Competitor-analysis.md.</x:t>
  </x:si>
  <x:si>
    <x:t xml:space="preserve">Tier C paper take rate/min fee</x:t>
  </x:si>
  <x:si>
    <x:t xml:space="preserve">Tier C paper/originals fallback; premium manual price. Source: docs/Competitor-analysis.md.</x:t>
  </x:si>
  <x:si>
    <x:t xml:space="preserve">estimate/quote-based</x:t>
  </x:si>
  <x:si>
    <x:t xml:space="preserve">eBL platform/API validation</x:t>
  </x:si>
  <x:si>
    <x:t xml:space="preserve">Model uses one fixed Assumptions value unless explicitly listed as a scenario driver.</x:t>
  </x:si>
  <x:si>
    <x:t xml:space="preserve">DCSA/carrier verification</x:t>
  </x:si>
  <x:si>
    <x:t xml:space="preserve">Courier/originals/forensics partner</x:t>
  </x:si>
  <x:si>
    <x:t xml:space="preserve">Light examiner time</x:t>
  </x:si>
  <x:si>
    <x:t xml:space="preserve">Examiner plus source check</x:t>
  </x:si>
  <x:si>
    <x:t xml:space="preserve">Paper/manual examiner workflow</x:t>
  </x:si>
  <x:si>
    <x:t xml:space="preserve">Risk</x:t>
  </x:si>
  <x:si>
    <x:t xml:space="preserve">2%</x:t>
  </x:si>
  <x:si>
    <x:t xml:space="preserve">4%</x:t>
  </x:si>
  <x:si>
    <x:t xml:space="preserve">7%</x:t>
  </x:si>
  <x:si>
    <x:t xml:space="preserve">Lower document-source risk</x:t>
  </x:si>
  <x:si>
    <x:t xml:space="preserve">6%</x:t>
  </x:si>
  <x:si>
    <x:t xml:space="preserve">10%</x:t>
  </x:si>
  <x:si>
    <x:t xml:space="preserve">15%</x:t>
  </x:si>
  <x:si>
    <x:t xml:space="preserve">12%</x:t>
  </x:si>
  <x:si>
    <x:t xml:space="preserve">20%</x:t>
  </x:si>
  <x:si>
    <x:t xml:space="preserve">30%</x:t>
  </x:si>
  <x:si>
    <x:t xml:space="preserve">Tier A/B/C docs per deal</x:t>
  </x:si>
  <x:si>
    <x:t xml:space="preserve">A2/B4/C6</x:t>
  </x:si>
  <x:si>
    <x:t xml:space="preserve">A3/B6/C9</x:t>
  </x:si>
  <x:si>
    <x:t xml:space="preserve">A4/B8/C12</x:t>
  </x:si>
  <x:si>
    <x:t xml:space="preserve">Different intake methods imply different document packs</x:t>
  </x:si>
  <x:si>
    <x:t xml:space="preserve">MODEL CHECKS</x:t>
  </x:si>
  <x:si>
    <x:t xml:space="preserve">Green status means the model reconciles mechanically. UAE partner, DIFC and VARA assumptions remain presentation estimates pending counsel and regulator confirmation.</x:t>
  </x:si>
  <x:si>
    <x:t xml:space="preserve">Overall model status</x:t>
  </x:si>
  <x:si>
    <x:t xml:space="preserve">Check</x:t>
  </x:si>
  <x:si>
    <x:t xml:space="preserve">Actual</x:t>
  </x:si>
  <x:si>
    <x:t xml:space="preserve">Expected</x:t>
  </x:si>
  <x:si>
    <x:t xml:space="preserve">Difference</x:t>
  </x:si>
  <x:si>
    <x:t xml:space="preserve">Tolerance</x:t>
  </x:si>
  <x:si>
    <x:t xml:space="preserve">Status</x:t>
  </x:si>
  <x:si>
    <x:t xml:space="preserve">Interpretation</x:t>
  </x:si>
  <x:si>
    <x:t xml:space="preserve">Business scenario selector</x:t>
  </x:si>
  <x:si>
    <x:t xml:space="preserve">Presentation default must be Base (2); change temporarily for sensitivities.</x:t>
  </x:si>
  <x:si>
    <x:t xml:space="preserve">UAE timing case selector</x:t>
  </x:si>
  <x:si>
    <x:t xml:space="preserve">Presentation default must be Base timing (2).</x:t>
  </x:si>
  <x:si>
    <x:t xml:space="preserve">P&amp;L operating-cost roll-up</x:t>
  </x:si>
  <x:si>
    <x:t xml:space="preserve">Payroll + fixed opex + one-off.</x:t>
  </x:si>
  <x:si>
    <x:t xml:space="preserve">P&amp;L cumulative roll-forward</x:t>
  </x:si>
  <x:si>
    <x:t xml:space="preserve">Cumulative result equals sum of annual results.</x:t>
  </x:si>
  <x:si>
    <x:t xml:space="preserve">Cash closing balance roll-forward</x:t>
  </x:si>
  <x:si>
    <x:t xml:space="preserve">Unrestricted + restricted cash.</x:t>
  </x:si>
  <x:si>
    <x:t xml:space="preserve">Restricted capital tie-out</x:t>
  </x:si>
  <x:si>
    <x:t xml:space="preserve">Initial and future restricted capital are funded and held separately from operating cash.</x:t>
  </x:si>
  <x:si>
    <x:t xml:space="preserve">Total raise presentation tie</x:t>
  </x:si>
  <x:si>
    <x:t xml:space="preserve">Operating ask plus restricted capital.</x:t>
  </x:si>
  <x:si>
    <x:t xml:space="preserve">No cash receipts before permitted month</x:t>
  </x:si>
  <x:si>
    <x:t xml:space="preserve">Receipt lag enforced.</x:t>
  </x:si>
  <x:si>
    <x:t xml:space="preserve">Minimum unrestricted closing cash</x:t>
  </x:si>
  <x:si>
    <x:t xml:space="preserve">Funding plan avoids an operating cash shortfall.</x:t>
  </x:si>
  <x:si>
    <x:t xml:space="preserve">Dashboard headline cells evaluate</x:t>
  </x:si>
  <x:si>
    <x:t xml:space="preserve">Zero means the key dashboard KPI formulas evaluate without errors.</x:t>
  </x:si>
  <x:si>
    <x:t xml:space="preserve">Receipts reconcile to revenue</x:t>
  </x:si>
  <x:si>
    <x:t xml:space="preserve">60-month receipts equal five-year revenue less the lag tail falling after month 60.</x:t>
  </x:si>
  <x:si>
    <x:t xml:space="preserve">Staged UAE regulatory one-offs tie-out</x:t>
  </x:si>
  <x:si>
    <x:t xml:space="preserve">Pilot one-off plus later VARA application fees equal the staged regulatory one-offs in the P&amp;L.</x:t>
  </x:si>
  <x:si>
    <x:t xml:space="preserve">Selected scenario revenue ties to active P&amp;L</x:t>
  </x:si>
  <x:si>
    <x:t xml:space="preserve">Selected Scenario Engine revenue equals the active P&amp;L.</x:t>
  </x:si>
  <x:si>
    <x:t xml:space="preserve">Selected scenario COGS ties to active P&amp;L</x:t>
  </x:si>
  <x:si>
    <x:t xml:space="preserve">Selected Scenario Engine COGS equals the active P&amp;L.</x:t>
  </x:si>
  <x:si>
    <x:t xml:space="preserve">Tier deal-value assumptions populated</x:t>
  </x:si>
  <x:si>
    <x:t xml:space="preserve">All three Year-1 values and all three annual growth rates must be numeric.</x:t>
  </x:si>
  <x:si>
    <x:t xml:space="preserve">Tier GMV ties to five-year P&amp;L</x:t>
  </x:si>
  <x:si>
    <x:t xml:space="preserve">P&amp;L GMV must be sourced from the tier-level calculation.</x:t>
  </x:si>
  <x:si>
    <x:t xml:space="preserve">Blended deal values reconcile</x:t>
  </x:si>
  <x:si>
    <x:t xml:space="preserve">The displayed average must equal total GMV divided by deal count.</x:t>
  </x:si>
  <x:si>
    <x:t xml:space="preserve">Tier escrow revenue ties to P&amp;L</x:t>
  </x:si>
  <x:si>
    <x:t xml:space="preserve">Escrow revenue must retain tier-specific rates and minimum fees.</x:t>
  </x:si>
  <x:si>
    <x:t xml:space="preserve">Selected scenario GMV ties to P&amp;L</x:t>
  </x:si>
  <x:si>
    <x:t xml:space="preserve">The active Low / Base / High volume scenario must use the same tier-value schedule as the P&amp;L.</x:t>
  </x:si>
  <x:si>
    <x:t xml:space="preserve">Churn assumption within planning range</x:t>
  </x:si>
  <x:si>
    <x:t xml:space="preserve">Annual logo churn must remain between 0% and 30% for this planning model.</x:t>
  </x:si>
  <x:si>
    <x:t xml:space="preserve">Customer retention bridge closes</x:t>
  </x:si>
  <x:si>
    <x:t xml:space="preserve">Ending customers must equal target customers in every year.</x:t>
  </x:si>
  <x:si>
    <x:t xml:space="preserve">Client-funds memorandum balances</x:t>
  </x:si>
  <x:si>
    <x:t xml:space="preserve">Safeguarded client assets plus matching liabilities must net to zero.</x:t>
  </x:si>
  <x:si>
    <x:t xml:space="preserve">Client funds excluded from operating cash</x:t>
  </x:si>
  <x:si>
    <x:t xml:space="preserve">Client funds and the cash-flow placeholder must contribute zero operating liquidity.</x:t>
  </x:si>
  <x:si>
    <x:t xml:space="preserve">First paid pilot month</x:t>
  </x:si>
  <x:si>
    <x:t xml:space="preserve">Base case implements the agreed Month-12 paid pilot.</x:t>
  </x:si>
  <x:si>
    <x:t xml:space="preserve">First cash receipt month</x:t>
  </x:si>
  <x:si>
    <x:t xml:space="preserve">One-month receipt lag puts first cash in Month 13.</x:t>
  </x:si>
  <x:si>
    <x:t xml:space="preserve">VARA scale target month</x:t>
  </x:si>
  <x:si>
    <x:t xml:space="preserve">Base case implements the Month-30 VARA scale target.</x:t>
  </x:si>
  <x:si>
    <x:t xml:space="preserve">Critical path drives first paid pilot</x:t>
  </x:si>
  <x:si>
    <x:t xml:space="preserve">First paid month must follow the latest customer-blocking gate.</x:t>
  </x:si>
  <x:si>
    <x:t xml:space="preserve">Workforce timing schedule ties</x:t>
  </x:si>
  <x:si>
    <x:t xml:space="preserve">Role weights are driven by explicit start months, not the launch selector.</x:t>
  </x:si>
  <x:si>
    <x:t xml:space="preserve">Tier price book consistency</x:t>
  </x:si>
  <x:si>
    <x:t xml:space="preserve">Tier A / B / C take rates must remain 0.8% / 1.5% / 3.0%.</x:t>
  </x:si>
  <x:si>
    <x:t xml:space="preserve">Use-of-funds amount tie</x:t>
  </x:si>
  <x:si>
    <x:t xml:space="preserve">Use-of-funds amounts must equal the initial operating funding need.</x:t>
  </x:si>
  <x:si>
    <x:t xml:space="preserve">Use-of-funds percentage tie</x:t>
  </x:si>
  <x:si>
    <x:t xml:space="preserve">Use-of-funds shares must sum to 100%.</x:t>
  </x:si>
  <x:si>
    <x:t xml:space="preserve">Future VARA capital excluded from initial ask</x:t>
  </x:si>
  <x:si>
    <x:t xml:space="preserve">Future VARA restricted capital is separately displayed and not spendable pilot runway.</x:t>
  </x:si>
  <x:si>
    <x:t xml:space="preserve">Net operating cash-flow subtotal logic</x:t>
  </x:si>
  <x:si>
    <x:t xml:space="preserve">Independent subtotal check prevents gross-margin double counting; £100 tolerance covers cumulative monthly rounding.</x:t>
  </x:si>
  <x:si>
    <x:t xml:space="preserve">VARA operating-month schedule</x:t>
  </x:si>
  <x:si>
    <x:t xml:space="preserve">Base timing must stage 0 / 0 / 7 / 12 / 12 months.</x:t>
  </x:si>
  <x:si>
    <x:t xml:space="preserve">Dashboard / selected scenario funding tie</x:t>
  </x:si>
  <x:si>
    <x:t xml:space="preserve">Dashboard funding card must equal the selected scenario funding requirement.</x:t>
  </x:si>
  <x:si>
    <x:t xml:space="preserve">Mandatory-review inputs valid</x:t>
  </x:si>
  <x:si>
    <x:t xml:space="preserve">Threshold shares must be 0%–100% and incremental review cost non-negative.</x:t>
  </x:si>
  <x:si>
    <x:t xml:space="preserve">Three-month reserve sensitivity tie</x:t>
  </x:si>
  <x:si>
    <x:t xml:space="preserve">The 3-month sensitivity must reproduce the selected funding headline.</x:t>
  </x:si>
  <x:si>
    <x:t xml:space="preserve">Client Funds Memorandum — Safeguarded Escrow Scale</x:t>
  </x:si>
  <x:si>
    <x:t xml:space="preserve">Memorandum only: customer escrow is not revenue, unrestricted cash, runway liquidity or funding capacity.</x:t>
  </x:si>
  <x:si>
    <x:t xml:space="preserve">SAFEGUARDED CLIENT ESCROW — FIVE-YEAR MEMORANDUM</x:t>
  </x:si>
  <x:si>
    <x:t xml:space="preserve">Treatment / note</x:t>
  </x:si>
  <x:si>
    <x:t xml:space="preserve">Annual GMV</x:t>
  </x:si>
  <x:si>
    <x:t xml:space="preserve">GBP/year</x:t>
  </x:si>
  <x:si>
    <x:t xml:space="preserve">Commercial throughput sourced from the five-year P&amp;L.</x:t>
  </x:si>
  <x:si>
    <x:t xml:space="preserve">Planning assumption; replace with measured pilot cycle time.</x:t>
  </x:si>
  <x:si>
    <x:t xml:space="preserve">Average safeguarded client assets</x:t>
  </x:si>
  <x:si>
    <x:t xml:space="preserve">GBP</x:t>
  </x:si>
  <x:si>
    <x:t xml:space="preserve">Annual GMV × holding days ÷ 365; memorandum balance only.</x:t>
  </x:si>
  <x:si>
    <x:t xml:space="preserve">Matching client escrow liability</x:t>
  </x:si>
  <x:si>
    <x:t xml:space="preserve">Equal and opposite obligation to customers / escrow beneficiaries.</x:t>
  </x:si>
  <x:si>
    <x:t xml:space="preserve">Net client-funds balance</x:t>
  </x:si>
  <x:si>
    <x:t xml:space="preserve">Client asset plus matching liability; must equal zero.</x:t>
  </x:si>
  <x:si>
    <x:t xml:space="preserve">Availability to Blockmediary operating cash</x:t>
  </x:si>
  <x:si>
    <x:t xml:space="preserve">Hard-control result: zero availability to operations.</x:t>
  </x:si>
  <x:si>
    <x:t xml:space="preserve">Memorandum yield at assumed rate (not in P&amp;L)</x:t>
  </x:si>
  <x:si>
    <x:t xml:space="preserve">No yield or spread recognised in the model.</x:t>
  </x:si>
  <x:si>
    <x:t xml:space="preserve">POLICY AND CONTROL INTERPRETATION</x:t>
  </x:si>
  <x:si>
    <x:t xml:space="preserve">1. During the partner-led pilot, buyer funds route to the regulated partner or a counsel-approved non-custodial smart contract structure; they never route through a Blockmediary-controlled wallet.</x:t>
  </x:si>
  <x:si>
    <x:t xml:space="preserve">2. Client assets and matching liabilities are shown gross solely to size operational safeguarding, reconciliation and custody requirements.</x:t>
  </x:si>
  <x:si>
    <x:t xml:space="preserve">3. Client funds remain excluded from revenue, unrestricted cash, runway and the funding ask.</x:t>
  </x:si>
  <x:si>
    <x:t xml:space="preserve">4. No client-asset yield or spread is modelled without legal, regulatory and accounting approval; replace the 14-day hold with pilot telemetry.</x:t>
  </x:si>
  <x:si>
    <x:t xml:space="preserve">MEMORANDUM CHECKS</x:t>
  </x:si>
  <x:si>
    <x:t xml:space="preserve">Client assets plus liability</x:t>
  </x:si>
  <x:si>
    <x:t xml:space="preserve">Expected: 0</x:t>
  </x:si>
  <x:si>
    <x:t xml:space="preserve">Checks the gross memorandum balances net to zero.</x:t>
  </x:si>
  <x:si>
    <x:t xml:space="preserve">Operating cash availability</x:t>
  </x:si>
  <x:si>
    <x:t xml:space="preserve">Checks that none of the client assets are available to operations.</x:t>
  </x:si>
  <x:si>
    <x:t xml:space="preserve">HOLDING-PERIOD SENSITIVITY — YEAR 5</x:t>
  </x:si>
  <x:si>
    <x:t xml:space="preserve">Holding period</x:t>
  </x:si>
  <x:si>
    <x:t xml:space="preserve">Average client funds</x:t>
  </x:si>
  <x:si>
    <x:t xml:space="preserve">Change vs current base</x:t>
  </x:si>
  <x:si>
    <x:t xml:space="preserve">Higher safeguarded balances do not increase operating cash; they indicate reconciliation, security, insurance and reporting scale.</x:t>
  </x:si>
</x:sst>
</file>

<file path=xl/styles.xml><?xml version="1.0" encoding="utf-8"?>
<x:styleSheet xmlns:x="http://schemas.openxmlformats.org/spreadsheetml/2006/main">
  <x:numFmts count="18">
    <x:numFmt numFmtId="164" formatCode="0&quot; months&quot;"/>
    <x:numFmt numFmtId="165" formatCode="0&quot; mo&quot;"/>
    <x:numFmt numFmtId="166" formatCode="#,##0.0;\(#,##0.0\);0.0"/>
    <x:numFmt numFmtId="167" formatCode="#,##0;[Red]\(#,##0\);0"/>
    <x:numFmt numFmtId="168" formatCode="&quot;£&quot;#,##0;[Red]\(&quot;£&quot;#,##0\);&quot;–&quot;"/>
    <x:numFmt numFmtId="169" formatCode="#,##0.0;[Red]\(#,##0.0\);0.0"/>
    <x:numFmt numFmtId="170" formatCode="#,##0;\(#,##0\);0"/>
    <x:numFmt numFmtId="171" formatCode="0%;[Red]\-0%;0%"/>
    <x:numFmt numFmtId="172" formatCode="0.00%;[Red]\-0.00%;0.00%"/>
    <x:numFmt numFmtId="173" formatCode="&quot;£&quot;#,##0.00;[Red]\(&quot;£&quot;#,##0.00\);&quot;–&quot;"/>
    <x:numFmt numFmtId="174" formatCode="#,##0.00;[Red]\(#,##0.00\);0.00"/>
    <x:numFmt numFmtId="175" formatCode="#,##0.0000;[Red]\(#,##0.0000\);0.0000"/>
    <x:numFmt numFmtId="176" formatCode="0.0%;[Red]\-0.0%;0.0%"/>
    <x:numFmt numFmtId="177" formatCode="&quot;$&quot;#,##0.00;[Red]\(&quot;$&quot;#,##0.00\);&quot;–&quot;"/>
    <x:numFmt numFmtId="178" formatCode="&quot;$&quot;#,##0;[Red]\(&quot;$&quot;#,##0\);&quot;–&quot;"/>
    <x:numFmt numFmtId="179" formatCode="#,##0.######;[Red]\(#,##0.######\);0"/>
    <x:numFmt numFmtId="180" formatCode="&quot;£&quot;#,##0.##;[Red]\(&quot;£&quot;#,##0.##\);&quot;£&quot;0"/>
    <x:numFmt numFmtId="200" formatCode="&quot;£&quot;#,##0;[Red](&quot;£&quot;#,##0);-"/>
  </x:numFmts>
  <x:fonts count="48">
    <x:font>
      <x:sz val="10"/>
      <x:name val="Arial"/>
    </x:font>
    <x:font>
      <x:sz val="12"/>
      <x:color theme="10"/>
      <x:name val="Calibri"/>
    </x:font>
    <x:font>
      <x:sz val="10"/>
      <x:color theme="10"/>
      <x:name val="Arial"/>
    </x:font>
    <x:font>
      <x:b/>
      <x:sz val="15"/>
      <x:color rgb="FFFFFFFF"/>
      <x:name val="Calibri"/>
    </x:font>
    <x:font>
      <x:sz val="10"/>
      <x:color rgb="FFFFFFFF"/>
      <x:name val="Calibri"/>
    </x:font>
    <x:font>
      <x:b/>
      <x:sz val="22"/>
      <x:color rgb="FF1B2A41"/>
      <x:name val="Calibri"/>
    </x:font>
    <x:font>
      <x:b/>
      <x:sz val="20"/>
      <x:color rgb="FF1B2A41"/>
      <x:name val="Calibri"/>
    </x:font>
    <x:font>
      <x:sz val="11"/>
      <x:color rgb="FF667385"/>
      <x:name val="Calibri"/>
    </x:font>
    <x:font>
      <x:i/>
      <x:sz val="10"/>
      <x:color rgb="FF667385"/>
      <x:name val="Calibri"/>
    </x:font>
    <x:font>
      <x:b/>
      <x:sz val="9"/>
      <x:color rgb="FF8A6100"/>
      <x:name val="Calibri"/>
    </x:font>
    <x:font>
      <x:b/>
      <x:sz val="10"/>
      <x:color rgb="FF1B2A41"/>
      <x:name val="Calibri"/>
    </x:font>
    <x:font>
      <x:sz val="10"/>
      <x:color rgb="FF667385"/>
      <x:name val="Calibri"/>
    </x:font>
    <x:font>
      <x:b/>
      <x:sz val="10"/>
      <x:color rgb="FF8A6100"/>
      <x:name val="Calibri"/>
    </x:font>
    <x:font>
      <x:b/>
      <x:sz val="9"/>
      <x:color rgb="FF1B2A41"/>
      <x:name val="Calibri"/>
    </x:font>
    <x:font>
      <x:sz val="10"/>
      <x:color rgb="FF313D4F"/>
      <x:name val="Calibri"/>
    </x:font>
    <x:font>
      <x:sz val="10"/>
      <x:color rgb="FF1B6B4A"/>
      <x:name val="Calibri"/>
    </x:font>
    <x:font>
      <x:sz val="10"/>
      <x:color rgb="FF1F4E9C"/>
      <x:name val="Calibri"/>
    </x:font>
    <x:font>
      <x:b/>
      <x:sz val="11"/>
      <x:color rgb="FF1F4E9C"/>
      <x:name val="Calibri"/>
    </x:font>
    <x:font>
      <x:i/>
      <x:sz val="10"/>
      <x:color rgb="FF1B2A41"/>
      <x:name val="Calibri"/>
    </x:font>
    <x:font>
      <x:b/>
      <x:sz val="10"/>
      <x:color rgb="FF1B2A41"/>
      <x:name val="Calibri"/>
    </x:font>
    <x:font>
      <x:sz val="8"/>
      <x:color rgb="FF667385"/>
      <x:name val="Calibri"/>
    </x:font>
    <x:font>
      <x:i/>
      <x:sz val="9"/>
      <x:color rgb="FF667385"/>
      <x:name val="Calibri"/>
    </x:font>
    <x:font>
      <x:b/>
      <x:sz val="9"/>
      <x:color rgb="FF667385"/>
      <x:name val="Calibri"/>
    </x:font>
    <x:font>
      <x:sz val="9"/>
      <x:color rgb="FF1F4E9C"/>
      <x:name val="Calibri"/>
    </x:font>
    <x:font>
      <x:sz val="9"/>
      <x:color rgb="FF939EAC"/>
      <x:name val="Calibri"/>
    </x:font>
    <x:font>
      <x:sz val="9"/>
      <x:color rgb="FF667385"/>
      <x:name val="Calibri"/>
    </x:font>
    <x:font>
      <x:sz val="8"/>
      <x:color rgb="FF939EAC"/>
      <x:name val="Calibri"/>
    </x:font>
    <x:font>
      <x:b/>
      <x:sz val="10"/>
      <x:color rgb="FF1B6B4A"/>
      <x:name val="Calibri"/>
    </x:font>
    <x:font>
      <x:b/>
      <x:sz val="16"/>
      <x:color rgb="FF1B6B4A"/>
      <x:name val="Calibri"/>
    </x:font>
    <x:font>
      <x:b/>
      <x:sz val="9"/>
      <x:color rgb="FFA3231C"/>
      <x:name val="Calibri"/>
    </x:font>
    <x:font>
      <x:b/>
      <x:sz val="9"/>
      <x:color rgb="FF8A6100"/>
      <x:name val="Calibri"/>
    </x:font>
    <x:font>
      <x:sz val="9"/>
      <x:color rgb="FF667385"/>
      <x:name val="Calibri"/>
    </x:font>
    <x:font>
      <x:sz val="9"/>
      <x:color rgb="FF939EAC"/>
      <x:name val="Calibri"/>
    </x:font>
    <x:font>
      <x:i/>
      <x:sz val="9"/>
      <x:color rgb="FF939EAC"/>
      <x:name val="Calibri"/>
    </x:font>
    <x:font>
      <x:sz val="10"/>
      <x:color rgb="FF8A6100"/>
      <x:name val="Calibri"/>
    </x:font>
    <x:font>
      <x:b/>
      <x:sz val="10"/>
      <x:color rgb="FF1F4E9C"/>
      <x:name val="Calibri"/>
    </x:font>
    <x:font>
      <x:b/>
      <x:sz val="8"/>
      <x:color rgb="FF939EAC"/>
      <x:name val="Calibri"/>
    </x:font>
    <x:font>
      <x:b/>
      <x:sz val="11"/>
      <x:color rgb="FF1B2A41"/>
      <x:name val="Calibri"/>
    </x:font>
    <x:font>
      <x:i/>
      <x:sz val="9"/>
      <x:color rgb="FF939EAC"/>
      <x:name val="Calibri"/>
    </x:font>
    <x:font>
      <x:i/>
      <x:sz val="10"/>
      <x:color theme="0" tint="-0.49992"/>
      <x:name val="Calibri"/>
    </x:font>
    <x:font>
      <x:b/>
      <x:sz val="12"/>
      <x:color rgb="FF1F4E9C"/>
      <x:name val="Calibri"/>
    </x:font>
    <x:font>
      <x:i/>
      <x:sz val="10"/>
      <x:color rgb="FF7C8796"/>
      <x:name val="Calibri"/>
    </x:font>
    <x:font>
      <x:i/>
      <x:sz val="10"/>
      <x:color rgb="FF7C8796"/>
      <x:name val="Arial"/>
    </x:font>
    <x:font>
      <x:sz val="10"/>
      <x:color rgb="FF313D4F"/>
      <x:name val="Calibri"/>
    </x:font>
    <x:font>
      <x:sz val="10"/>
      <x:color rgb="FF1B6B4A"/>
      <x:name val="Calibri"/>
    </x:font>
    <x:font>
      <x:sz val="9"/>
      <x:color rgb="FF667385"/>
      <x:name val="Calibri"/>
    </x:font>
    <x:font>
      <x:sz val="10"/>
      <x:color rgb="FF667385"/>
      <x:name val="Calibri"/>
    </x:font>
    <x:font>
      <x:sz val="10"/>
      <x:color rgb="FFFFFFFF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B2A41"/>
      </x:patternFill>
    </x:fill>
    <x:fill>
      <x:patternFill patternType="none"/>
    </x:fill>
    <x:fill>
      <x:patternFill patternType="solid">
        <x:fgColor rgb="FFEBEFF4"/>
      </x:patternFill>
    </x:fill>
    <x:fill>
      <x:patternFill patternType="solid">
        <x:fgColor rgb="FFFCF4E4"/>
      </x:patternFill>
    </x:fill>
    <x:fill>
      <x:patternFill patternType="solid">
        <x:fgColor rgb="FFF4F6F9"/>
      </x:patternFill>
    </x:fill>
    <x:fill>
      <x:patternFill patternType="solid">
        <x:fgColor rgb="FFFDF7EA"/>
      </x:patternFill>
    </x:fill>
    <x:fill>
      <x:patternFill patternType="solid">
        <x:fgColor rgb="FFFBEAC7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  <x:fill>
      <x:patternFill patternType="solid">
        <x:fgColor rgb="FFE9F3ED"/>
      </x:patternFill>
    </x:fill>
    <x:fill>
      <x:patternFill patternType="solid">
        <x:fgColor rgb="FFFBEAE8"/>
      </x:patternFill>
    </x:fill>
    <x:fill>
      <x:patternFill patternType="solid">
        <x:fgColor rgb="FFFFFFFF"/>
      </x:patternFill>
    </x:fill>
    <x:fill>
      <x:patternFill patternType="solid">
        <x:fgColor rgb="FFF4F6F9"/>
      </x:patternFill>
    </x:fill>
  </x:fills>
  <x:borders count="39">
    <x:border/>
    <x:border>
      <x:bottom style="medium">
        <x:color rgb="FFC08A1E"/>
      </x:bottom>
    </x:border>
    <x:border/>
    <x:border>
      <x:top style="thin">
        <x:color rgb="FFDDE2E8"/>
      </x:top>
      <x:bottom style="thin">
        <x:color rgb="FFDDE2E8"/>
      </x:bottom>
    </x:border>
    <x:border>
      <x:top style="thin">
        <x:color rgb="FFC08A1E"/>
      </x:top>
      <x:bottom style="thin">
        <x:color rgb="FFC08A1E"/>
      </x:bottom>
    </x:border>
    <x:border>
      <x:top style="thin">
        <x:color rgb="FFDDE2E8"/>
      </x:top>
    </x:border>
    <x:border>
      <x:top style="thin">
        <x:color rgb="FFDDE2E8"/>
      </x:top>
      <x:bottom style="medium">
        <x:color rgb="FF1B2A41"/>
      </x:bottom>
    </x:border>
    <x:border>
      <x:bottom style="thin">
        <x:color rgb="FFDDE2E8"/>
      </x:bottom>
    </x:border>
    <x:border>
      <x:left style="thin">
        <x:color rgb="FFDDE2E8"/>
      </x:left>
      <x:right style="thin">
        <x:color rgb="FFDDE2E8"/>
      </x:right>
      <x:top style="thin">
        <x:color rgb="FFC08A1E"/>
      </x:top>
      <x:bottom style="thin">
        <x:color rgb="FFC08A1E"/>
      </x:bottom>
    </x:border>
    <x:border>
      <x:top style="thin">
        <x:color rgb="FFAEB8C4"/>
      </x:top>
      <x:bottom style="thin">
        <x:color rgb="FFDDE2E8"/>
      </x:bottom>
    </x:border>
    <x:border>
      <x:top style="thin">
        <x:color rgb="FF1B2A41"/>
      </x:top>
      <x:bottom style="thin">
        <x:color rgb="FFDDE2E8"/>
      </x:bottom>
    </x:border>
    <x:border>
      <x:top style="thin">
        <x:color rgb="FF1B2A41"/>
      </x:top>
      <x:bottom style="double">
        <x:color rgb="FF1B2A41"/>
      </x:bottom>
    </x:border>
    <x:border>
      <x:left style="thin">
        <x:color rgb="FFDDE2E8"/>
      </x:left>
      <x:right style="thin">
        <x:color rgb="FFDDE2E8"/>
      </x:right>
      <x:top style="thin">
        <x:color rgb="FFDDE2E8"/>
      </x:top>
      <x:bottom style="thin">
        <x:color rgb="FFDDE2E8"/>
      </x:bottom>
    </x:border>
    <x:border>
      <x:left style="thin">
        <x:color rgb="FFDDE2E8"/>
      </x:left>
      <x:top style="medium">
        <x:color rgb="FFC08A1E"/>
      </x:top>
    </x:border>
    <x:border>
      <x:top style="medium">
        <x:color rgb="FFC08A1E"/>
      </x:top>
    </x:border>
    <x:border>
      <x:right style="thin">
        <x:color rgb="FFDDE2E8"/>
      </x:right>
      <x:top style="medium">
        <x:color rgb="FFC08A1E"/>
      </x:top>
    </x:border>
    <x:border>
      <x:left style="thin">
        <x:color rgb="FFDDE2E8"/>
      </x:left>
    </x:border>
    <x:border>
      <x:right style="thin">
        <x:color rgb="FFDDE2E8"/>
      </x:right>
    </x:border>
    <x:border>
      <x:left style="thin">
        <x:color rgb="FFDDE2E8"/>
      </x:left>
      <x:bottom style="thin">
        <x:color rgb="FFDDE2E8"/>
      </x:bottom>
    </x:border>
    <x:border>
      <x:right style="thin">
        <x:color rgb="FFDDE2E8"/>
      </x:right>
      <x:bottom style="thin">
        <x:color rgb="FFDDE2E8"/>
      </x:bottom>
    </x:border>
    <x:border>
      <x:left style="thin">
        <x:color rgb="FFAEB8C4"/>
      </x:left>
      <x:top style="thin">
        <x:color rgb="FFDDE2E8"/>
      </x:top>
      <x:bottom style="medium">
        <x:color rgb="FF1B2A41"/>
      </x:bottom>
    </x:border>
    <x:border>
      <x:left style="thin">
        <x:color rgb="FFAEB8C4"/>
      </x:left>
      <x:bottom style="thin">
        <x:color rgb="FFDDE2E8"/>
      </x:bottom>
    </x:border>
    <x:border>
      <x:left style="thin">
        <x:color rgb="FFAEB8C4"/>
      </x:left>
      <x:top style="thin">
        <x:color rgb="FF1B2A41"/>
      </x:top>
      <x:bottom style="thin">
        <x:color rgb="FFDDE2E8"/>
      </x:bottom>
    </x:border>
    <x:border>
      <x:bottom style="thin">
        <x:color indexed="64"/>
      </x:bottom>
    </x:border>
    <x:border>
      <x:top style="thin">
        <x:color indexed="64"/>
      </x:top>
      <x:bottom style="thin">
        <x:color rgb="FFDDE2E8"/>
      </x:bottom>
    </x:border>
    <x:border diagonalUp="0" diagonalDown="0">
      <x:left style="none"/>
      <x:top style="none"/>
      <x:bottom style="thin">
        <x:color rgb="FFDDE2E8"/>
      </x:bottom>
    </x:border>
    <x:border diagonalUp="0" diagonalDown="0">
      <x:top style="none"/>
      <x:bottom style="thin">
        <x:color rgb="FFDDE2E8"/>
      </x:bottom>
    </x:border>
    <x:border diagonalUp="0" diagonalDown="0">
      <x:top style="none"/>
    </x:border>
    <x:border diagonalUp="0" diagonalDown="0">
      <x:left style="thin">
        <x:color rgb="FFAEB8C4"/>
      </x:left>
      <x:top style="none"/>
      <x:bottom style="thin">
        <x:color rgb="FFDDE2E8"/>
      </x:bottom>
    </x:border>
    <x:border diagonalUp="0" diagonalDown="0">
      <x:right style="none"/>
      <x:top style="none"/>
      <x:bottom style="thin">
        <x:color rgb="FFDDE2E8"/>
      </x:bottom>
    </x:border>
    <x:border diagonalUp="0" diagonalDown="0">
      <x:left style="none"/>
      <x:bottom style="thin">
        <x:color rgb="FFDDE2E8"/>
      </x:bottom>
    </x:border>
    <x:border diagonalUp="0" diagonalDown="0">
      <x:bottom style="thin">
        <x:color rgb="FFDDE2E8"/>
      </x:bottom>
    </x:border>
    <x:border diagonalUp="0" diagonalDown="0"/>
    <x:border diagonalUp="0" diagonalDown="0">
      <x:left style="thin">
        <x:color rgb="FFAEB8C4"/>
      </x:left>
      <x:bottom style="thin">
        <x:color rgb="FFDDE2E8"/>
      </x:bottom>
    </x:border>
    <x:border diagonalUp="0" diagonalDown="0">
      <x:right style="none"/>
      <x:bottom style="thin">
        <x:color rgb="FFDDE2E8"/>
      </x:bottom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left style="thin">
        <x:color rgb="FFAEB8C4"/>
      </x:left>
      <x:bottom style="none"/>
    </x:border>
    <x:border diagonalUp="0" diagonalDown="0">
      <x:right style="none"/>
      <x:bottom style="none"/>
    </x:border>
  </x:borders>
  <x:cellStyleXfs count="3">
    <x:xf numFmtId="0" fontId="0" fillId="0" borderId="0"/>
    <x:xf numFmtId="0" fontId="1" fillId="0" borderId="0"/>
    <x:xf numFmtId="0" fontId="2" fillId="0" borderId="0" applyNumberFormat="0" applyFill="0" applyBorder="0" applyAlignment="0" applyProtection="0"/>
  </x:cellStyleXfs>
  <x:cellXfs count="257">
    <x:xf numFmtId="0" fontId="0" fillId="0" borderId="0" xfId="0"/>
    <x:xf numFmtId="0" fontId="3" fillId="2" borderId="1" xfId="0" applyFont="1" applyFill="1" applyBorder="1" applyAlignment="1">
      <x:alignment horizontal="left" vertical="center"/>
    </x:xf>
    <x:xf numFmtId="0" fontId="4" fillId="2" borderId="1" xfId="0" applyFont="1" applyFill="1" applyBorder="1" applyAlignment="1">
      <x:alignment horizontal="left" vertical="center"/>
    </x:xf>
    <x:xf numFmtId="0" fontId="5" fillId="3" borderId="2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left" vertical="center"/>
    </x:xf>
    <x:xf numFmtId="0" fontId="11" fillId="4" borderId="3" xfId="0" applyFont="1" applyFill="1" applyBorder="1" applyAlignment="1">
      <x:alignment horizontal="left" vertical="center"/>
    </x:xf>
    <x:xf numFmtId="0" fontId="12" fillId="5" borderId="4" xfId="0" applyFont="1" applyFill="1" applyBorder="1" applyAlignment="1">
      <x:alignment horizontal="left" vertical="center"/>
    </x:xf>
    <x:xf numFmtId="0" fontId="9" fillId="3" borderId="5" xfId="0" applyFont="1" applyFill="1" applyBorder="1" applyAlignment="1">
      <x:alignment horizontal="left"/>
    </x:xf>
    <x:xf numFmtId="0" fontId="13" fillId="6" borderId="6" xfId="0" applyFont="1" applyFill="1" applyBorder="1" applyAlignment="1">
      <x:alignment horizontal="center" vertical="center" wrapText="1"/>
    </x:xf>
    <x:xf numFmtId="0" fontId="13" fillId="6" borderId="6" xfId="0" applyFont="1" applyFill="1" applyBorder="1" applyAlignment="1">
      <x:alignment horizontal="left" vertical="center" wrapText="1"/>
    </x:xf>
    <x:xf numFmtId="0" fontId="13" fillId="6" borderId="6" xfId="0" applyFont="1" applyFill="1" applyBorder="1" applyAlignment="1">
      <x:alignment horizontal="right" vertical="center" wrapText="1"/>
    </x:xf>
    <x:xf numFmtId="0" fontId="14" fillId="3" borderId="7" xfId="0" applyFont="1" applyFill="1" applyBorder="1" applyAlignment="1">
      <x:alignment horizontal="left" vertical="center"/>
    </x:xf>
    <x:xf numFmtId="0" fontId="14" fillId="3" borderId="7" xfId="0" applyFont="1" applyFill="1" applyBorder="1" applyAlignment="1">
      <x:alignment horizontal="left" vertical="center" wrapText="1"/>
    </x:xf>
    <x:xf numFmtId="0" fontId="10" fillId="3" borderId="7" xfId="0" applyFont="1" applyFill="1" applyBorder="1" applyAlignment="1">
      <x:alignment horizontal="left" vertical="center"/>
    </x:xf>
    <x:xf numFmtId="0" fontId="14" fillId="3" borderId="7" xfId="0" applyFont="1" applyFill="1" applyBorder="1" applyAlignment="1">
      <x:alignment horizontal="right" vertical="center"/>
    </x:xf>
    <x:xf numFmtId="0" fontId="16" fillId="7" borderId="7" xfId="0" applyFont="1" applyFill="1" applyBorder="1" applyAlignment="1">
      <x:alignment horizontal="right" vertical="center"/>
    </x:xf>
    <x:xf numFmtId="0" fontId="16" fillId="3" borderId="7" xfId="0" applyFont="1" applyFill="1" applyBorder="1" applyAlignment="1">
      <x:alignment horizontal="right" vertical="center"/>
    </x:xf>
    <x:xf numFmtId="0" fontId="14" fillId="3" borderId="7" xfId="0" applyFont="1" applyFill="1" applyBorder="1" applyAlignment="1">
      <x:alignment horizontal="center" vertical="center"/>
    </x:xf>
    <x:xf numFmtId="0" fontId="14" fillId="3" borderId="7" xfId="0" applyFont="1" applyFill="1" applyBorder="1" applyAlignment="1">
      <x:alignment horizontal="left" vertical="top" wrapText="1"/>
    </x:xf>
    <x:xf numFmtId="0" fontId="15" fillId="3" borderId="7" xfId="0" applyFont="1" applyFill="1" applyBorder="1" applyAlignment="1">
      <x:alignment horizontal="left" vertical="center" wrapText="1"/>
    </x:xf>
    <x:xf numFmtId="0" fontId="16" fillId="3" borderId="7" xfId="0" applyFont="1" applyFill="1" applyBorder="1" applyAlignment="1">
      <x:alignment horizontal="left" vertical="center" wrapText="1"/>
    </x:xf>
    <x:xf numFmtId="0" fontId="10" fillId="3" borderId="9" xfId="0" applyFont="1" applyFill="1" applyBorder="1" applyAlignment="1">
      <x:alignment horizontal="left" vertical="center"/>
    </x:xf>
    <x:xf numFmtId="0" fontId="10" fillId="4" borderId="10" xfId="0" applyFont="1" applyFill="1" applyBorder="1" applyAlignment="1">
      <x:alignment horizontal="right" vertical="center"/>
    </x:xf>
    <x:xf numFmtId="0" fontId="10" fillId="4" borderId="10" xfId="0" applyFont="1" applyFill="1" applyBorder="1" applyAlignment="1">
      <x:alignment horizontal="left" vertical="center"/>
    </x:xf>
    <x:xf numFmtId="0" fontId="19" fillId="4" borderId="11" xfId="0" applyFont="1" applyFill="1" applyBorder="1" applyAlignment="1">
      <x:alignment horizontal="right" vertical="center"/>
    </x:xf>
    <x:xf numFmtId="0" fontId="19" fillId="4" borderId="11" xfId="0" applyFont="1" applyFill="1" applyBorder="1" applyAlignment="1">
      <x:alignment horizontal="left" vertical="center"/>
    </x:xf>
    <x:xf numFmtId="0" fontId="10" fillId="9" borderId="7" xfId="0" applyFont="1" applyFill="1" applyBorder="1" applyAlignment="1">
      <x:alignment horizontal="right" vertical="center"/>
    </x:xf>
    <x:xf numFmtId="0" fontId="10" fillId="9" borderId="7" xfId="0" applyFont="1" applyFill="1" applyBorder="1" applyAlignment="1">
      <x:alignment horizontal="left" vertical="center"/>
    </x:xf>
    <x:xf numFmtId="0" fontId="22" fillId="3" borderId="5" xfId="0" applyFont="1" applyFill="1" applyBorder="1" applyAlignment="1">
      <x:alignment horizontal="left"/>
    </x:xf>
    <x:xf numFmtId="0" fontId="23" fillId="3" borderId="2" xfId="0" applyFont="1" applyFill="1" applyBorder="1" applyAlignment="1">
      <x:alignment horizontal="left" vertical="center"/>
    </x:xf>
    <x:xf numFmtId="0" fontId="24" fillId="3" borderId="7" xfId="0" applyFont="1" applyFill="1" applyBorder="1" applyAlignment="1">
      <x:alignment horizontal="left" vertical="center"/>
    </x:xf>
    <x:xf numFmtId="0" fontId="25" fillId="3" borderId="7" xfId="0" applyFont="1" applyFill="1" applyBorder="1" applyAlignment="1">
      <x:alignment horizontal="left" vertical="center" wrapText="1"/>
    </x:xf>
    <x:xf numFmtId="0" fontId="25" fillId="3" borderId="7" xfId="0" applyFont="1" applyFill="1" applyBorder="1" applyAlignment="1">
      <x:alignment horizontal="left" vertical="top" wrapText="1"/>
    </x:xf>
    <x:xf numFmtId="0" fontId="25" fillId="3" borderId="7" xfId="0" applyFont="1" applyFill="1" applyBorder="1" applyAlignment="1">
      <x:alignment horizontal="left" vertical="center"/>
    </x:xf>
    <x:xf numFmtId="0" fontId="27" fillId="11" borderId="7" xfId="0" applyFont="1" applyFill="1" applyBorder="1" applyAlignment="1">
      <x:alignment horizontal="center" vertical="center"/>
    </x:xf>
    <x:xf numFmtId="0" fontId="28" fillId="11" borderId="12" xfId="0" applyFont="1" applyFill="1" applyBorder="1" applyAlignment="1">
      <x:alignment horizontal="center" vertical="center"/>
    </x:xf>
    <x:xf numFmtId="0" fontId="29" fillId="12" borderId="7" xfId="0" applyFont="1" applyFill="1" applyBorder="1" applyAlignment="1">
      <x:alignment horizontal="center" vertical="center"/>
    </x:xf>
    <x:xf numFmtId="0" fontId="30" fillId="5" borderId="7" xfId="0" applyFont="1" applyFill="1" applyBorder="1" applyAlignment="1">
      <x:alignment horizontal="center" vertical="center"/>
    </x:xf>
    <x:xf numFmtId="0" fontId="31" fillId="9" borderId="7" xfId="0" applyFont="1" applyFill="1" applyBorder="1" applyAlignment="1">
      <x:alignment horizontal="center" vertical="center"/>
    </x:xf>
    <x:xf numFmtId="0" fontId="32" fillId="3" borderId="7" xfId="0" applyFont="1" applyFill="1" applyBorder="1" applyAlignment="1">
      <x:alignment horizontal="center" vertical="center"/>
    </x:xf>
    <x:xf numFmtId="0" fontId="33" fillId="3" borderId="7" xfId="0" applyFont="1" applyFill="1" applyBorder="1" applyAlignment="1">
      <x:alignment horizontal="center" vertical="center"/>
    </x:xf>
    <x:xf numFmtId="0" fontId="14" fillId="3" borderId="2" xfId="0" applyFont="1" applyFill="1" applyBorder="1" applyAlignment="1">
      <x:alignment horizontal="left" vertical="center"/>
    </x:xf>
    <x:xf numFmtId="0" fontId="31" fillId="3" borderId="2" xfId="0" applyFont="1" applyFill="1" applyBorder="1" applyAlignment="1">
      <x:alignment horizontal="left" vertical="center"/>
    </x:xf>
    <x:xf numFmtId="0" fontId="34" fillId="3" borderId="2" xfId="0" applyFont="1" applyFill="1" applyBorder="1" applyAlignment="1">
      <x:alignment horizontal="left" vertical="center"/>
    </x:xf>
    <x:xf numFmtId="0" fontId="35" fillId="3" borderId="2" xfId="0" applyFont="1" applyFill="1" applyBorder="1" applyAlignment="1">
      <x:alignment horizontal="left" vertical="center"/>
    </x:xf>
    <x:xf numFmtId="0" fontId="24" fillId="3" borderId="2" xfId="0" applyFont="1" applyFill="1" applyBorder="1" applyAlignment="1">
      <x:alignment horizontal="right" vertical="center"/>
    </x:xf>
    <x:xf numFmtId="0" fontId="11" fillId="3" borderId="2" xfId="0" applyFont="1" applyFill="1" applyBorder="1" applyAlignment="1">
      <x:alignment horizontal="left" vertical="center"/>
    </x:xf>
    <x:xf numFmtId="0" fontId="36" fillId="3" borderId="7" xfId="0" applyFont="1" applyFill="1" applyBorder="1" applyAlignment="1">
      <x:alignment horizontal="left" vertical="center"/>
    </x:xf>
    <x:xf numFmtId="0" fontId="26" fillId="3" borderId="2" xfId="0" applyFont="1" applyFill="1" applyBorder="1" applyAlignment="1">
      <x:alignment horizontal="left" vertical="center"/>
    </x:xf>
    <x:xf numFmtId="0" fontId="38" fillId="3" borderId="2" xfId="0" applyFont="1" applyFill="1" applyBorder="1" applyAlignment="1">
      <x:alignment horizontal="left" vertical="center"/>
    </x:xf>
    <x:xf numFmtId="0" fontId="7" fillId="3" borderId="2" xfId="0" applyFont="1" applyFill="1" applyBorder="1" applyAlignment="1">
      <x:alignment horizontal="left" vertical="center"/>
    </x:xf>
    <x:xf numFmtId="0" fontId="6" fillId="10" borderId="13" xfId="0" applyFont="1" applyFill="1" applyBorder="1" applyAlignment="1">
      <x:alignment horizontal="left" vertical="center"/>
    </x:xf>
    <x:xf numFmtId="0" fontId="13" fillId="10" borderId="16" xfId="0" applyFont="1" applyFill="1" applyBorder="1" applyAlignment="1">
      <x:alignment horizontal="left" vertical="top" wrapText="1"/>
    </x:xf>
    <x:xf numFmtId="0" fontId="20" fillId="10" borderId="18" xfId="0" applyFont="1" applyFill="1" applyBorder="1" applyAlignment="1">
      <x:alignment horizontal="left" vertical="top" wrapText="1"/>
    </x:xf>
    <x:xf numFmtId="167" fontId="14" fillId="3" borderId="7" xfId="0" applyNumberFormat="1" applyFont="1" applyFill="1" applyBorder="1" applyAlignment="1">
      <x:alignment horizontal="center" vertical="center"/>
    </x:xf>
    <x:xf numFmtId="168" fontId="14" fillId="3" borderId="7" xfId="0" applyNumberFormat="1" applyFont="1" applyFill="1" applyBorder="1" applyAlignment="1">
      <x:alignment horizontal="right" vertical="center"/>
    </x:xf>
    <x:xf numFmtId="169" fontId="14" fillId="3" borderId="7" xfId="0" applyNumberFormat="1" applyFont="1" applyFill="1" applyBorder="1" applyAlignment="1">
      <x:alignment horizontal="right" vertical="center"/>
    </x:xf>
    <x:xf numFmtId="166" fontId="26" fillId="3" borderId="2" xfId="0" applyNumberFormat="1" applyFont="1" applyFill="1" applyBorder="1" applyAlignment="1">
      <x:alignment horizontal="right" vertical="center"/>
    </x:xf>
    <x:xf numFmtId="170" fontId="26" fillId="3" borderId="2" xfId="0" applyNumberFormat="1" applyFont="1" applyFill="1" applyBorder="1" applyAlignment="1">
      <x:alignment horizontal="right" vertical="center"/>
    </x:xf>
    <x:xf numFmtId="171" fontId="26" fillId="3" borderId="2" xfId="0" applyNumberFormat="1" applyFont="1" applyFill="1" applyBorder="1" applyAlignment="1">
      <x:alignment horizontal="right" vertical="center"/>
    </x:xf>
    <x:xf numFmtId="172" fontId="14" fillId="3" borderId="2" xfId="0" applyNumberFormat="1" applyFont="1" applyFill="1" applyBorder="1" applyAlignment="1">
      <x:alignment horizontal="left" vertical="center"/>
    </x:xf>
    <x:xf numFmtId="168" fontId="14" fillId="3" borderId="2" xfId="0" applyNumberFormat="1" applyFont="1" applyFill="1" applyBorder="1" applyAlignment="1">
      <x:alignment horizontal="left" vertical="center"/>
    </x:xf>
    <x:xf numFmtId="173" fontId="14" fillId="3" borderId="2" xfId="0" applyNumberFormat="1" applyFont="1" applyFill="1" applyBorder="1" applyAlignment="1">
      <x:alignment horizontal="left" vertical="center"/>
    </x:xf>
    <x:xf numFmtId="169" fontId="14" fillId="3" borderId="2" xfId="0" applyNumberFormat="1" applyFont="1" applyFill="1" applyBorder="1" applyAlignment="1">
      <x:alignment horizontal="left" vertical="center"/>
    </x:xf>
    <x:xf numFmtId="174" fontId="14" fillId="3" borderId="2" xfId="0" applyNumberFormat="1" applyFont="1" applyFill="1" applyBorder="1" applyAlignment="1">
      <x:alignment horizontal="left" vertical="center"/>
    </x:xf>
    <x:xf numFmtId="166" fontId="15" fillId="3" borderId="7" xfId="0" applyNumberFormat="1" applyFont="1" applyFill="1" applyBorder="1" applyAlignment="1">
      <x:alignment horizontal="right" vertical="center"/>
    </x:xf>
    <x:xf numFmtId="168" fontId="15" fillId="3" borderId="7" xfId="0" applyNumberFormat="1" applyFont="1" applyFill="1" applyBorder="1" applyAlignment="1">
      <x:alignment horizontal="right" vertical="center"/>
    </x:xf>
    <x:xf numFmtId="169" fontId="15" fillId="3" borderId="7" xfId="0" applyNumberFormat="1" applyFont="1" applyFill="1" applyBorder="1" applyAlignment="1">
      <x:alignment horizontal="right" vertical="center"/>
    </x:xf>
    <x:xf numFmtId="168" fontId="16" fillId="7" borderId="7" xfId="0" applyNumberFormat="1" applyFont="1" applyFill="1" applyBorder="1" applyAlignment="1">
      <x:alignment horizontal="right" vertical="center"/>
    </x:xf>
    <x:xf numFmtId="171" fontId="16" fillId="7" borderId="7" xfId="0" applyNumberFormat="1" applyFont="1" applyFill="1" applyBorder="1" applyAlignment="1">
      <x:alignment horizontal="right" vertical="center"/>
    </x:xf>
    <x:xf numFmtId="167" fontId="16" fillId="7" borderId="7" xfId="0" applyNumberFormat="1" applyFont="1" applyFill="1" applyBorder="1" applyAlignment="1">
      <x:alignment horizontal="right" vertical="center"/>
    </x:xf>
    <x:xf numFmtId="175" fontId="16" fillId="7" borderId="7" xfId="0" applyNumberFormat="1" applyFont="1" applyFill="1" applyBorder="1" applyAlignment="1">
      <x:alignment horizontal="right" vertical="center"/>
    </x:xf>
    <x:xf numFmtId="167" fontId="17" fillId="8" borderId="8" xfId="0" applyNumberFormat="1" applyFont="1" applyFill="1" applyBorder="1" applyAlignment="1">
      <x:alignment horizontal="center" vertical="center"/>
    </x:xf>
    <x:xf numFmtId="164" fontId="10" fillId="9" borderId="7" xfId="0" applyNumberFormat="1" applyFont="1" applyFill="1" applyBorder="1" applyAlignment="1">
      <x:alignment horizontal="right" vertical="center"/>
    </x:xf>
    <x:xf numFmtId="168" fontId="10" fillId="9" borderId="7" xfId="0" applyNumberFormat="1" applyFont="1" applyFill="1" applyBorder="1" applyAlignment="1">
      <x:alignment horizontal="right" vertical="center"/>
    </x:xf>
    <x:xf numFmtId="167" fontId="14" fillId="3" borderId="7" xfId="0" applyNumberFormat="1" applyFont="1" applyFill="1" applyBorder="1" applyAlignment="1">
      <x:alignment horizontal="right" vertical="center"/>
    </x:xf>
    <x:xf numFmtId="167" fontId="14" fillId="9" borderId="7" xfId="0" applyNumberFormat="1" applyFont="1" applyFill="1" applyBorder="1" applyAlignment="1">
      <x:alignment horizontal="center" vertical="center"/>
    </x:xf>
    <x:xf numFmtId="0" fontId="25" fillId="9" borderId="7" xfId="0" applyFont="1" applyFill="1" applyBorder="1" applyAlignment="1">
      <x:alignment horizontal="left" vertical="center" wrapText="1"/>
    </x:xf>
    <x:xf numFmtId="165" fontId="14" fillId="3" borderId="7" xfId="0" applyNumberFormat="1" applyFont="1" applyFill="1" applyBorder="1" applyAlignment="1">
      <x:alignment horizontal="right" vertical="center"/>
    </x:xf>
    <x:xf numFmtId="171" fontId="14" fillId="3" borderId="7" xfId="0" applyNumberFormat="1" applyFont="1" applyFill="1" applyBorder="1" applyAlignment="1">
      <x:alignment horizontal="right" vertical="center"/>
    </x:xf>
    <x:xf numFmtId="171" fontId="14" fillId="3" borderId="2" xfId="0" applyNumberFormat="1" applyFont="1" applyFill="1" applyBorder="1" applyAlignment="1">
      <x:alignment horizontal="left" vertical="center"/>
    </x:xf>
    <x:xf numFmtId="176" fontId="14" fillId="3" borderId="7" xfId="0" applyNumberFormat="1" applyFont="1" applyFill="1" applyBorder="1" applyAlignment="1">
      <x:alignment horizontal="right" vertical="center"/>
    </x:xf>
    <x:xf numFmtId="0" fontId="13" fillId="6" borderId="20" xfId="0" applyFont="1" applyFill="1" applyBorder="1" applyAlignment="1">
      <x:alignment horizontal="center" vertical="center" wrapText="1"/>
    </x:xf>
    <x:xf numFmtId="176" fontId="10" fillId="9" borderId="21" xfId="0" applyNumberFormat="1" applyFont="1" applyFill="1" applyBorder="1" applyAlignment="1">
      <x:alignment horizontal="right" vertical="center"/>
    </x:xf>
    <x:xf numFmtId="167" fontId="10" fillId="9" borderId="21" xfId="0" applyNumberFormat="1" applyFont="1" applyFill="1" applyBorder="1" applyAlignment="1">
      <x:alignment horizontal="right" vertical="center"/>
    </x:xf>
    <x:xf numFmtId="169" fontId="10" fillId="9" borderId="21" xfId="0" applyNumberFormat="1" applyFont="1" applyFill="1" applyBorder="1" applyAlignment="1">
      <x:alignment horizontal="right" vertical="center"/>
    </x:xf>
    <x:xf numFmtId="168" fontId="10" fillId="9" borderId="21" xfId="0" applyNumberFormat="1" applyFont="1" applyFill="1" applyBorder="1" applyAlignment="1">
      <x:alignment horizontal="right" vertical="center"/>
    </x:xf>
    <x:xf numFmtId="168" fontId="10" fillId="3" borderId="9" xfId="0" applyNumberFormat="1" applyFont="1" applyFill="1" applyBorder="1" applyAlignment="1">
      <x:alignment horizontal="right" vertical="center"/>
    </x:xf>
    <x:xf numFmtId="168" fontId="10" fillId="4" borderId="22" xfId="0" applyNumberFormat="1" applyFont="1" applyFill="1" applyBorder="1" applyAlignment="1">
      <x:alignment horizontal="right" vertical="center"/>
    </x:xf>
    <x:xf numFmtId="176" fontId="15" fillId="3" borderId="7" xfId="0" applyNumberFormat="1" applyFont="1" applyFill="1" applyBorder="1" applyAlignment="1">
      <x:alignment horizontal="right" vertical="center"/>
    </x:xf>
    <x:xf numFmtId="167" fontId="15" fillId="3" borderId="7" xfId="0" applyNumberFormat="1" applyFont="1" applyFill="1" applyBorder="1" applyAlignment="1">
      <x:alignment horizontal="right" vertical="center"/>
    </x:xf>
    <x:xf numFmtId="168" fontId="10" fillId="4" borderId="10" xfId="0" applyNumberFormat="1" applyFont="1" applyFill="1" applyBorder="1" applyAlignment="1">
      <x:alignment horizontal="right" vertical="center"/>
    </x:xf>
    <x:xf numFmtId="0" fontId="25" fillId="4" borderId="7" xfId="0" applyFont="1" applyFill="1" applyBorder="1" applyAlignment="1">
      <x:alignment horizontal="left" vertical="center" wrapText="1"/>
    </x:xf>
    <x:xf numFmtId="169" fontId="10" fillId="4" borderId="10" xfId="0" applyNumberFormat="1" applyFont="1" applyFill="1" applyBorder="1" applyAlignment="1">
      <x:alignment horizontal="right" vertical="center"/>
    </x:xf>
    <x:xf numFmtId="168" fontId="19" fillId="4" borderId="11" xfId="0" applyNumberFormat="1" applyFont="1" applyFill="1" applyBorder="1" applyAlignment="1">
      <x:alignment horizontal="right" vertical="center"/>
    </x:xf>
    <x:xf numFmtId="171" fontId="15" fillId="3" borderId="7" xfId="0" applyNumberFormat="1" applyFont="1" applyFill="1" applyBorder="1" applyAlignment="1">
      <x:alignment horizontal="right" vertical="center"/>
    </x:xf>
    <x:xf numFmtId="168" fontId="15" fillId="3" borderId="7" xfId="0" applyNumberFormat="1" applyFont="1" applyFill="1" applyBorder="1" applyAlignment="1">
      <x:alignment horizontal="left" vertical="center" wrapText="1"/>
    </x:xf>
    <x:xf numFmtId="0" fontId="13" fillId="6" borderId="6" xfId="0" applyFont="1" applyFill="1" applyBorder="1" applyAlignment="1">
      <x:alignment horizontal="left" vertical="center"/>
    </x:xf>
    <x:xf numFmtId="167" fontId="13" fillId="6" borderId="6" xfId="0" applyNumberFormat="1" applyFont="1" applyFill="1" applyBorder="1" applyAlignment="1">
      <x:alignment horizontal="center" vertical="center" wrapText="1"/>
    </x:xf>
    <x:xf numFmtId="167" fontId="20" fillId="6" borderId="6" xfId="0" applyNumberFormat="1" applyFont="1" applyFill="1" applyBorder="1" applyAlignment="1">
      <x:alignment horizontal="center" vertical="center" wrapText="1"/>
    </x:xf>
    <x:xf numFmtId="0" fontId="20" fillId="6" borderId="6" xfId="0" applyFont="1" applyFill="1" applyBorder="1" applyAlignment="1">
      <x:alignment horizontal="left" vertical="center" wrapText="1"/>
    </x:xf>
    <x:xf numFmtId="0" fontId="26" fillId="3" borderId="7" xfId="0" applyFont="1" applyFill="1" applyBorder="1" applyAlignment="1">
      <x:alignment horizontal="center" vertical="center"/>
    </x:xf>
    <x:xf numFmtId="168" fontId="26" fillId="3" borderId="2" xfId="0" applyNumberFormat="1" applyFont="1" applyFill="1" applyBorder="1" applyAlignment="1">
      <x:alignment horizontal="right" vertical="center"/>
    </x:xf>
    <x:xf numFmtId="168" fontId="10" fillId="9" borderId="7" xfId="0" applyNumberFormat="1" applyFont="1" applyFill="1" applyBorder="1" applyAlignment="1">
      <x:alignment horizontal="left" vertical="center"/>
    </x:xf>
    <x:xf numFmtId="176" fontId="10" fillId="4" borderId="10" xfId="0" applyNumberFormat="1" applyFont="1" applyFill="1" applyBorder="1" applyAlignment="1">
      <x:alignment horizontal="right" vertical="center"/>
    </x:xf>
    <x:xf numFmtId="167" fontId="14" fillId="3" borderId="21" xfId="0" applyNumberFormat="1" applyFont="1" applyFill="1" applyBorder="1" applyAlignment="1">
      <x:alignment horizontal="right" vertical="center"/>
    </x:xf>
    <x:xf numFmtId="168" fontId="14" fillId="3" borderId="21" xfId="0" applyNumberFormat="1" applyFont="1" applyFill="1" applyBorder="1" applyAlignment="1">
      <x:alignment horizontal="right" vertical="center"/>
    </x:xf>
    <x:xf numFmtId="176" fontId="10" fillId="4" borderId="22" xfId="0" applyNumberFormat="1" applyFont="1" applyFill="1" applyBorder="1" applyAlignment="1">
      <x:alignment horizontal="right" vertical="center"/>
    </x:xf>
    <x:xf numFmtId="167" fontId="15" fillId="3" borderId="21" xfId="0" applyNumberFormat="1" applyFont="1" applyFill="1" applyBorder="1" applyAlignment="1">
      <x:alignment horizontal="right" vertical="center"/>
    </x:xf>
    <x:xf numFmtId="168" fontId="15" fillId="3" borderId="21" xfId="0" applyNumberFormat="1" applyFont="1" applyFill="1" applyBorder="1" applyAlignment="1">
      <x:alignment horizontal="right" vertical="center"/>
    </x:xf>
    <x:xf numFmtId="176" fontId="15" fillId="3" borderId="21" xfId="0" applyNumberFormat="1" applyFont="1" applyFill="1" applyBorder="1" applyAlignment="1">
      <x:alignment horizontal="right" vertical="center"/>
    </x:xf>
    <x:xf numFmtId="169" fontId="15" fillId="3" borderId="21" xfId="0" applyNumberFormat="1" applyFont="1" applyFill="1" applyBorder="1" applyAlignment="1">
      <x:alignment horizontal="right" vertical="center"/>
    </x:xf>
    <x:xf numFmtId="176" fontId="16" fillId="3" borderId="7" xfId="0" applyNumberFormat="1" applyFont="1" applyFill="1" applyBorder="1" applyAlignment="1">
      <x:alignment horizontal="right" vertical="center"/>
    </x:xf>
    <x:xf numFmtId="174" fontId="16" fillId="7" borderId="7" xfId="0" applyNumberFormat="1" applyFont="1" applyFill="1" applyBorder="1" applyAlignment="1">
      <x:alignment horizontal="right" vertical="center"/>
    </x:xf>
    <x:xf numFmtId="169" fontId="16" fillId="3" borderId="7" xfId="0" applyNumberFormat="1" applyFont="1" applyFill="1" applyBorder="1" applyAlignment="1">
      <x:alignment horizontal="right" vertical="center"/>
    </x:xf>
    <x:xf numFmtId="169" fontId="16" fillId="7" borderId="7" xfId="0" applyNumberFormat="1" applyFont="1" applyFill="1" applyBorder="1" applyAlignment="1">
      <x:alignment horizontal="right" vertical="center"/>
    </x:xf>
    <x:xf numFmtId="168" fontId="16" fillId="3" borderId="7" xfId="0" applyNumberFormat="1" applyFont="1" applyFill="1" applyBorder="1" applyAlignment="1">
      <x:alignment horizontal="right" vertical="center"/>
    </x:xf>
    <x:xf numFmtId="176" fontId="16" fillId="7" borderId="7" xfId="0" applyNumberFormat="1" applyFont="1" applyFill="1" applyBorder="1" applyAlignment="1">
      <x:alignment horizontal="right" vertical="center"/>
    </x:xf>
    <x:xf numFmtId="167" fontId="16" fillId="3" borderId="7" xfId="0" applyNumberFormat="1" applyFont="1" applyFill="1" applyBorder="1" applyAlignment="1">
      <x:alignment horizontal="right" vertical="center"/>
    </x:xf>
    <x:xf numFmtId="177" fontId="16" fillId="3" borderId="7" xfId="0" applyNumberFormat="1" applyFont="1" applyFill="1" applyBorder="1" applyAlignment="1">
      <x:alignment horizontal="right" vertical="center"/>
    </x:xf>
    <x:xf numFmtId="177" fontId="16" fillId="7" borderId="7" xfId="0" applyNumberFormat="1" applyFont="1" applyFill="1" applyBorder="1" applyAlignment="1">
      <x:alignment horizontal="right" vertical="center"/>
    </x:xf>
    <x:xf numFmtId="178" fontId="16" fillId="7" borderId="7" xfId="0" applyNumberFormat="1" applyFont="1" applyFill="1" applyBorder="1" applyAlignment="1">
      <x:alignment horizontal="right" vertical="center"/>
    </x:xf>
    <x:xf numFmtId="172" fontId="16" fillId="7" borderId="7" xfId="0" applyNumberFormat="1" applyFont="1" applyFill="1" applyBorder="1" applyAlignment="1">
      <x:alignment horizontal="right" vertical="center"/>
    </x:xf>
    <x:xf numFmtId="0" fontId="14" fillId="9" borderId="7" xfId="0" applyFont="1" applyFill="1" applyBorder="1" applyAlignment="1">
      <x:alignment horizontal="right" vertical="center"/>
    </x:xf>
    <x:xf numFmtId="169" fontId="18" fillId="9" borderId="7" xfId="0" applyNumberFormat="1" applyFont="1" applyFill="1" applyBorder="1" applyAlignment="1">
      <x:alignment horizontal="right" vertical="center"/>
    </x:xf>
    <x:xf numFmtId="176" fontId="18" fillId="9" borderId="7" xfId="0" applyNumberFormat="1" applyFont="1" applyFill="1" applyBorder="1" applyAlignment="1">
      <x:alignment horizontal="right" vertical="center"/>
    </x:xf>
    <x:xf numFmtId="172" fontId="10" fillId="9" borderId="7" xfId="0" applyNumberFormat="1" applyFont="1" applyFill="1" applyBorder="1" applyAlignment="1">
      <x:alignment horizontal="right" vertical="center"/>
    </x:xf>
    <x:xf numFmtId="172" fontId="16" fillId="3" borderId="7" xfId="0" applyNumberFormat="1" applyFont="1" applyFill="1" applyBorder="1" applyAlignment="1">
      <x:alignment horizontal="right" vertical="center"/>
    </x:xf>
    <x:xf numFmtId="0" fontId="23" fillId="3" borderId="2" xfId="0" applyFont="1" applyFill="1" applyBorder="1" applyAlignment="1">
      <x:alignment horizontal="left" vertical="center" wrapText="1"/>
    </x:xf>
    <x:xf numFmtId="0" fontId="26" fillId="3" borderId="7" xfId="0" applyFont="1" applyFill="1" applyBorder="1" applyAlignment="1">
      <x:alignment horizontal="left" vertical="center"/>
    </x:xf>
    <x:xf numFmtId="167" fontId="10" fillId="9" borderId="7" xfId="0" applyNumberFormat="1" applyFont="1" applyFill="1" applyBorder="1" applyAlignment="1">
      <x:alignment horizontal="right" vertical="center"/>
    </x:xf>
    <x:xf numFmtId="173" fontId="10" fillId="9" borderId="7" xfId="0" applyNumberFormat="1" applyFont="1" applyFill="1" applyBorder="1" applyAlignment="1">
      <x:alignment horizontal="right" vertical="center"/>
    </x:xf>
    <x:xf numFmtId="173" fontId="16" fillId="3" borderId="7" xfId="0" applyNumberFormat="1" applyFont="1" applyFill="1" applyBorder="1" applyAlignment="1">
      <x:alignment horizontal="right" vertical="center"/>
    </x:xf>
    <x:xf numFmtId="172" fontId="10" fillId="9" borderId="7" xfId="0" applyNumberFormat="1" applyFont="1" applyFill="1" applyBorder="1" applyAlignment="1">
      <x:alignment horizontal="left" vertical="center"/>
    </x:xf>
    <x:xf numFmtId="172" fontId="15" fillId="3" borderId="7" xfId="0" applyNumberFormat="1" applyFont="1" applyFill="1" applyBorder="1" applyAlignment="1">
      <x:alignment horizontal="left" vertical="center" wrapText="1"/>
    </x:xf>
    <x:xf numFmtId="167" fontId="10" fillId="9" borderId="7" xfId="0" applyNumberFormat="1" applyFont="1" applyFill="1" applyBorder="1" applyAlignment="1">
      <x:alignment horizontal="left" vertical="center"/>
    </x:xf>
    <x:xf numFmtId="167" fontId="14" fillId="3" borderId="7" xfId="0" applyNumberFormat="1" applyFont="1" applyFill="1" applyBorder="1" applyAlignment="1">
      <x:alignment horizontal="left" vertical="center" wrapText="1"/>
    </x:xf>
    <x:xf numFmtId="167" fontId="14" fillId="3" borderId="7" xfId="0" applyNumberFormat="1" applyFont="1" applyFill="1" applyBorder="1" applyAlignment="1">
      <x:alignment horizontal="center" vertical="top"/>
    </x:xf>
    <x:xf numFmtId="0" fontId="15" fillId="3" borderId="7" xfId="0" applyFont="1" applyFill="1" applyBorder="1" applyAlignment="1">
      <x:alignment horizontal="left" vertical="top" wrapText="1"/>
    </x:xf>
    <x:xf numFmtId="171" fontId="16" fillId="3" borderId="7" xfId="0" applyNumberFormat="1" applyFont="1" applyFill="1" applyBorder="1" applyAlignment="1">
      <x:alignment horizontal="right" vertical="center"/>
    </x:xf>
    <x:xf numFmtId="179" fontId="14" fillId="3" borderId="7" xfId="0" applyNumberFormat="1" applyFont="1" applyFill="1" applyBorder="1" applyAlignment="1">
      <x:alignment horizontal="right" vertical="center"/>
    </x:xf>
    <x:xf numFmtId="180" fontId="14" fillId="3" borderId="7" xfId="0" applyNumberFormat="1" applyFont="1" applyFill="1" applyBorder="1" applyAlignment="1">
      <x:alignment horizontal="right" vertical="center"/>
    </x:xf>
    <x:xf numFmtId="179" fontId="15" fillId="3" borderId="7" xfId="0" applyNumberFormat="1" applyFont="1" applyFill="1" applyBorder="1" applyAlignment="1">
      <x:alignment horizontal="right" vertical="center"/>
    </x:xf>
    <x:xf numFmtId="180" fontId="15" fillId="3" borderId="7" xfId="0" applyNumberFormat="1" applyFont="1" applyFill="1" applyBorder="1" applyAlignment="1">
      <x:alignment horizontal="right" vertical="center"/>
    </x:xf>
    <x:xf numFmtId="0" fontId="24" fillId="4" borderId="7" xfId="0" applyFont="1" applyFill="1" applyBorder="1" applyAlignment="1">
      <x:alignment horizontal="left" vertical="center"/>
    </x:xf>
    <x:xf numFmtId="169" fontId="39" fillId="9" borderId="7" xfId="0" applyNumberFormat="1" applyFont="1" applyFill="1" applyBorder="1" applyAlignment="1">
      <x:alignment horizontal="right" vertical="center"/>
    </x:xf>
    <x:xf numFmtId="0" fontId="40" fillId="3" borderId="2" xfId="0" applyFont="1" applyFill="1" applyBorder="1" applyAlignment="1">
      <x:alignment horizontal="left" vertical="center"/>
    </x:xf>
    <x:xf numFmtId="0" fontId="14" fillId="3" borderId="3" xfId="0" applyFont="1" applyFill="1" applyBorder="1" applyAlignment="1">
      <x:alignment horizontal="left" vertical="center"/>
    </x:xf>
    <x:xf numFmtId="0" fontId="14" fillId="3" borderId="23" xfId="0" applyFont="1" applyFill="1" applyBorder="1" applyAlignment="1">
      <x:alignment horizontal="left" vertical="center"/>
    </x:xf>
    <x:xf numFmtId="0" fontId="14" fillId="3" borderId="24" xfId="0" applyFont="1" applyFill="1" applyBorder="1" applyAlignment="1">
      <x:alignment horizontal="left" vertical="center"/>
    </x:xf>
    <x:xf numFmtId="171" fontId="16" fillId="7" borderId="2" xfId="0" applyNumberFormat="1" applyFont="1" applyFill="1" applyBorder="1" applyAlignment="1">
      <x:alignment horizontal="right" vertical="center"/>
    </x:xf>
    <x:xf numFmtId="176" fontId="18" fillId="9" borderId="2" xfId="0" applyNumberFormat="1" applyFont="1" applyFill="1" applyBorder="1" applyAlignment="1">
      <x:alignment horizontal="right" vertical="center"/>
    </x:xf>
    <x:xf numFmtId="171" fontId="16" fillId="7" borderId="24" xfId="0" applyNumberFormat="1" applyFont="1" applyFill="1" applyBorder="1" applyAlignment="1">
      <x:alignment horizontal="right" vertical="center"/>
    </x:xf>
    <x:xf numFmtId="176" fontId="18" fillId="9" borderId="24" xfId="0" applyNumberFormat="1" applyFont="1" applyFill="1" applyBorder="1" applyAlignment="1">
      <x:alignment horizontal="right" vertical="center"/>
    </x:xf>
    <x:xf numFmtId="171" fontId="16" fillId="7" borderId="23" xfId="0" applyNumberFormat="1" applyFont="1" applyFill="1" applyBorder="1" applyAlignment="1">
      <x:alignment horizontal="right" vertical="center"/>
    </x:xf>
    <x:xf numFmtId="176" fontId="18" fillId="9" borderId="23" xfId="0" applyNumberFormat="1" applyFont="1" applyFill="1" applyBorder="1" applyAlignment="1">
      <x:alignment horizontal="right" vertical="center"/>
    </x:xf>
    <x:xf numFmtId="171" fontId="16" fillId="7" borderId="3" xfId="0" applyNumberFormat="1" applyFont="1" applyFill="1" applyBorder="1" applyAlignment="1">
      <x:alignment horizontal="right" vertical="center"/>
    </x:xf>
    <x:xf numFmtId="176" fontId="18" fillId="9" borderId="3" xfId="0" applyNumberFormat="1" applyFont="1" applyFill="1" applyBorder="1" applyAlignment="1">
      <x:alignment horizontal="right" vertical="center"/>
    </x:xf>
    <x:xf numFmtId="176" fontId="16" fillId="3" borderId="24" xfId="0" applyNumberFormat="1" applyFont="1" applyFill="1" applyBorder="1" applyAlignment="1">
      <x:alignment horizontal="right" vertical="center"/>
    </x:xf>
    <x:xf numFmtId="172" fontId="16" fillId="7" borderId="24" xfId="0" applyNumberFormat="1" applyFont="1" applyFill="1" applyBorder="1" applyAlignment="1">
      <x:alignment horizontal="right" vertical="center"/>
    </x:xf>
    <x:xf numFmtId="176" fontId="16" fillId="3" borderId="23" xfId="0" applyNumberFormat="1" applyFont="1" applyFill="1" applyBorder="1" applyAlignment="1">
      <x:alignment horizontal="right" vertical="center"/>
    </x:xf>
    <x:xf numFmtId="172" fontId="16" fillId="7" borderId="23" xfId="0" applyNumberFormat="1" applyFont="1" applyFill="1" applyBorder="1" applyAlignment="1">
      <x:alignment horizontal="right" vertical="center"/>
    </x:xf>
    <x:xf numFmtId="167" fontId="16" fillId="3" borderId="24" xfId="0" applyNumberFormat="1" applyFont="1" applyFill="1" applyBorder="1" applyAlignment="1">
      <x:alignment horizontal="right" vertical="center"/>
    </x:xf>
    <x:xf numFmtId="167" fontId="16" fillId="7" borderId="24" xfId="0" applyNumberFormat="1" applyFont="1" applyFill="1" applyBorder="1" applyAlignment="1">
      <x:alignment horizontal="right" vertical="center"/>
    </x:xf>
    <x:xf numFmtId="167" fontId="16" fillId="3" borderId="23" xfId="0" applyNumberFormat="1" applyFont="1" applyFill="1" applyBorder="1" applyAlignment="1">
      <x:alignment horizontal="right" vertical="center"/>
    </x:xf>
    <x:xf numFmtId="167" fontId="16" fillId="7" borderId="23" xfId="0" applyNumberFormat="1" applyFont="1" applyFill="1" applyBorder="1" applyAlignment="1">
      <x:alignment horizontal="right" vertical="center"/>
    </x:xf>
    <x:xf numFmtId="176" fontId="16" fillId="7" borderId="24" xfId="0" applyNumberFormat="1" applyFont="1" applyFill="1" applyBorder="1" applyAlignment="1">
      <x:alignment horizontal="right" vertical="center"/>
    </x:xf>
    <x:xf numFmtId="176" fontId="16" fillId="7" borderId="23" xfId="0" applyNumberFormat="1" applyFont="1" applyFill="1" applyBorder="1" applyAlignment="1">
      <x:alignment horizontal="right" vertical="center"/>
    </x:xf>
    <x:xf numFmtId="0" fontId="16" fillId="3" borderId="24" xfId="0" applyFont="1" applyFill="1" applyBorder="1" applyAlignment="1">
      <x:alignment horizontal="right" vertical="center"/>
    </x:xf>
    <x:xf numFmtId="0" fontId="16" fillId="7" borderId="24" xfId="0" applyFont="1" applyFill="1" applyBorder="1" applyAlignment="1">
      <x:alignment horizontal="right" vertical="center"/>
    </x:xf>
    <x:xf numFmtId="0" fontId="16" fillId="3" borderId="23" xfId="0" applyFont="1" applyFill="1" applyBorder="1" applyAlignment="1">
      <x:alignment horizontal="right" vertical="center"/>
    </x:xf>
    <x:xf numFmtId="0" fontId="16" fillId="7" borderId="23" xfId="0" applyFont="1" applyFill="1" applyBorder="1" applyAlignment="1">
      <x:alignment horizontal="right" vertical="center"/>
    </x:xf>
    <x:xf numFmtId="0" fontId="21" fillId="3" borderId="2" xfId="0" applyFont="1" applyFill="1" applyBorder="1" applyAlignment="1">
      <x:alignment horizontal="left" vertical="top" wrapText="1"/>
    </x:xf>
    <x:xf numFmtId="168" fontId="15" fillId="3" borderId="7" xfId="0" applyNumberFormat="1" applyFont="1" applyFill="1" applyBorder="1" applyAlignment="1">
      <x:alignment horizontal="right" vertical="center"/>
    </x:xf>
    <x:xf numFmtId="168" fontId="14" fillId="3" borderId="7" xfId="0" applyNumberFormat="1" applyFont="1" applyFill="1" applyBorder="1" applyAlignment="1">
      <x:alignment horizontal="right" vertical="center"/>
    </x:xf>
    <x:xf numFmtId="169" fontId="15" fillId="3" borderId="7" xfId="0" applyNumberFormat="1" applyFont="1" applyFill="1" applyBorder="1" applyAlignment="1">
      <x:alignment horizontal="right" vertical="center"/>
    </x:xf>
    <x:xf numFmtId="169" fontId="14" fillId="3" borderId="7" xfId="0" applyNumberFormat="1" applyFont="1" applyFill="1" applyBorder="1" applyAlignment="1">
      <x:alignment horizontal="right" vertical="center"/>
    </x:xf>
    <x:xf numFmtId="0" fontId="14" fillId="3" borderId="7" xfId="0" applyFont="1" applyFill="1" applyBorder="1" applyAlignment="1">
      <x:alignment horizontal="center" vertical="center"/>
    </x:xf>
    <x:xf numFmtId="0" fontId="10" fillId="4" borderId="3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left" vertical="center" wrapText="1"/>
    </x:xf>
    <x:xf numFmtId="0" fontId="13" fillId="6" borderId="6" xfId="0" applyFont="1" applyFill="1" applyBorder="1" applyAlignment="1">
      <x:alignment horizontal="center" vertical="center" wrapText="1"/>
    </x:xf>
    <x:xf numFmtId="0" fontId="31" fillId="3" borderId="2" xfId="0" applyFont="1" applyFill="1" applyBorder="1" applyAlignment="1">
      <x:alignment horizontal="left" vertical="center"/>
    </x:xf>
    <x:xf numFmtId="0" fontId="14" fillId="3" borderId="2" xfId="0" applyFont="1" applyFill="1" applyBorder="1" applyAlignment="1">
      <x:alignment horizontal="left" vertical="center"/>
    </x:xf>
    <x:xf numFmtId="0" fontId="38" fillId="3" borderId="2" xfId="0" applyFont="1" applyFill="1" applyBorder="1" applyAlignment="1">
      <x:alignment horizontal="left" vertical="center"/>
    </x:xf>
    <x:xf numFmtId="0" fontId="37" fillId="3" borderId="2" xfId="0" applyFont="1" applyFill="1" applyBorder="1" applyAlignment="1">
      <x:alignment horizontal="left" vertical="center"/>
    </x:xf>
    <x:xf numFmtId="0" fontId="13" fillId="10" borderId="2" xfId="0" applyFont="1" applyFill="1" applyBorder="1" applyAlignment="1">
      <x:alignment horizontal="left" vertical="top" wrapText="1"/>
    </x:xf>
    <x:xf numFmtId="0" fontId="13" fillId="10" borderId="17" xfId="0" applyFont="1" applyFill="1" applyBorder="1" applyAlignment="1">
      <x:alignment horizontal="left" vertical="top" wrapText="1"/>
    </x:xf>
    <x:xf numFmtId="0" fontId="20" fillId="10" borderId="7" xfId="0" applyFont="1" applyFill="1" applyBorder="1" applyAlignment="1">
      <x:alignment horizontal="left" vertical="top" wrapText="1"/>
    </x:xf>
    <x:xf numFmtId="0" fontId="20" fillId="10" borderId="19" xfId="0" applyFont="1" applyFill="1" applyBorder="1" applyAlignment="1">
      <x:alignment horizontal="left" vertical="top" wrapText="1"/>
    </x:xf>
    <x:xf numFmtId="0" fontId="9" fillId="3" borderId="2" xfId="0" applyFont="1" applyFill="1" applyBorder="1" applyAlignment="1">
      <x:alignment horizontal="left" vertical="center"/>
    </x:xf>
    <x:xf numFmtId="0" fontId="6" fillId="3" borderId="2" xfId="0" applyFont="1" applyFill="1" applyBorder="1" applyAlignment="1">
      <x:alignment horizontal="left" vertical="center" wrapText="1"/>
    </x:xf>
    <x:xf numFmtId="0" fontId="6" fillId="10" borderId="14" xfId="0" applyFont="1" applyFill="1" applyBorder="1" applyAlignment="1">
      <x:alignment horizontal="left" vertical="center"/>
    </x:xf>
    <x:xf numFmtId="0" fontId="6" fillId="10" borderId="15" xfId="0" applyFont="1" applyFill="1" applyBorder="1" applyAlignment="1">
      <x:alignment horizontal="left" vertical="center"/>
    </x:xf>
    <x:xf numFmtId="0" fontId="23" fillId="3" borderId="2" xfId="0" applyFont="1" applyFill="1" applyBorder="1" applyAlignment="1">
      <x:alignment horizontal="left" vertical="top" wrapText="1"/>
    </x:xf>
    <x:xf numFmtId="0" fontId="25" fillId="3" borderId="7" xfId="0" applyFont="1" applyFill="1" applyBorder="1" applyAlignment="1">
      <x:alignment horizontal="left" vertical="top" wrapText="1"/>
    </x:xf>
    <x:xf numFmtId="0" fontId="13" fillId="6" borderId="6" xfId="0" applyFont="1" applyFill="1" applyBorder="1" applyAlignment="1">
      <x:alignment horizontal="left" vertical="center" wrapText="1"/>
    </x:xf>
    <x:xf numFmtId="0" fontId="3" fillId="2" borderId="1" xfId="0" applyFont="1" applyFill="1" applyBorder="1" applyAlignment="1">
      <x:alignment horizontal="left" vertical="center"/>
    </x:xf>
    <x:xf numFmtId="0" fontId="0" fillId="0" borderId="0" xfId="0"/>
    <x:xf numFmtId="0" fontId="4" fillId="2" borderId="1" xfId="0" applyFont="1" applyFill="1" applyBorder="1" applyAlignment="1">
      <x:alignment horizontal="left" vertical="center"/>
    </x:xf>
    <x:xf numFmtId="0" fontId="11" fillId="4" borderId="3" xfId="0" applyFont="1" applyFill="1" applyBorder="1" applyAlignment="1">
      <x:alignment horizontal="left" vertical="center"/>
    </x:xf>
    <x:xf numFmtId="0" fontId="22" fillId="3" borderId="5" xfId="0" applyFont="1" applyFill="1" applyBorder="1" applyAlignment="1">
      <x:alignment horizontal="left"/>
    </x:xf>
    <x:xf numFmtId="0" fontId="21" fillId="3" borderId="2" xfId="0" applyFont="1" applyFill="1" applyBorder="1" applyAlignment="1">
      <x:alignment horizontal="left" vertical="center"/>
    </x:xf>
    <x:xf numFmtId="0" fontId="41" fillId="0" borderId="0" xfId="0" applyNumberFormat="1" applyFont="1" applyFill="1" applyBorder="1" applyAlignment="1">
      <x:alignment horizontal="left" vertical="center"/>
    </x:xf>
    <x:xf numFmtId="0" fontId="42" fillId="0" borderId="0" xfId="0" applyNumberFormat="1" applyFont="1" applyFill="1" applyBorder="1"/>
    <x:xf numFmtId="0" fontId="41" fillId="0" borderId="0" xfId="0" applyNumberFormat="1" applyFont="1" applyFill="1" applyBorder="1" applyAlignment="1">
      <x:alignment horizontal="left" vertical="center" wrapText="1"/>
    </x:xf>
    <x:xf numFmtId="0" fontId="42" fillId="0" borderId="0" xfId="0" applyNumberFormat="1" applyFont="1" applyFill="1" applyBorder="1" applyAlignment="1">
      <x:alignment wrapText="1"/>
    </x:xf>
    <x:xf numFmtId="0" fontId="42" fillId="0" borderId="0" xfId="0" applyNumberFormat="1" applyFont="1" applyFill="1" applyBorder="1" applyAlignment="1">
      <x:alignment vertical="center" wrapText="1"/>
    </x:xf>
    <x:xf numFmtId="0" fontId="14" fillId="13" borderId="7" xfId="0" applyNumberFormat="1" applyFont="1" applyFill="1" applyBorder="1" applyAlignment="1">
      <x:alignment horizontal="left" vertical="center"/>
    </x:xf>
    <x:xf numFmtId="168" fontId="15" fillId="13" borderId="7" xfId="0" applyNumberFormat="1" applyFont="1" applyFill="1" applyBorder="1" applyAlignment="1">
      <x:alignment horizontal="right" vertical="center"/>
    </x:xf>
    <x:xf numFmtId="0" fontId="25" fillId="13" borderId="7" xfId="0" applyNumberFormat="1" applyFont="1" applyFill="1" applyBorder="1" applyAlignment="1">
      <x:alignment horizontal="left" vertical="center" wrapText="1"/>
    </x:xf>
    <x:xf numFmtId="0" fontId="43" fillId="13" borderId="7" xfId="0" applyNumberFormat="1" applyFont="1" applyFill="1" applyBorder="1" applyAlignment="1">
      <x:alignment horizontal="left" vertical="center"/>
    </x:xf>
    <x:xf numFmtId="168" fontId="44" fillId="13" borderId="7" xfId="0" applyNumberFormat="1" applyFont="1" applyFill="1" applyBorder="1" applyAlignment="1">
      <x:alignment horizontal="right" vertical="center"/>
    </x:xf>
    <x:xf numFmtId="0" fontId="45" fillId="13" borderId="7" xfId="0" applyNumberFormat="1" applyFont="1" applyFill="1" applyBorder="1" applyAlignment="1">
      <x:alignment horizontal="left" vertical="center" wrapText="1"/>
    </x:xf>
    <x:xf numFmtId="168" fontId="14" fillId="13" borderId="7" xfId="0" applyNumberFormat="1" applyFont="1" applyFill="1" applyBorder="1" applyAlignment="1">
      <x:alignment horizontal="right" vertical="center"/>
    </x:xf>
    <x:xf numFmtId="0" fontId="10" fillId="13" borderId="3" xfId="0" applyNumberFormat="1" applyFont="1" applyFill="1" applyBorder="1" applyAlignment="1">
      <x:alignment horizontal="left" vertical="center"/>
    </x:xf>
    <x:xf numFmtId="0" fontId="43" fillId="13" borderId="3" xfId="0" applyNumberFormat="1" applyFont="1" applyFill="1" applyBorder="1" applyAlignment="1">
      <x:alignment horizontal="left" vertical="center"/>
    </x:xf>
    <x:xf numFmtId="0" fontId="44" fillId="13" borderId="3" xfId="0" applyNumberFormat="1" applyFont="1" applyFill="1" applyBorder="1" applyAlignment="1">
      <x:alignment horizontal="left" vertical="center"/>
    </x:xf>
    <x:xf numFmtId="0" fontId="46" fillId="13" borderId="3" xfId="0" applyNumberFormat="1" applyFont="1" applyFill="1" applyBorder="1" applyAlignment="1">
      <x:alignment horizontal="left" vertical="center"/>
    </x:xf>
    <x:xf numFmtId="200" fontId="44" fillId="13" borderId="7" xfId="0" applyNumberFormat="1" applyFont="1" applyFill="1" applyBorder="1" applyAlignment="1">
      <x:alignment horizontal="right" vertical="center"/>
    </x:xf>
    <x:xf numFmtId="200" fontId="15" fillId="0" borderId="7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0" fontId="14" fillId="0" borderId="7" xfId="0" applyNumberFormat="1" applyFont="1" applyFill="1" applyBorder="1" applyAlignment="1">
      <x:alignment horizontal="right" vertical="center"/>
    </x:xf>
    <x:xf numFmtId="200" fontId="14" fillId="0" borderId="0" xfId="0" applyNumberFormat="1" applyFont="1" applyFill="1" applyBorder="1" applyAlignment="1">
      <x:alignment horizontal="left" vertical="center"/>
    </x:xf>
    <x:xf numFmtId="200" fontId="44" fillId="13" borderId="3" xfId="0" applyNumberFormat="1" applyFont="1" applyFill="1" applyBorder="1" applyAlignment="1">
      <x:alignment horizontal="left" vertical="center"/>
    </x:xf>
    <x:xf numFmtId="0" fontId="14" fillId="14" borderId="7" xfId="0" applyNumberFormat="1" applyFont="1" applyFill="1" applyBorder="1" applyAlignment="1">
      <x:alignment horizontal="left" vertical="center"/>
    </x:xf>
    <x:xf numFmtId="200" fontId="15" fillId="14" borderId="7" xfId="0" applyNumberFormat="1" applyFont="1" applyFill="1" applyBorder="1" applyAlignment="1">
      <x:alignment horizontal="right" vertical="center"/>
    </x:xf>
    <x:xf numFmtId="0" fontId="25" fillId="14" borderId="7" xfId="0" applyNumberFormat="1" applyFont="1" applyFill="1" applyBorder="1" applyAlignment="1">
      <x:alignment horizontal="left" vertical="center" wrapText="1"/>
    </x:xf>
    <x:xf numFmtId="0" fontId="10" fillId="14" borderId="7" xfId="0" applyNumberFormat="1" applyFont="1" applyFill="1" applyBorder="1" applyAlignment="1">
      <x:alignment horizontal="left" vertical="center"/>
    </x:xf>
    <x:xf numFmtId="200" fontId="10" fillId="14" borderId="7" xfId="0" applyNumberFormat="1" applyFont="1" applyFill="1" applyBorder="1" applyAlignment="1">
      <x:alignment horizontal="right" vertical="center"/>
    </x:xf>
    <x:xf numFmtId="0" fontId="13" fillId="14" borderId="7" xfId="0" applyNumberFormat="1" applyFont="1" applyFill="1" applyBorder="1" applyAlignment="1">
      <x:alignment horizontal="left" vertical="center" wrapText="1"/>
    </x:xf>
    <x:xf numFmtId="0" fontId="10" fillId="14" borderId="10" xfId="0" applyNumberFormat="1" applyFont="1" applyFill="1" applyBorder="1" applyAlignment="1">
      <x:alignment horizontal="left" vertical="center"/>
    </x:xf>
    <x:xf numFmtId="200" fontId="10" fillId="14" borderId="10" xfId="0" applyNumberFormat="1" applyFont="1" applyFill="1" applyBorder="1" applyAlignment="1">
      <x:alignment horizontal="right" vertical="center"/>
    </x:xf>
    <x:xf numFmtId="0" fontId="13" fillId="14" borderId="10" xfId="0" applyNumberFormat="1" applyFont="1" applyFill="1" applyBorder="1" applyAlignment="1">
      <x:alignment horizontal="left" vertical="center" wrapText="1"/>
    </x:xf>
    <x:xf numFmtId="200" fontId="14" fillId="14" borderId="7" xfId="0" applyNumberFormat="1" applyFont="1" applyFill="1" applyBorder="1" applyAlignment="1">
      <x:alignment horizontal="right" vertical="center"/>
    </x:xf>
    <x:xf numFmtId="0" fontId="0" fillId="13" borderId="0" xfId="0" applyNumberFormat="1" applyFont="1" applyFill="1" applyBorder="1"/>
    <x:xf numFmtId="168" fontId="15" fillId="13" borderId="21" xfId="0" applyNumberFormat="1" applyFont="1" applyFill="1" applyBorder="1" applyAlignment="1">
      <x:alignment horizontal="right" vertical="center"/>
    </x:xf>
    <x:xf numFmtId="168" fontId="14" fillId="13" borderId="21" xfId="0" applyNumberFormat="1" applyFont="1" applyFill="1" applyBorder="1" applyAlignment="1">
      <x:alignment horizontal="right" vertical="center"/>
    </x:xf>
    <x:xf numFmtId="0" fontId="4" fillId="13" borderId="7" xfId="0" applyNumberFormat="1" applyFont="1" applyFill="1" applyBorder="1" applyAlignment="1">
      <x:alignment horizontal="left" vertical="center"/>
    </x:xf>
    <x:xf numFmtId="168" fontId="4" fillId="13" borderId="7" xfId="0" applyNumberFormat="1" applyFont="1" applyFill="1" applyBorder="1" applyAlignment="1">
      <x:alignment horizontal="right" vertical="center"/>
    </x:xf>
    <x:xf numFmtId="0" fontId="47" fillId="13" borderId="0" xfId="0" applyNumberFormat="1" applyFont="1" applyFill="1" applyBorder="1"/>
    <x:xf numFmtId="168" fontId="4" fillId="13" borderId="21" xfId="0" applyNumberFormat="1" applyFont="1" applyFill="1" applyBorder="1" applyAlignment="1">
      <x:alignment horizontal="right" vertical="center"/>
    </x:xf>
    <x:xf numFmtId="0" fontId="4" fillId="13" borderId="25" xfId="0" applyNumberFormat="1" applyFont="1" applyFill="1" applyBorder="1" applyAlignment="1">
      <x:alignment horizontal="left" vertical="center"/>
    </x:xf>
    <x:xf numFmtId="168" fontId="4" fillId="13" borderId="26" xfId="0" applyNumberFormat="1" applyFont="1" applyFill="1" applyBorder="1" applyAlignment="1">
      <x:alignment horizontal="right" vertical="center"/>
    </x:xf>
    <x:xf numFmtId="0" fontId="47" fillId="13" borderId="27" xfId="0" applyNumberFormat="1" applyFont="1" applyFill="1" applyBorder="1"/>
    <x:xf numFmtId="168" fontId="4" fillId="13" borderId="28" xfId="0" applyNumberFormat="1" applyFont="1" applyFill="1" applyBorder="1" applyAlignment="1">
      <x:alignment horizontal="right" vertical="center"/>
    </x:xf>
    <x:xf numFmtId="168" fontId="4" fillId="13" borderId="29" xfId="0" applyNumberFormat="1" applyFont="1" applyFill="1" applyBorder="1" applyAlignment="1">
      <x:alignment horizontal="right" vertical="center"/>
    </x:xf>
    <x:xf numFmtId="0" fontId="4" fillId="13" borderId="30" xfId="0" applyNumberFormat="1" applyFont="1" applyFill="1" applyBorder="1" applyAlignment="1">
      <x:alignment horizontal="left" vertical="center"/>
    </x:xf>
    <x:xf numFmtId="168" fontId="4" fillId="13" borderId="31" xfId="0" applyNumberFormat="1" applyFont="1" applyFill="1" applyBorder="1" applyAlignment="1">
      <x:alignment horizontal="right" vertical="center"/>
    </x:xf>
    <x:xf numFmtId="0" fontId="47" fillId="13" borderId="32" xfId="0" applyNumberFormat="1" applyFont="1" applyFill="1" applyBorder="1"/>
    <x:xf numFmtId="168" fontId="4" fillId="13" borderId="33" xfId="0" applyNumberFormat="1" applyFont="1" applyFill="1" applyBorder="1" applyAlignment="1">
      <x:alignment horizontal="right" vertical="center"/>
    </x:xf>
    <x:xf numFmtId="168" fontId="4" fillId="13" borderId="34" xfId="0" applyNumberFormat="1" applyFont="1" applyFill="1" applyBorder="1" applyAlignment="1">
      <x:alignment horizontal="right" vertical="center"/>
    </x:xf>
    <x:xf numFmtId="0" fontId="4" fillId="13" borderId="35" xfId="0" applyNumberFormat="1" applyFont="1" applyFill="1" applyBorder="1" applyAlignment="1">
      <x:alignment horizontal="left" vertical="center"/>
    </x:xf>
    <x:xf numFmtId="168" fontId="4" fillId="13" borderId="36" xfId="0" applyNumberFormat="1" applyFont="1" applyFill="1" applyBorder="1" applyAlignment="1">
      <x:alignment horizontal="right" vertical="center"/>
    </x:xf>
    <x:xf numFmtId="0" fontId="47" fillId="13" borderId="36" xfId="0" applyNumberFormat="1" applyFont="1" applyFill="1" applyBorder="1"/>
    <x:xf numFmtId="168" fontId="4" fillId="13" borderId="37" xfId="0" applyNumberFormat="1" applyFont="1" applyFill="1" applyBorder="1" applyAlignment="1">
      <x:alignment horizontal="right" vertical="center"/>
    </x:xf>
    <x:xf numFmtId="168" fontId="4" fillId="13" borderId="38" xfId="0" applyNumberFormat="1" applyFont="1" applyFill="1" applyBorder="1" applyAlignment="1">
      <x:alignment horizontal="right" vertical="center"/>
    </x:xf>
  </x:cellXfs>
  <x:cellStyles count="3">
    <x:cellStyle name="Hyperlink" xfId="2"/>
    <x:cellStyle name="Hyperlink 1" xfId="1"/>
    <x:cellStyle name="Normal" xfId="0"/>
  </x:cellStyles>
  <x:dxfs count="6">
    <x:dxf>
      <x:font>
        <x:b/>
        <x:color rgb="FF1B6B4A"/>
      </x:font>
      <x:fill>
        <x:patternFill>
          <x:bgColor rgb="FFE9F3ED"/>
        </x:patternFill>
      </x:fill>
    </x:dxf>
    <x:dxf>
      <x:font>
        <x:b/>
        <x:color rgb="FFA3231C"/>
      </x:font>
      <x:fill>
        <x:patternFill>
          <x:bgColor rgb="FFFBEAE8"/>
        </x:patternFill>
      </x:fill>
    </x:dxf>
    <x:dxf>
      <x:font>
        <x:b/>
        <x:color rgb="FF1B6B4A"/>
      </x:font>
      <x:fill>
        <x:patternFill>
          <x:bgColor rgb="FFE9F3ED"/>
        </x:patternFill>
      </x:fill>
    </x:dxf>
    <x:dxf>
      <x:font>
        <x:b/>
        <x:color rgb="FFA3231C"/>
      </x:font>
      <x:fill>
        <x:patternFill>
          <x:bgColor rgb="FFFBEAE8"/>
        </x:patternFill>
      </x:fill>
    </x:dxf>
    <x:dxf>
      <x:font>
        <x:b/>
        <x:color rgb="FFA3231C"/>
      </x:font>
      <x:fill>
        <x:patternFill>
          <x:bgColor rgb="FFFBEAE8"/>
        </x:patternFill>
      </x:fill>
    </x:dxf>
    <x:dxf>
      <x:font>
        <x:b/>
        <x:color rgb="FF1B6B4A"/>
      </x:font>
      <x:fill>
        <x:patternFill>
          <x:bgColor rgb="FFE9F3ED"/>
        </x:patternFill>
      </x:fill>
    </x:dxf>
  </x:dxfs>
  <x:colors>
    <x:indexedColors>
      <x:rgbColor rgb="FF000000"/>
      <x:rgbColor rgb="FFFFFFFF"/>
      <x:rgbColor rgb="FFC00000"/>
      <x:rgbColor rgb="FFEDEDED"/>
      <x:rgbColor rgb="FF0000FF"/>
      <x:rgbColor rgb="FFFFFF00"/>
      <x:rgbColor rgb="FFF2F2F2"/>
      <x:rgbColor rgb="FFDEEBF7"/>
      <x:rgbColor rgb="FF9C0006"/>
      <x:rgbColor rgb="FF007400"/>
      <x:rgbColor rgb="FF16324F"/>
      <x:rgbColor rgb="FFBF8F00"/>
      <x:rgbColor rgb="FF5B50C8"/>
      <x:rgbColor rgb="FF2E7D32"/>
      <x:rgbColor rgb="FFBEBFBE"/>
      <x:rgbColor rgb="FF808080"/>
      <x:rgbColor rgb="FF5795D0"/>
      <x:rgbColor rgb="FF7030A0"/>
      <x:rgbColor rgb="FFFFF2CC"/>
      <x:rgbColor rgb="FFD9EAF7"/>
      <x:rgbColor rgb="FF1F4E78"/>
      <x:rgbColor rgb="FFC98212"/>
      <x:rgbColor rgb="FF0667C1"/>
      <x:rgbColor rgb="FFD6DCE5"/>
      <x:rgbColor rgb="FF1F4E79"/>
      <x:rgbColor rgb="FFEAF3F8"/>
      <x:rgbColor rgb="FFD9EAD3"/>
      <x:rgbColor rgb="FFE2EFDA"/>
      <x:rgbColor rgb="FF5B6573"/>
      <x:rgbColor rgb="FFF7F4EF"/>
      <x:rgbColor rgb="FF0198E9"/>
      <x:rgbColor rgb="FF2E5496"/>
      <x:rgbColor rgb="FFEAE6DF"/>
      <x:rgbColor rgb="FFDDEBF7"/>
      <x:rgbColor rgb="FFE2F0D9"/>
      <x:rgbColor rgb="FFFBE5D6"/>
      <x:rgbColor rgb="FFD9E1F2"/>
      <x:rgbColor rgb="FFF4B084"/>
      <x:rgbColor rgb="FFD9D4CC"/>
      <x:rgbColor rgb="FFF8CBAD"/>
      <x:rgbColor rgb="FF2E75B6"/>
      <x:rgbColor rgb="FFD9E2F3"/>
      <x:rgbColor rgb="FFBF9000"/>
      <x:rgbColor rgb="FFFCE4D6"/>
      <x:rgbColor rgb="FFF59E0B"/>
      <x:rgbColor rgb="FFC55A17"/>
      <x:rgbColor rgb="FF6B7280"/>
      <x:rgbColor rgb="FF666666"/>
      <x:rgbColor rgb="FF16365C"/>
      <x:rgbColor rgb="FF468235"/>
      <x:rgbColor rgb="FF0B1736"/>
      <x:rgbColor rgb="FF31491F"/>
      <x:rgbColor rgb="FF814800"/>
      <x:rgbColor rgb="FF595959"/>
      <x:rgbColor rgb="FF1F3864"/>
      <x:rgbColor rgb="FF1A2538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d353debd743ea" /><Relationship Type="http://schemas.openxmlformats.org/officeDocument/2006/relationships/theme" Target="/xl/theme/theme1.xml" Id="Ree0c81299b2e4ab3" /><Relationship Type="http://schemas.openxmlformats.org/officeDocument/2006/relationships/sharedStrings" Target="/xl/sharedStrings.xml" Id="Rac46c4eb53c44f5e" /><Relationship Type="http://schemas.openxmlformats.org/officeDocument/2006/relationships/worksheet" Target="/xl/worksheets/sheet1.xml" Id="Rd4b71b4d2eb5497c" /><Relationship Type="http://schemas.openxmlformats.org/officeDocument/2006/relationships/worksheet" Target="/xl/worksheets/sheet2.xml" Id="R59f74bc2af454dcc" /><Relationship Type="http://schemas.openxmlformats.org/officeDocument/2006/relationships/worksheet" Target="/xl/worksheets/sheet3.xml" Id="Raf0ae57c637149d5" /><Relationship Type="http://schemas.openxmlformats.org/officeDocument/2006/relationships/worksheet" Target="/xl/worksheets/sheet4.xml" Id="Rb88773f79ab340ca" /><Relationship Type="http://schemas.openxmlformats.org/officeDocument/2006/relationships/worksheet" Target="/xl/worksheets/sheet5.xml" Id="Rf704fc8b35554e7a" /><Relationship Type="http://schemas.openxmlformats.org/officeDocument/2006/relationships/worksheet" Target="/xl/worksheets/sheet6.xml" Id="R4657f6e1e5c349f4" /><Relationship Type="http://schemas.openxmlformats.org/officeDocument/2006/relationships/worksheet" Target="/xl/worksheets/sheet7.xml" Id="R21372d8859d545de" /><Relationship Type="http://schemas.openxmlformats.org/officeDocument/2006/relationships/worksheet" Target="/xl/worksheets/sheet8.xml" Id="R292a874fd8a643a7" /><Relationship Type="http://schemas.openxmlformats.org/officeDocument/2006/relationships/worksheet" Target="/xl/worksheets/sheet9.xml" Id="R31a24c391ea549c9" /><Relationship Type="http://schemas.openxmlformats.org/officeDocument/2006/relationships/worksheet" Target="/xl/worksheets/sheet10.xml" Id="R661af177160047ef" /><Relationship Type="http://schemas.openxmlformats.org/officeDocument/2006/relationships/worksheet" Target="/xl/worksheets/sheet11.xml" Id="R78901081091140e2" /><Relationship Type="http://schemas.openxmlformats.org/officeDocument/2006/relationships/worksheet" Target="/xl/worksheets/sheet12.xml" Id="R8a2abecca4e24254" /><Relationship Type="http://schemas.openxmlformats.org/officeDocument/2006/relationships/worksheet" Target="/xl/worksheets/sheet13.xml" Id="Re34c42e98920456a" /><Relationship Type="http://schemas.openxmlformats.org/officeDocument/2006/relationships/worksheet" Target="/xl/worksheets/sheet14.xml" Id="Rf65ce0df77e049ef" /><Relationship Type="http://schemas.openxmlformats.org/officeDocument/2006/relationships/worksheet" Target="/xl/worksheets/sheet15.xml" Id="R602e760a0f694c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faa379f0944e54" /><Relationship Type="http://schemas.openxmlformats.org/officeDocument/2006/relationships/chart" Target="/xl/drawings/charts/chart2.xml" Id="Rb1f7d02337274742" /><Relationship Type="http://schemas.openxmlformats.org/officeDocument/2006/relationships/chart" Target="/xl/drawings/charts/chart3.xml" Id="R5a190ae10e734311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0740767931869907"/>
          <c:y val="0.0489806724913953"/>
          <c:w val="0.896116291021217"/>
          <c:h val="0.750860471273498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Dashboard!$C$57</c:f>
              <c:strCache>
                <c:ptCount val="1"/>
                <c:pt idx="0">
                  <c:v>Revenue</c:v>
                </c:pt>
              </c:strCache>
            </c:strRef>
          </c:tx>
          <c:spPr>
            <a:ln xmlns:a="http://schemas.openxmlformats.org/drawingml/2006/main" w="25920">
              <a:solidFill>
                <a:srgbClr val="1B2A41"/>
              </a:solidFill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Dashboard!$C$58:$C$62</c:f>
              <c:numCache>
                <c:formatCode>#,##0.0;\(#,##0.0\);0.0</c:formatCode>
                <c:ptCount val="5"/>
                <c:pt idx="0">
                  <c:v>0.0024490500000000004</c:v>
                </c:pt>
                <c:pt idx="1">
                  <c:v>0.404549</c:v>
                </c:pt>
                <c:pt idx="2">
                  <c:v>1.387904</c:v>
                </c:pt>
                <c:pt idx="3">
                  <c:v>8.942691920000001</c:v>
                </c:pt>
                <c:pt idx="4">
                  <c:v>17.832613677500003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Dashboard!$D$57</c:f>
              <c:strCache>
                <c:ptCount val="1"/>
                <c:pt idx="0">
                  <c:v>EBITDA</c:v>
                </c:pt>
              </c:strCache>
            </c:strRef>
          </c:tx>
          <c:spPr>
            <a:ln xmlns:a="http://schemas.openxmlformats.org/drawingml/2006/main" w="25920">
              <a:solidFill>
                <a:srgbClr val="C08A1E"/>
              </a:solidFill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Dashboard!$D$58:$D$62</c:f>
              <c:numCache>
                <c:formatCode>#,##0.0;\(#,##0.0\);0.0</c:formatCode>
                <c:ptCount val="5"/>
                <c:pt idx="0">
                  <c:v>-0.7623664391145833</c:v>
                </c:pt>
                <c:pt idx="1">
                  <c:v>-0.834248828125</c:v>
                </c:pt>
                <c:pt idx="2">
                  <c:v>-0.3784545833333333</c:v>
                </c:pt>
                <c:pt idx="3">
                  <c:v>5.002029107500002</c:v>
                </c:pt>
                <c:pt idx="4">
                  <c:v>11.753016240000003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4625"/>
        <c:axId val="84939916"/>
      </c:lineChart>
      <c:catAx>
        <c:axId val="15324625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Fiscal year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84939916"/>
        <c:crosses val="autoZero"/>
      </c:catAx>
      <c:valAx>
        <c:axId val="84939916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Amount (GBP m)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15324625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667385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EDF0F4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309961608405739"/>
          <c:y val="0.179615608619686"/>
          <c:w val="0.541523540109113"/>
          <c:h val="0.537216074548631"/>
        </c:manualLayout>
      </c:layout>
      <c:barChart>
        <c:barDir val="bar"/>
        <c:grouping val="clustered"/>
        <c:varyColors val="1"/>
        <c:ser>
          <c:idx val="0"/>
          <c:order val="0"/>
          <c:tx>
            <c:v>Amount</c:v>
          </c:tx>
          <c:spPr>
            <a:solidFill xmlns:a="http://schemas.openxmlformats.org/drawingml/2006/main">
              <a:srgbClr val="3A6491"/>
            </a:solidFill>
            <a:ln xmlns:a="http://schemas.openxmlformats.org/drawingml/2006/main" w="12600">
              <a:noFill/>
            </a:ln>
          </c:spPr>
          <c:dPt>
            <c:idx val="1"/>
            <c:invertIfNegative val="0"/>
            <c:spPr>
              <a:solidFill xmlns:a="http://schemas.openxmlformats.org/drawingml/2006/main">
                <a:srgbClr val="C08A1E"/>
              </a:solidFill>
              <a:ln xmlns:a="http://schemas.openxmlformats.org/drawingml/2006/main" w="12600">
                <a:noFill/>
              </a:ln>
            </c:spPr>
          </c:dPt>
          <c:dPt>
            <c:idx val="2"/>
            <c:invertIfNegative val="0"/>
            <c:spPr>
              <a:solidFill xmlns:a="http://schemas.openxmlformats.org/drawingml/2006/main">
                <a:srgbClr val="2F6F4E"/>
              </a:solidFill>
              <a:ln xmlns:a="http://schemas.openxmlformats.org/drawingml/2006/main" w="12600">
                <a:noFill/>
              </a:ln>
            </c:spPr>
          </c:dPt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u="none">
                      <a:solidFill>
                        <a:srgbClr val="667385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u="none">
                      <a:solidFill>
                        <a:srgbClr val="667385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u="none">
                      <a:solidFill>
                        <a:srgbClr val="667385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</c:dLbls>
          <c:cat>
            <c:strRef>
              <c:f>Dashboard!$F$58:$F$60</c:f>
              <c:strCache>
                <c:ptCount val="3"/>
                <c:pt idx="0">
                  <c:v>Peak operating deficit</c:v>
                </c:pt>
                <c:pt idx="1">
                  <c:v>Operating reserve</c:v>
                </c:pt>
                <c:pt idx="2">
                  <c:v>Initial restricted capital</c:v>
                </c:pt>
              </c:strCache>
            </c:strRef>
          </c:cat>
          <c:val>
            <c:numRef>
              <c:f>Dashboard!$G$58:$G$60</c:f>
              <c:numCache>
                <c:formatCode>#,##0.0;\(#,##0.0\);0.0</c:formatCode>
                <c:ptCount val="3"/>
                <c:pt idx="0">
                  <c:v>2.649419</c:v>
                </c:pt>
                <c:pt idx="1">
                  <c:v>0.191027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94588"/>
        <c:axId val="93394609"/>
      </c:barChart>
      <c:catAx>
        <c:axId val="8859458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Funding category </a:t>
                </a:r>
              </a:p>
            </c:rich>
          </c:tx>
          <c:layout>
            <c:manualLayout>
              <c:xMode val="edge"/>
              <c:yMode val="edge"/>
              <c:x val="0.0193305044790193"/>
              <c:y val="0.165870704717531"/>
            </c:manualLayout>
          </c:layout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93394609"/>
        <c:crosses val="autoZero"/>
      </c:catAx>
      <c:valAx>
        <c:axId val="93394609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8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Amount (GBP m)</a:t>
                </a:r>
              </a:p>
            </c:rich>
          </c:tx>
          <c:layout>
            <c:manualLayout>
              <c:xMode val="edge"/>
              <c:yMode val="edge"/>
              <c:x val="0.37334141577423"/>
              <c:y val="0.832149097262667"/>
            </c:manualLayout>
          </c:layout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8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88594588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 w="0">
          <a:noFill/>
        </a:ln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EDF0F4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Dashboard!$C$67</c:f>
              <c:strCache>
                <c:ptCount val="1"/>
                <c:pt idx="0">
                  <c:v>Low</c:v>
                </c:pt>
              </c:strCache>
            </c:strRef>
          </c:tx>
          <c:spPr>
            <a:ln xmlns:a="http://schemas.openxmlformats.org/drawingml/2006/main" w="25920">
              <a:solidFill>
                <a:srgbClr val="939EAC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Dashboard!$C$68:$C$77</c:f>
              <c:numCache>
                <c:formatCode>#,##0.0;\(#,##0.0\);0.0</c:formatCode>
                <c:ptCount val="10"/>
                <c:pt idx="0">
                  <c:v>-0.6554</c:v>
                </c:pt>
                <c:pt idx="1">
                  <c:v>-1.067873</c:v>
                </c:pt>
                <c:pt idx="2">
                  <c:v>-1.623505</c:v>
                </c:pt>
                <c:pt idx="3">
                  <c:v>-2.118265</c:v>
                </c:pt>
                <c:pt idx="4">
                  <c:v>-2.53607</c:v>
                </c:pt>
                <c:pt idx="5">
                  <c:v>-2.899562</c:v>
                </c:pt>
                <c:pt idx="6">
                  <c:v>-3.350263</c:v>
                </c:pt>
                <c:pt idx="7">
                  <c:v>-3.762259</c:v>
                </c:pt>
                <c:pt idx="8">
                  <c:v>-3.465142</c:v>
                </c:pt>
                <c:pt idx="9">
                  <c:v>-2.924278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Dashboard!$D$67</c:f>
              <c:strCache>
                <c:ptCount val="1"/>
                <c:pt idx="0">
                  <c:v>Base</c:v>
                </c:pt>
              </c:strCache>
            </c:strRef>
          </c:tx>
          <c:spPr>
            <a:ln xmlns:a="http://schemas.openxmlformats.org/drawingml/2006/main" w="25920">
              <a:solidFill>
                <a:srgbClr val="3A6491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Dashboard!$D$68:$D$77</c:f>
              <c:numCache>
                <c:formatCode>#,##0.0;\(#,##0.0\);0.0</c:formatCode>
                <c:ptCount val="10"/>
                <c:pt idx="0">
                  <c:v>-0.6554</c:v>
                </c:pt>
                <c:pt idx="1">
                  <c:v>-1.068227</c:v>
                </c:pt>
                <c:pt idx="2">
                  <c:v>-1.559162</c:v>
                </c:pt>
                <c:pt idx="3">
                  <c:v>-1.976288</c:v>
                </c:pt>
                <c:pt idx="4">
                  <c:v>-2.240146</c:v>
                </c:pt>
                <c:pt idx="5">
                  <c:v>-2.436688</c:v>
                </c:pt>
                <c:pt idx="6">
                  <c:v>-0.565238</c:v>
                </c:pt>
                <c:pt idx="7">
                  <c:v>1.935778</c:v>
                </c:pt>
                <c:pt idx="8">
                  <c:v>7.071459</c:v>
                </c:pt>
                <c:pt idx="9">
                  <c:v>12.947967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Dashboard!$E$67</c:f>
              <c:strCache>
                <c:ptCount val="1"/>
                <c:pt idx="0">
                  <c:v>High</c:v>
                </c:pt>
              </c:strCache>
            </c:strRef>
          </c:tx>
          <c:spPr>
            <a:ln xmlns:a="http://schemas.openxmlformats.org/drawingml/2006/main" w="25920">
              <a:solidFill>
                <a:srgbClr val="2F6F4E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Dashboard!$E$68:$E$77</c:f>
              <c:numCache>
                <c:formatCode>#,##0.0;\(#,##0.0\);0.0</c:formatCode>
                <c:ptCount val="10"/>
                <c:pt idx="0">
                  <c:v>-0.6554</c:v>
                </c:pt>
                <c:pt idx="1">
                  <c:v>-1.068902</c:v>
                </c:pt>
                <c:pt idx="2">
                  <c:v>-1.437783</c:v>
                </c:pt>
                <c:pt idx="3">
                  <c:v>-1.709259</c:v>
                </c:pt>
                <c:pt idx="4">
                  <c:v>-1.735746</c:v>
                </c:pt>
                <c:pt idx="5">
                  <c:v>-1.676676</c:v>
                </c:pt>
                <c:pt idx="6">
                  <c:v>2.721956</c:v>
                </c:pt>
                <c:pt idx="7">
                  <c:v>8.323742</c:v>
                </c:pt>
                <c:pt idx="8">
                  <c:v>20.267924</c:v>
                </c:pt>
                <c:pt idx="9">
                  <c:v>33.92171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47149"/>
        <c:axId val="14456823"/>
      </c:lineChart>
      <c:catAx>
        <c:axId val="74347149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6-month checkpoint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14456823"/>
        <c:crosses val="autoZero"/>
      </c:catAx>
      <c:valAx>
        <c:axId val="14456823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Cash balance (GBP m)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667385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out"/>
        <c:minorTickMark val="none"/>
        <c:tickLblPos val="nextTo"/>
        <c:spPr>
          <a:ln xmlns:a="http://schemas.openxmlformats.org/drawingml/2006/main" w="0">
            <a:solidFill>
              <a:srgbClr val="DDE2E8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</a:p>
        </c:txPr>
        <c:crossAx val="74347149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 w="0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u="none">
              <a:solidFill>
                <a:srgbClr val="667385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EDF0F4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26504</xdr:colOff>
      <xdr:row>14</xdr:row>
      <xdr:rowOff>54093</xdr:rowOff>
    </xdr:from>
    <xdr:to>
      <xdr:col>7</xdr:col>
      <xdr:colOff>44065</xdr:colOff>
      <xdr:row>20</xdr:row>
      <xdr:rowOff>206850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faa379f0944e54"/>
        </a:graphicData>
      </a:graphic>
    </xdr:graphicFrame>
    <xdr:clientData/>
  </xdr:twoCellAnchor>
  <xdr:twoCellAnchor>
    <xdr:from>
      <xdr:col>7</xdr:col>
      <xdr:colOff>792692</xdr:colOff>
      <xdr:row>14</xdr:row>
      <xdr:rowOff>59267</xdr:rowOff>
    </xdr:from>
    <xdr:to>
      <xdr:col>14</xdr:col>
      <xdr:colOff>850982</xdr:colOff>
      <xdr:row>21</xdr:row>
      <xdr:rowOff>148907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f7d02337274742"/>
        </a:graphicData>
      </a:graphic>
    </xdr:graphicFrame>
    <xdr:clientData/>
  </xdr:twoCellAnchor>
  <xdr:twoCellAnchor>
    <xdr:from>
      <xdr:col>0</xdr:col>
      <xdr:colOff>84667</xdr:colOff>
      <xdr:row>22</xdr:row>
      <xdr:rowOff>417660</xdr:rowOff>
    </xdr:from>
    <xdr:to>
      <xdr:col>7</xdr:col>
      <xdr:colOff>56237</xdr:colOff>
      <xdr:row>35</xdr:row>
      <xdr:rowOff>15987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190ae10e7343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ab8c268e6f446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rulebooks.vara.ae/rulebook/schedule-2-supervision-and-authorisation-fees" TargetMode="External" Id="R4a02806387d74216" /><Relationship Type="http://schemas.openxmlformats.org/officeDocument/2006/relationships/hyperlink" Target="https://rulebooks.vara.ae/rulebook/b-paid-capital" TargetMode="External" Id="Rf7779220c43c4729" /></Relationships>
</file>

<file path=xl/worksheets/sheet1.xml><?xml version="1.0" encoding="utf-8"?>
<x:worksheet xmlns:x="http://schemas.openxmlformats.org/spreadsheetml/2006/main">
  <x:sheetPr>
    <x:tabColor rgb="FF1B2A41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6" customWidth="1"/>
    <x:col min="3" max="3" width="32" customWidth="1"/>
    <x:col min="4" max="4" width="96" customWidth="1"/>
  </x:cols>
  <x:sheetData>
    <x:row r="2" ht="33.95000076293945" customHeight="1">
      <x:c r="B2" s="3" t="s">
        <x:v>0</x:v>
      </x:c>
    </x:row>
    <x:row r="3" ht="18" customHeight="1">
      <x:c r="B3" s="51" t="s">
        <x:v>1</x:v>
      </x:c>
    </x:row>
    <x:row r="4" ht="9.949999809265137" customHeight="1"/>
    <x:row r="5" ht="21" customHeight="1">
      <x:c r="B5" s="5" t="s">
        <x:v>2</x:v>
      </x:c>
      <x:c r="C5" s="5"/>
      <x:c r="D5" s="6" t="s">
        <x:v>3</x:v>
      </x:c>
    </x:row>
    <x:row r="6" ht="15" customHeight="1">
      <x:c r="B6" s="43" t="s">
        <x:v>4</x:v>
      </x:c>
    </x:row>
    <x:row r="7" ht="20.100000381469727" customHeight="1">
      <x:c r="B7" s="8" t="s">
        <x:v>5</x:v>
      </x:c>
      <x:c r="C7" s="8"/>
      <x:c r="D7" s="8"/>
    </x:row>
    <x:row r="8" ht="17.100000381469727" customHeight="1">
      <x:c r="B8" s="46">
        <x:v>1</x:v>
      </x:c>
      <x:c r="C8" s="147" t="s">
        <x:v>6</x:v>
      </x:c>
      <x:c r="D8" s="47" t="s">
        <x:v>7</x:v>
      </x:c>
    </x:row>
    <x:row r="9" ht="17.100000381469727" customHeight="1">
      <x:c r="B9" s="46">
        <x:v>2</x:v>
      </x:c>
      <x:c r="C9" s="147" t="s">
        <x:v>8</x:v>
      </x:c>
      <x:c r="D9" s="47" t="s">
        <x:v>9</x:v>
      </x:c>
    </x:row>
    <x:row r="10" ht="6.949999809265137" customHeight="1"/>
    <x:row r="11" ht="20.100000381469727" customHeight="1">
      <x:c r="B11" s="8" t="s">
        <x:v>10</x:v>
      </x:c>
      <x:c r="C11" s="8"/>
      <x:c r="D11" s="8"/>
    </x:row>
    <x:row r="12" ht="17.100000381469727" customHeight="1">
      <x:c r="B12" s="46">
        <x:v>3</x:v>
      </x:c>
      <x:c r="C12" s="147" t="s">
        <x:v>11</x:v>
      </x:c>
      <x:c r="D12" s="47" t="s">
        <x:v>12</x:v>
      </x:c>
    </x:row>
    <x:row r="13" ht="6.949999809265137" customHeight="1"/>
    <x:row r="14" ht="20.100000381469727" customHeight="1">
      <x:c r="B14" s="8" t="s">
        <x:v>13</x:v>
      </x:c>
      <x:c r="C14" s="8"/>
      <x:c r="D14" s="8"/>
    </x:row>
    <x:row r="15" ht="17.100000381469727" customHeight="1">
      <x:c r="B15" s="46">
        <x:v>4</x:v>
      </x:c>
      <x:c r="C15" s="147" t="s">
        <x:v>14</x:v>
      </x:c>
      <x:c r="D15" s="47" t="s">
        <x:v>15</x:v>
      </x:c>
    </x:row>
    <x:row r="16" ht="17.100000381469727" customHeight="1">
      <x:c r="B16" s="46">
        <x:v>5</x:v>
      </x:c>
      <x:c r="C16" s="147" t="s">
        <x:v>16</x:v>
      </x:c>
      <x:c r="D16" s="47" t="str">
        <x:v>Supporting calculations for ancillary revenue and operating-risk costs.</x:v>
      </x:c>
    </x:row>
    <x:row r="17" ht="6.949999809265137" customHeight="1"/>
    <x:row r="18" ht="20.100000381469727" customHeight="1">
      <x:c r="B18" s="8" t="s">
        <x:v>17</x:v>
      </x:c>
      <x:c r="C18" s="8"/>
      <x:c r="D18" s="8"/>
    </x:row>
    <x:row r="19" ht="17.100000381469727" customHeight="1">
      <x:c r="B19" s="46">
        <x:v>6</x:v>
      </x:c>
      <x:c r="C19" s="147" t="s">
        <x:v>18</x:v>
      </x:c>
      <x:c r="D19" s="47" t="s">
        <x:v>19</x:v>
      </x:c>
    </x:row>
    <x:row r="20" ht="17.100000381469727" customHeight="1">
      <x:c r="B20" s="46">
        <x:v>7</x:v>
      </x:c>
      <x:c r="C20" s="147" t="s">
        <x:v>20</x:v>
      </x:c>
      <x:c r="D20" s="47" t="s">
        <x:v>21</x:v>
      </x:c>
    </x:row>
    <x:row r="21" ht="17.100000381469727" customHeight="1">
      <x:c r="B21" s="46">
        <x:v>8</x:v>
      </x:c>
      <x:c r="C21" s="147" t="s">
        <x:v>22</x:v>
      </x:c>
      <x:c r="D21" s="47" t="s">
        <x:v>23</x:v>
      </x:c>
    </x:row>
    <x:row r="22" ht="6.949999809265137" customHeight="1"/>
    <x:row r="23" ht="20.100000381469727" customHeight="1">
      <x:c r="B23" s="8" t="s">
        <x:v>24</x:v>
      </x:c>
      <x:c r="C23" s="8"/>
      <x:c r="D23" s="8"/>
    </x:row>
    <x:row r="24" ht="17.100000381469727" customHeight="1">
      <x:c r="B24" s="46">
        <x:v>9</x:v>
      </x:c>
      <x:c r="C24" s="147" t="s">
        <x:v>25</x:v>
      </x:c>
      <x:c r="D24" s="47" t="s">
        <x:v>26</x:v>
      </x:c>
    </x:row>
    <x:row r="25" ht="17.100000381469727" customHeight="1">
      <x:c r="B25" s="46">
        <x:v>10</x:v>
      </x:c>
      <x:c r="C25" s="147" t="s">
        <x:v>27</x:v>
      </x:c>
      <x:c r="D25" s="47" t="s">
        <x:v>28</x:v>
      </x:c>
    </x:row>
    <x:row r="26" ht="17.100000381469727" customHeight="1">
      <x:c r="B26" s="46">
        <x:v>11</x:v>
      </x:c>
      <x:c r="C26" s="147" t="s">
        <x:v>29</x:v>
      </x:c>
      <x:c r="D26" s="47" t="s">
        <x:v>30</x:v>
      </x:c>
    </x:row>
    <x:row r="27" ht="17.100000381469727" customHeight="1">
      <x:c r="B27" s="46">
        <x:v>12</x:v>
      </x:c>
      <x:c r="C27" s="147" t="s">
        <x:v>31</x:v>
      </x:c>
      <x:c r="D27" s="47" t="s">
        <x:v>32</x:v>
      </x:c>
    </x:row>
    <x:row r="28" ht="17.100000381469727" customHeight="1">
      <x:c r="B28" s="46">
        <x:v>13</x:v>
      </x:c>
      <x:c r="C28" s="147" t="s">
        <x:v>33</x:v>
      </x:c>
      <x:c r="D28" s="47" t="s">
        <x:v>34</x:v>
      </x:c>
    </x:row>
    <x:row r="29" ht="6.949999809265137" customHeight="1"/>
    <x:row r="30" ht="20.100000381469727" customHeight="1">
      <x:c r="B30" s="8" t="s">
        <x:v>35</x:v>
      </x:c>
      <x:c r="C30" s="8"/>
      <x:c r="D30" s="8"/>
    </x:row>
    <x:row r="31" ht="17.100000381469727" customHeight="1">
      <x:c r="B31" s="46">
        <x:v>14</x:v>
      </x:c>
      <x:c r="C31" s="147" t="s">
        <x:v>36</x:v>
      </x:c>
      <x:c r="D31" s="47" t="s">
        <x:v>37</x:v>
      </x:c>
    </x:row>
    <x:row r="32" ht="17.100000381469727" customHeight="1">
      <x:c r="B32" s="46">
        <x:v>15</x:v>
      </x:c>
      <x:c r="C32" s="147" t="s">
        <x:v>38</x:v>
      </x:c>
      <x:c r="D32" s="47" t="s">
        <x:v>39</x:v>
      </x:c>
    </x:row>
    <x:row r="33" ht="17.100000381469727" hidden="1" customHeight="1">
      <x:c r="B33" s="46"/>
      <x:c r="C33" s="45"/>
      <x:c r="D33" s="47"/>
    </x:row>
    <x:row r="34" ht="6.949999809265137" hidden="1" customHeight="1"/>
    <x:row r="35" ht="20.100000381469727" hidden="1" customHeight="1">
      <x:c r="B35" s="8"/>
      <x:c r="C35" s="8"/>
      <x:c r="D35" s="8"/>
    </x:row>
    <x:row r="36" ht="17.100000381469727" hidden="1" customHeight="1">
      <x:c r="B36" s="46"/>
      <x:c r="C36" s="45"/>
      <x:c r="D36" s="47"/>
    </x:row>
    <x:row r="37" ht="17.100000381469727" hidden="1" customHeight="1">
      <x:c r="B37" s="46"/>
      <x:c r="C37" s="45"/>
      <x:c r="D37" s="47"/>
    </x:row>
    <x:row r="38" ht="6.949999809265137" hidden="1" customHeight="1"/>
    <x:row r="39" ht="6.949999809265137" customHeight="1"/>
    <x:row r="40" ht="21" customHeight="1">
      <x:c r="B40" s="5" t="s">
        <x:v>40</x:v>
      </x:c>
      <x:c r="C40" s="5"/>
      <x:c r="D40" s="5"/>
    </x:row>
    <x:row r="41" ht="15.949999809265137" customHeight="1">
      <x:c r="B41" s="42" t="s">
        <x:v>41</x:v>
      </x:c>
    </x:row>
    <x:row r="42" ht="15.949999809265137" customHeight="1">
      <x:c r="B42" s="42" t="s">
        <x:v>42</x:v>
      </x:c>
    </x:row>
    <x:row r="43" ht="15.949999809265137" customHeight="1">
      <x:c r="B43" s="42" t="s">
        <x:v>43</x:v>
      </x:c>
    </x:row>
    <x:row r="44" ht="8.100000381469727" customHeight="1"/>
    <x:row r="45" ht="21" customHeight="1">
      <x:c r="B45" s="5" t="s">
        <x:v>44</x:v>
      </x:c>
      <x:c r="C45" s="5"/>
      <x:c r="D45" s="5"/>
    </x:row>
    <x:row r="46" ht="15.949999809265137" customHeight="1">
      <x:c r="B46" s="42" t="s">
        <x:v>45</x:v>
      </x:c>
    </x:row>
    <x:row r="47" ht="15.949999809265137" customHeight="1">
      <x:c r="B47" s="42" t="s">
        <x:v>46</x:v>
      </x:c>
    </x:row>
    <x:row r="48" ht="15.949999809265137" customHeight="1">
      <x:c r="B48" s="42" t="s">
        <x:v>47</x:v>
      </x:c>
    </x:row>
    <x:row r="49" ht="15.949999809265137" customHeight="1">
      <x:c r="B49" s="42" t="s">
        <x:v>48</x:v>
      </x:c>
    </x:row>
    <x:row r="50" ht="15.949999809265137" customHeight="1">
      <x:c r="B50" s="42" t="s">
        <x:v>49</x:v>
      </x:c>
    </x:row>
    <x:row r="51" ht="8.100000381469727" customHeight="1"/>
    <x:row r="52" ht="21" customHeight="1">
      <x:c r="B52" s="5" t="s">
        <x:v>50</x:v>
      </x:c>
      <x:c r="C52" s="5"/>
      <x:c r="D52" s="5"/>
    </x:row>
    <x:row r="53" ht="15.949999809265137" customHeight="1">
      <x:c r="B53" s="42" t="s">
        <x:v>51</x:v>
      </x:c>
    </x:row>
    <x:row r="54" ht="15.949999809265137" customHeight="1">
      <x:c r="B54" s="42" t="s">
        <x:v>52</x:v>
      </x:c>
    </x:row>
    <x:row r="55" ht="8.100000381469727" customHeight="1"/>
    <x:row r="56" ht="21" customHeight="1">
      <x:c r="B56" s="5" t="s">
        <x:v>53</x:v>
      </x:c>
      <x:c r="C56" s="5"/>
      <x:c r="D56" s="5"/>
    </x:row>
    <x:row r="57" ht="15.949999809265137" customHeight="1">
      <x:c r="B57" s="42" t="s">
        <x:v>54</x:v>
      </x:c>
    </x:row>
    <x:row r="58" ht="15.949999809265137" customHeight="1">
      <x:c r="B58" s="42" t="s">
        <x:v>55</x:v>
      </x:c>
    </x:row>
    <x:row r="59" ht="20.100000381469727" customHeight="1">
      <x:c r="B59" t="s">
        <x:v>56</x:v>
      </x:c>
    </x:row>
    <x:row r="60" ht="21" customHeight="1">
      <x:c r="B60" s="7" t="s">
        <x:v>57</x:v>
      </x:c>
      <x:c r="C60" s="7"/>
      <x:c r="D60" s="7"/>
    </x:row>
    <x:row r="61" ht="15.949999809265137" customHeight="1">
      <x:c r="B61" s="44" t="s">
        <x:v>58</x:v>
      </x:c>
    </x:row>
    <x:row r="62" ht="15.949999809265137" customHeight="1">
      <x:c r="B62" s="44" t="s">
        <x:v>59</x:v>
      </x:c>
    </x:row>
    <x:row r="63" ht="15.949999809265137" customHeight="1">
      <x:c r="B63" s="44" t="s">
        <x:v>60</x:v>
      </x:c>
    </x:row>
    <x:row r="64" ht="15.949999809265137" customHeight="1">
      <x:c r="B64" s="44" t="s">
        <x:v>61</x:v>
      </x:c>
    </x:row>
    <x:row r="65" ht="15.949999809265137" hidden="1" customHeight="1">
      <x:c r="B65" s="44"/>
    </x:row>
    <x:row r="66" ht="15.949999809265137" hidden="1" customHeight="1">
      <x:c r="B66" s="44"/>
    </x:row>
    <x:row r="67" ht="8.100000381469727" hidden="1" customHeight="1"/>
    <x:row r="68" ht="21" hidden="1" customHeight="1">
      <x:c r="B68" s="5"/>
      <x:c r="C68" s="5"/>
      <x:c r="D68" s="5"/>
    </x:row>
    <x:row r="69" ht="15.949999809265137" hidden="1" customHeight="1">
      <x:c r="B69" s="42"/>
    </x:row>
    <x:row r="70" ht="15.949999809265137" hidden="1" customHeight="1">
      <x:c r="B70" s="42"/>
    </x:row>
    <x:row r="71" ht="15.949999809265137" hidden="1" customHeight="1">
      <x:c r="B71" s="42"/>
    </x:row>
    <x:row r="72" ht="15.949999809265137" hidden="1" customHeight="1">
      <x:c r="B72" s="42"/>
    </x:row>
    <x:row r="73" ht="8.100000381469727" hidden="1" customHeight="1"/>
    <x:row r="74" ht="21" hidden="1" customHeight="1">
      <x:c r="B74" s="5"/>
      <x:c r="C74" s="5"/>
      <x:c r="D74" s="5"/>
    </x:row>
    <x:row r="75" ht="15.949999809265137" hidden="1" customHeight="1">
      <x:c r="B75" s="42"/>
    </x:row>
    <x:row r="76" ht="15.949999809265137" hidden="1" customHeight="1">
      <x:c r="B76" s="42"/>
    </x:row>
    <x:row r="77" ht="8.100000381469727" hidden="1" customHeight="1"/>
    <x:row r="78" ht="8.100000381469727" hidden="1" customHeight="1"/>
    <x:row r="79" ht="8.100000381469727" hidden="1" customHeight="1"/>
    <x:row r="80" ht="21" hidden="1" customHeight="1">
      <x:c r="B80" s="5"/>
      <x:c r="C80" s="5"/>
      <x:c r="D80" s="5"/>
    </x:row>
    <x:row r="81" ht="15.949999809265137" hidden="1" customHeight="1">
      <x:c r="B81" s="42"/>
    </x:row>
  </x:sheetData>
  <x:hyperlinks>
    <x:hyperlink ref="C8" location="'README'!A1"/>
    <x:hyperlink ref="C9" location="'Dashboard'!A1"/>
    <x:hyperlink ref="C12" location="'Launch Readiness'!A1"/>
    <x:hyperlink ref="C15" location="'Tier Economics'!A1"/>
    <x:hyperlink ref="C16" location="'Revenue Risk Add-Ons'!A1"/>
    <x:hyperlink ref="C19" location="'P&amp;L 5yr'!A1"/>
    <x:hyperlink ref="C20" location="'Cash Flow Statement'!A1"/>
    <x:hyperlink ref="C21" location="'Scenario Engine'!A1"/>
    <x:hyperlink ref="C24" location="'Assumptions'!A1"/>
    <x:hyperlink ref="C25" location="'Startup 6mo'!A1"/>
    <x:hyperlink ref="C26" location="Sensitivity!A1"/>
    <x:hyperlink ref="C27" location="'Risk Register'!A1"/>
    <x:hyperlink ref="C28" location="'Driver Tables'!A1"/>
    <x:hyperlink ref="C31" location="'Model Checks'!A1"/>
    <x:hyperlink ref="C32" location="'Client Funds Memo'!A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2A41"/>
  </x:sheetPr>
  <x:sheetViews>
    <x:sheetView showGridLines="0" workbookViewId="0"/>
  </x:sheetViews>
  <x:sheetFormatPr defaultColWidth="8.5703125" defaultRowHeight="12.75"/>
  <x:cols>
    <x:col min="1" max="1" width="2.42578125" customWidth="1"/>
    <x:col min="2" max="4" width="13" customWidth="1"/>
    <x:col min="5" max="5" width="10" customWidth="1"/>
    <x:col min="6" max="8" width="13" customWidth="1"/>
    <x:col min="9" max="9" width="10" customWidth="1"/>
    <x:col min="10" max="10" width="13" customWidth="1"/>
    <x:col min="11" max="11" width="15" customWidth="1"/>
    <x:col min="12" max="12" width="11" customWidth="1"/>
    <x:col min="13" max="13" width="10" customWidth="1"/>
    <x:col min="14" max="16" width="13" customWidth="1"/>
    <x:col min="17" max="17" width="3.42578125" customWidth="1"/>
    <x:col min="18" max="18" width="9" customWidth="1"/>
    <x:col min="19" max="19" width="26" customWidth="1"/>
    <x:col min="20" max="20" width="20" customWidth="1"/>
    <x:col min="21" max="21" width="54" customWidth="1"/>
    <x:col min="22" max="22" width="24" customWidth="1"/>
    <x:col min="23" max="23" width="18" customWidth="1"/>
    <x:col min="24" max="24" width="20" customWidth="1"/>
    <x:col min="25" max="25" width="13" customWidth="1"/>
    <x:col min="26" max="26" width="18" customWidth="1"/>
    <x:col min="27" max="27" width="13" customWidth="1"/>
  </x:cols>
  <x:sheetData>
    <x:row r="1" ht="18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  <x:c r="AA1" s="42"/>
    </x:row>
    <x:row r="2" ht="18" customHeight="1">
      <x:c r="A2" s="42"/>
      <x:c r="B2" s="190" t="s">
        <x:v>62</x:v>
      </x:c>
      <x:c r="C2" s="190"/>
      <x:c r="D2" s="190"/>
      <x:c r="E2" s="190"/>
      <x:c r="F2" s="190"/>
      <x:c r="G2" s="190"/>
      <x:c r="H2" s="190"/>
      <x:c r="I2" s="190"/>
      <x:c r="J2" s="190"/>
      <x:c r="K2" s="190"/>
      <x:c r="L2" s="190"/>
      <x:c r="M2" s="190"/>
      <x:c r="N2" s="190"/>
      <x:c r="O2" s="190"/>
      <x:c r="P2" s="190"/>
      <x:c r="Q2" s="42"/>
      <x:c r="R2" s="42"/>
      <x:c r="S2" s="42"/>
      <x:c r="T2" s="42"/>
      <x:c r="U2" s="42"/>
      <x:c r="V2" s="42"/>
      <x:c r="W2" s="42"/>
      <x:c r="X2" s="42"/>
      <x:c r="Y2" s="42"/>
      <x:c r="Z2" s="42"/>
      <x:c r="AA2" s="42"/>
    </x:row>
    <x:row r="3" ht="8.100000381469727" customHeight="1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  <x:c r="AA3" s="42"/>
    </x:row>
    <x:row r="4" ht="28.5" customHeight="1">
      <x:c r="A4" s="42"/>
      <x:c r="B4" s="191" t="s">
        <x:v>63</x:v>
      </x:c>
      <x:c r="C4" s="191"/>
      <x:c r="D4" s="191"/>
      <x:c r="E4" s="191"/>
      <x:c r="F4" s="191"/>
      <x:c r="G4" s="191"/>
      <x:c r="H4" s="191"/>
      <x:c r="I4" s="191"/>
      <x:c r="J4" s="191"/>
      <x:c r="K4" s="191"/>
      <x:c r="L4" s="191"/>
      <x:c r="M4" s="191"/>
      <x:c r="N4" s="191"/>
      <x:c r="O4" s="191"/>
      <x:c r="P4" s="191"/>
      <x:c r="Q4" s="42"/>
      <x:c r="R4" s="42"/>
      <x:c r="S4" s="42"/>
      <x:c r="T4" s="42"/>
      <x:c r="U4" s="42"/>
      <x:c r="V4" s="42"/>
      <x:c r="W4" s="42"/>
      <x:c r="X4" s="42"/>
      <x:c r="Y4" s="42"/>
      <x:c r="Z4" s="42"/>
      <x:c r="AA4" s="42"/>
    </x:row>
    <x:row r="5" ht="28.5" customHeight="1">
      <x:c r="A5" s="42"/>
      <x:c r="B5" s="191"/>
      <x:c r="C5" s="191"/>
      <x:c r="D5" s="191"/>
      <x:c r="E5" s="191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42"/>
      <x:c r="R5" s="42"/>
      <x:c r="S5" s="42"/>
      <x:c r="T5" s="42"/>
      <x:c r="U5" s="42"/>
      <x:c r="V5" s="42"/>
      <x:c r="W5" s="42"/>
      <x:c r="X5" s="42"/>
      <x:c r="Y5" s="42"/>
      <x:c r="Z5" s="42"/>
      <x:c r="AA5" s="42"/>
    </x:row>
    <x:row r="6" ht="14.25" customHeight="1">
      <x:c r="A6" s="42"/>
      <x:c r="B6" s="180" t="s">
        <x:v>64</x:v>
      </x:c>
      <x:c r="C6" s="180"/>
      <x:c r="D6" s="180"/>
      <x:c r="E6" s="180"/>
      <x:c r="F6" s="180"/>
      <x:c r="G6" s="180"/>
      <x:c r="H6" s="180"/>
      <x:c r="I6" s="180"/>
      <x:c r="J6" s="180"/>
      <x:c r="K6" s="180"/>
      <x:c r="L6" s="180"/>
      <x:c r="M6" s="180"/>
      <x:c r="N6" s="180"/>
      <x:c r="O6" s="180"/>
      <x:c r="P6" s="180"/>
      <x:c r="Q6" s="42"/>
      <x:c r="R6" s="42"/>
      <x:c r="S6" s="42"/>
      <x:c r="T6" s="42"/>
      <x:c r="U6" s="42"/>
      <x:c r="V6" s="42"/>
      <x:c r="W6" s="42"/>
      <x:c r="X6" s="42"/>
      <x:c r="Y6" s="42"/>
      <x:c r="Z6" s="42"/>
      <x:c r="AA6" s="42"/>
    </x:row>
    <x:row r="7" ht="18" customHeight="1">
      <x:c r="A7" s="42"/>
      <x:c r="B7" s="180"/>
      <x:c r="C7" s="180"/>
      <x:c r="D7" s="180"/>
      <x:c r="E7" s="180"/>
      <x:c r="F7" s="180"/>
      <x:c r="G7" s="180"/>
      <x:c r="H7" s="180"/>
      <x:c r="I7" s="180"/>
      <x:c r="J7" s="180"/>
      <x:c r="K7" s="180"/>
      <x:c r="L7" s="180"/>
      <x:c r="M7" s="180"/>
      <x:c r="N7" s="180"/>
      <x:c r="O7" s="180"/>
      <x:c r="P7" s="180"/>
      <x:c r="Q7" s="42"/>
      <x:c r="R7" s="42"/>
      <x:c r="S7" s="42"/>
      <x:c r="T7" s="42"/>
      <x:c r="U7" s="42"/>
      <x:c r="V7" s="42"/>
      <x:c r="W7" s="42"/>
      <x:c r="X7" s="42"/>
      <x:c r="Y7" s="42"/>
      <x:c r="Z7" s="42"/>
      <x:c r="AA7" s="42"/>
    </x:row>
    <x:row r="8" ht="9.949999809265137" customHeight="1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  <x:c r="AA8" s="42"/>
    </x:row>
    <x:row r="9" ht="21.950000762939453" customHeight="1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179" t="s">
        <x:v>65</x:v>
      </x:c>
      <x:c r="S9" s="179"/>
      <x:c r="T9" s="179"/>
      <x:c r="U9" s="179"/>
      <x:c r="V9" s="179"/>
      <x:c r="W9" s="179"/>
      <x:c r="X9" s="5"/>
      <x:c r="Y9" s="5"/>
      <x:c r="Z9" s="5"/>
      <x:c r="AA9" s="5"/>
    </x:row>
    <x:row r="10" ht="36" customHeight="1">
      <x:c r="A10" s="42"/>
      <x:c r="B10" s="52"/>
      <x:c r="C10" s="192" t="str">
        <x:f>"£"&amp;ROUND('Launch Readiness'!$E$12/1000000,1)&amp;"m"</x:f>
        <x:v>£2.8m</x:v>
      </x:c>
      <x:c r="D10" s="193"/>
      <x:c r="E10" s="42"/>
      <x:c r="F10" s="52"/>
      <x:c r="G10" s="192" t="str">
        <x:f>"Month "&amp;'Launch Readiness'!$E$6</x:f>
        <x:v>Month 12</x:v>
      </x:c>
      <x:c r="H10" s="193"/>
      <x:c r="I10" s="42"/>
      <x:c r="J10" s="52"/>
      <x:c r="K10" s="192" t="str">
        <x:f>"£"&amp;ROUND(AVERAGE(S38,S37,S36),0)</x:f>
        <x:v>£688</x:v>
      </x:c>
      <x:c r="L10" s="193"/>
      <x:c r="M10" s="42"/>
      <x:c r="N10" s="52"/>
      <x:c r="O10" s="192" t="str">
        <x:f>"£"&amp;ROUND('P&amp;L 5yr'!$G$18/1000000,1)&amp;"m"</x:f>
        <x:v>£17.8m</x:v>
      </x:c>
      <x:c r="P10" s="193"/>
      <x:c r="Q10" s="42"/>
      <x:c r="R10" s="9" t="s">
        <x:v>66</x:v>
      </x:c>
      <x:c r="S10" s="10" t="s">
        <x:v>67</x:v>
      </x:c>
      <x:c r="T10" s="10" t="s">
        <x:v>68</x:v>
      </x:c>
      <x:c r="U10" s="10" t="s">
        <x:v>69</x:v>
      </x:c>
      <x:c r="V10" s="10" t="s">
        <x:v>70</x:v>
      </x:c>
      <x:c r="W10" s="10" t="s">
        <x:v>71</x:v>
      </x:c>
      <x:c r="X10" s="42"/>
      <x:c r="Y10" s="42"/>
      <x:c r="Z10" s="42"/>
      <x:c r="AA10" s="42"/>
    </x:row>
    <x:row r="11" ht="33.75" customHeight="1">
      <x:c r="A11" s="42"/>
      <x:c r="B11" s="53"/>
      <x:c r="C11" s="186" t="s">
        <x:v>72</x:v>
      </x:c>
      <x:c r="D11" s="187"/>
      <x:c r="E11" s="42"/>
      <x:c r="F11" s="53"/>
      <x:c r="G11" s="186" t="s">
        <x:v>73</x:v>
      </x:c>
      <x:c r="H11" s="187"/>
      <x:c r="I11" s="42"/>
      <x:c r="J11" s="53"/>
      <x:c r="K11" s="186" t="s">
        <x:v>74</x:v>
      </x:c>
      <x:c r="L11" s="187"/>
      <x:c r="M11" s="42"/>
      <x:c r="N11" s="53"/>
      <x:c r="O11" s="186" t="s">
        <x:v>75</x:v>
      </x:c>
      <x:c r="P11" s="187"/>
      <x:c r="Q11" s="42"/>
      <x:c r="R11" s="55" t="s">
        <x:v>76</x:v>
      </x:c>
      <x:c r="S11" s="13" t="s">
        <x:v>77</x:v>
      </x:c>
      <x:c r="T11" s="28" t="str">
        <x:f>ROUND(MIN(Assumptions!$F$70:$F$72)*100,1)&amp;"%-"&amp;ROUND(MAX(Assumptions!$F$70:$F$72)*100,1)&amp;"%"</x:f>
        <x:v>0.8%-3%</x:v>
      </x:c>
      <x:c r="U11" s="13" t="str">
        <x:f>T11&amp;" per trade, tier-dependent"</x:f>
        <x:v>0.8%-3% per trade, tier-dependent</x:v>
      </x:c>
      <x:c r="V11" s="32" t="s">
        <x:v>78</x:v>
      </x:c>
      <x:c r="W11" s="32" t="s">
        <x:v>79</x:v>
      </x:c>
      <x:c r="X11" s="42"/>
      <x:c r="Y11" s="42"/>
      <x:c r="Z11" s="42"/>
      <x:c r="AA11" s="42"/>
    </x:row>
    <x:row r="12" ht="33.75" customHeight="1">
      <x:c r="A12" s="42"/>
      <x:c r="B12" s="54"/>
      <x:c r="C12" s="188" t="s">
        <x:v>80</x:v>
      </x:c>
      <x:c r="D12" s="189"/>
      <x:c r="E12" s="42"/>
      <x:c r="F12" s="54"/>
      <x:c r="G12" s="188" t="s">
        <x:v>81</x:v>
      </x:c>
      <x:c r="H12" s="189"/>
      <x:c r="I12" s="42"/>
      <x:c r="J12" s="54"/>
      <x:c r="K12" s="188" t="s">
        <x:v>82</x:v>
      </x:c>
      <x:c r="L12" s="189"/>
      <x:c r="M12" s="42"/>
      <x:c r="N12" s="54"/>
      <x:c r="O12" s="188" t="s">
        <x:v>83</x:v>
      </x:c>
      <x:c r="P12" s="189"/>
      <x:c r="Q12" s="42"/>
      <x:c r="R12" s="55" t="s">
        <x:v>76</x:v>
      </x:c>
      <x:c r="S12" s="13" t="s">
        <x:v>84</x:v>
      </x:c>
      <x:c r="T12" s="28" t="str">
        <x:f>ROUND('Scenario Engine'!$H$49*100,0)&amp;"%-"&amp;ROUND('Scenario Engine'!$L$49*100,0)&amp;"%"</x:f>
        <x:v>71%-79%</x:v>
      </x:c>
      <x:c r="U12" s="13" t="str">
        <x:f>T12&amp;" blended gross margin, base Y1-Y5"</x:f>
        <x:v>71%-79% blended gross margin, base Y1-Y5</x:v>
      </x:c>
      <x:c r="V12" s="32" t="s">
        <x:v>85</x:v>
      </x:c>
      <x:c r="W12" s="32" t="s">
        <x:v>86</x:v>
      </x:c>
      <x:c r="X12" s="42"/>
      <x:c r="Y12" s="42"/>
      <x:c r="Z12" s="42"/>
      <x:c r="AA12" s="42"/>
    </x:row>
    <x:row r="13" ht="33.75" customHeight="1">
      <x:c r="A13" s="42"/>
      <x:c r="B13" s="42"/>
      <x:c r="C13" s="185" t="s">
        <x:v>87</x:v>
      </x:c>
      <x:c r="D13" s="183"/>
      <x:c r="E13" s="183"/>
      <x:c r="F13" s="183"/>
      <x:c r="G13" s="183"/>
      <x:c r="H13" s="42"/>
      <x:c r="I13" s="42"/>
      <x:c r="J13" s="42"/>
      <x:c r="K13" s="185" t="s">
        <x:v>88</x:v>
      </x:c>
      <x:c r="L13" s="183"/>
      <x:c r="M13" s="183"/>
      <x:c r="N13" s="183"/>
      <x:c r="O13" s="183"/>
      <x:c r="P13" s="42"/>
      <x:c r="Q13" s="42"/>
      <x:c r="R13" s="55" t="s">
        <x:v>76</x:v>
      </x:c>
      <x:c r="S13" s="13" t="s">
        <x:v>89</x:v>
      </x:c>
      <x:c r="T13" s="28" t="str">
        <x:f>"GBP "&amp;ROUND('Scenario Engine'!$H$9/1000,0)&amp;"K -&gt; GBP "&amp;ROUND('Scenario Engine'!$J$9/1000,0)&amp;"K"</x:f>
        <x:v>GBP 31K -&gt; GBP 38K</x:v>
      </x:c>
      <x:c r="U13" s="13" t="str">
        <x:f>T13&amp;" average ticket, Y1 to Y3; GBP "&amp;ROUND('Scenario Engine'!$L$9/1000,0)&amp;"K by Y5"</x:f>
        <x:v>GBP 31K -&gt; GBP 38K average ticket, Y1 to Y3; GBP 48K by Y5</x:v>
      </x:c>
      <x:c r="V13" s="32" t="s">
        <x:v>90</x:v>
      </x:c>
      <x:c r="W13" s="32" t="s">
        <x:v>86</x:v>
      </x:c>
      <x:c r="X13" s="42"/>
      <x:c r="Y13" s="42"/>
      <x:c r="Z13" s="42"/>
      <x:c r="AA13" s="42"/>
    </x:row>
    <x:row r="14" ht="33.75" customHeight="1">
      <x:c r="A14" s="42"/>
      <x:c r="B14" s="50" t="s">
        <x:v>91</x:v>
      </x:c>
      <x:c r="C14" s="184" t="s">
        <x:v>92</x:v>
      </x:c>
      <x:c r="D14" s="183"/>
      <x:c r="E14" s="183"/>
      <x:c r="F14" s="183"/>
      <x:c r="G14" s="183"/>
      <x:c r="H14" s="42"/>
      <x:c r="I14" s="50" t="s">
        <x:v>93</x:v>
      </x:c>
      <x:c r="K14" s="184" t="s">
        <x:v>94</x:v>
      </x:c>
      <x:c r="L14" s="183"/>
      <x:c r="M14" s="183"/>
      <x:c r="N14" s="183"/>
      <x:c r="O14" s="183"/>
      <x:c r="P14" s="42"/>
      <x:c r="Q14" s="42"/>
      <x:c r="R14" s="55" t="s">
        <x:v>76</x:v>
      </x:c>
      <x:c r="S14" s="13" t="s">
        <x:v>95</x:v>
      </x:c>
      <x:c r="T14" s="28" t="str">
        <x:f>ROUND('Scenario Engine'!$H$8,0)&amp;" -&gt; "&amp;ROUND('Scenario Engine'!$J$8,0)</x:f>
        <x:v>3 -&gt; 2000</x:v>
      </x:c>
      <x:c r="U14" s="13" t="str">
        <x:f>T14&amp;" processed deals, Y1 to Y3 base case"</x:f>
        <x:v>3 -&gt; 2000 processed deals, Y1 to Y3 base case</x:v>
      </x:c>
      <x:c r="V14" s="32" t="s">
        <x:v>96</x:v>
      </x:c>
      <x:c r="W14" s="32" t="s">
        <x:v>86</x:v>
      </x:c>
      <x:c r="X14" s="42"/>
      <x:c r="Y14" s="42"/>
      <x:c r="Z14" s="42"/>
      <x:c r="AA14" s="42"/>
    </x:row>
    <x:row r="15" ht="33.75" customHeight="1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55" t="s">
        <x:v>97</x:v>
      </x:c>
      <x:c r="S15" s="13" t="s">
        <x:v>98</x:v>
      </x:c>
      <x:c r="T15" s="28" t="str">
        <x:f>"GBP "&amp;ROUND('Scenario Engine'!$D$30/1000000,1)&amp;"M-"&amp;ROUND('Scenario Engine'!$P$30/1000000,1)&amp;"M"</x:f>
        <x:v>GBP 1.1M-1.9M</x:v>
      </x:c>
      <x:c r="U15" s="13" t="str">
        <x:f>T15&amp;" Y3 annual revenue; base GBP "&amp;ROUND('Scenario Engine'!$J$30/1000000,1)&amp;"M"</x:f>
        <x:v>GBP 1.1M-1.9M Y3 annual revenue; base GBP 1.4M</x:v>
      </x:c>
      <x:c r="V15" s="32" t="s">
        <x:v>99</x:v>
      </x:c>
      <x:c r="W15" s="32" t="s">
        <x:v>100</x:v>
      </x:c>
      <x:c r="X15" s="42"/>
      <x:c r="Y15" s="42"/>
      <x:c r="Z15" s="42"/>
      <x:c r="AA15" s="42"/>
    </x:row>
    <x:row r="16" ht="33.75" customHeight="1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55" t="s">
        <x:v>97</x:v>
      </x:c>
      <x:c r="S16" s="13" t="s">
        <x:v>101</x:v>
      </x:c>
      <x:c r="T16" s="28" t="str">
        <x:f>ROUND(MIN('Scenario Engine'!$D$62,'Scenario Engine'!$J$62,'Scenario Engine'!$P$62),0)&amp;"–"&amp;ROUND(MAX('Scenario Engine'!$D$62,'Scenario Engine'!$J$62,'Scenario Engine'!$P$62),0)</x:f>
        <x:v>320–480</x:v>
      </x:c>
      <x:c r="U16" s="13" t="str">
        <x:f>T16&amp;" Y3 active customers; base "&amp;ROUND('Scenario Engine'!$J$62,0)</x:f>
        <x:v>320–480 Y3 active customers; base 333</x:v>
      </x:c>
      <x:c r="V16" s="32" t="s">
        <x:v>102</x:v>
      </x:c>
      <x:c r="W16" s="32" t="s">
        <x:v>100</x:v>
      </x:c>
      <x:c r="X16" s="42"/>
      <x:c r="Y16" s="42"/>
      <x:c r="Z16" s="42"/>
      <x:c r="AA16" s="42"/>
    </x:row>
    <x:row r="17" ht="33.75" customHeight="1">
      <x:c r="A17" s="42"/>
      <x:c r="H17" s="42"/>
      <x:c r="I17" s="42"/>
      <x:c r="P17" s="42"/>
      <x:c r="Q17" s="42"/>
      <x:c r="R17" s="55" t="s">
        <x:v>97</x:v>
      </x:c>
      <x:c r="S17" s="13" t="s">
        <x:v>103</x:v>
      </x:c>
      <x:c r="T17" s="28" t="str">
        <x:f>'Cash Flow Statement'!$B$46</x:f>
        <x:v>Y4 M8</x:v>
      </x:c>
      <x:c r="U17" s="13" t="str">
        <x:f>"Base monthly cash-flow break-even: "&amp;T17&amp;"; scenario range "&amp;'Cash Flow Statement'!$B$47&amp;" to "&amp;'Cash Flow Statement'!$B$45</x:f>
        <x:v>Base monthly cash-flow break-even: Y4 M8; scenario range Y4 M4 to Beyond Month 60</x:v>
      </x:c>
      <x:c r="V17" s="32" t="s">
        <x:v>104</x:v>
      </x:c>
      <x:c r="W17" s="32" t="s">
        <x:v>100</x:v>
      </x:c>
      <x:c r="X17" s="42"/>
      <x:c r="Y17" s="42"/>
      <x:c r="Z17" s="42"/>
      <x:c r="AA17" s="42"/>
    </x:row>
    <x:row r="18" ht="33.75" customHeight="1">
      <x:c r="A18" s="42"/>
      <x:c r="H18" s="42"/>
      <x:c r="I18" s="42"/>
      <x:c r="P18" s="42"/>
      <x:c r="Q18" s="42"/>
      <x:c r="R18" s="55" t="s">
        <x:v>97</x:v>
      </x:c>
      <x:c r="S18" s="13" t="s">
        <x:v>105</x:v>
      </x:c>
      <x:c r="T18" s="28" t="str">
        <x:f>"GBP "&amp;ROUND('Launch Readiness'!$E$12/1000000,2)&amp;"M"</x:f>
        <x:v>GBP 2.84M</x:v>
      </x:c>
      <x:c r="U18" s="13" t="str">
        <x:f>T18&amp;" initial operating funding; future VARA capital shown separately"</x:f>
        <x:v>GBP 2.84M initial operating funding; future VARA capital shown separately</x:v>
      </x:c>
      <x:c r="V18" s="32" t="s">
        <x:v>106</x:v>
      </x:c>
      <x:c r="W18" s="32" t="s">
        <x:v>100</x:v>
      </x:c>
      <x:c r="X18" s="42"/>
      <x:c r="Y18" s="42"/>
      <x:c r="Z18" s="42"/>
      <x:c r="AA18" s="42"/>
    </x:row>
    <x:row r="19" ht="33.75" customHeight="1">
      <x:c r="A19" s="42"/>
      <x:c r="B19" s="42"/>
      <x:c r="C19" s="42"/>
      <x:c r="D19" s="42"/>
      <x:c r="E19" s="42"/>
      <x:c r="F19" s="61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55" t="s">
        <x:v>97</x:v>
      </x:c>
      <x:c r="S19" s="13" t="s">
        <x:v>107</x:v>
      </x:c>
      <x:c r="T19" s="28" t="str">
        <x:f>IFERROR(ROUND('Tier Economics'!$E$12/'Tier Economics'!$E$9*100,1)&amp;"% / "&amp;ROUND('Tier Economics'!$M$12/'Tier Economics'!$M$9*100,1)&amp;"% / "&amp;ROUND('Tier Economics'!$U$12/'Tier Economics'!$U$9*100,1)&amp;"%","n/a - no Year 1 volume on this launch path")</x:f>
        <x:v>2% / 1.3% / 1%</x:v>
      </x:c>
      <x:c r="U19" s="13" t="str">
        <x:f>IFERROR(IF(LEFT(T19,3)="n/a",T19,T19&amp;" blended escrow take rate, base Y1 / Y3 / Y5"),"n/a - no Year 1 volume on this launch path")</x:f>
        <x:v>2% / 1.3% / 1% blended escrow take rate, base Y1 / Y3 / Y5</x:v>
      </x:c>
      <x:c r="V19" s="32" t="s">
        <x:v>108</x:v>
      </x:c>
      <x:c r="W19" s="32" t="s">
        <x:v>109</x:v>
      </x:c>
      <x:c r="X19" s="42"/>
      <x:c r="Y19" s="42"/>
      <x:c r="Z19" s="42"/>
      <x:c r="AA19" s="42"/>
    </x:row>
    <x:row r="20" ht="33.75" customHeight="1">
      <x:c r="A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55" t="s">
        <x:v>97</x:v>
      </x:c>
      <x:c r="S20" s="13" t="s">
        <x:v>110</x:v>
      </x:c>
      <x:c r="T20" s="28" t="str">
        <x:f>ROUND(Assumptions!$D$61*100,0)&amp;"% -&gt; "&amp;ROUND(Assumptions!$D$152*100,0)&amp;"%"</x:f>
        <x:v>15% -&gt; 70%</x:v>
      </x:c>
      <x:c r="U20" s="13" t="str">
        <x:f>T20&amp;" Tier A eBL mix, base Y1 to Y5"</x:f>
        <x:v>15% -&gt; 70% Tier A eBL mix, base Y1 to Y5</x:v>
      </x:c>
      <x:c r="V20" s="32" t="s">
        <x:v>111</x:v>
      </x:c>
      <x:c r="W20" s="32" t="s">
        <x:v>109</x:v>
      </x:c>
      <x:c r="X20" s="42"/>
      <x:c r="Y20" s="42"/>
      <x:c r="Z20" s="42"/>
      <x:c r="AA20" s="42"/>
    </x:row>
    <x:row r="21" ht="33.75" customHeight="1">
      <x:c r="A21" s="42"/>
      <x:c r="H21" s="42"/>
      <x:c r="I21" s="42"/>
      <x:c r="P21" s="42"/>
      <x:c r="Q21" s="42"/>
      <x:c r="R21" s="55" t="s">
        <x:v>112</x:v>
      </x:c>
      <x:c r="S21" s="13" t="s">
        <x:v>113</x:v>
      </x:c>
      <x:c r="T21" s="28" t="str">
        <x:f>"GBP "&amp;ROUND('Launch Readiness'!$E$12/1000000,2)&amp;"M"</x:f>
        <x:v>GBP 2.84M</x:v>
      </x:c>
      <x:c r="U21" s="13" t="str">
        <x:f>T21&amp;" initial operating funding need"</x:f>
        <x:v>GBP 2.84M initial operating funding need</x:v>
      </x:c>
      <x:c r="V21" s="32" t="s">
        <x:v>106</x:v>
      </x:c>
      <x:c r="W21" s="32" t="s">
        <x:v>114</x:v>
      </x:c>
      <x:c r="X21" s="42"/>
      <x:c r="Y21" s="42"/>
      <x:c r="Z21" s="42"/>
      <x:c r="AA21" s="42"/>
    </x:row>
    <x:row r="22" ht="33.75" customHeight="1">
      <x:c r="A22" s="42"/>
      <x:c r="B22" s="42"/>
      <x:c r="C22" s="185" t="s">
        <x:v>115</x:v>
      </x:c>
      <x:c r="D22" s="183"/>
      <x:c r="E22" s="183"/>
      <x:c r="F22" s="183"/>
      <x:c r="G22" s="183"/>
      <x:c r="H22" s="42"/>
      <x:c r="I22" s="42"/>
      <x:c r="P22" s="42"/>
      <x:c r="Q22" s="42"/>
      <x:c r="R22" s="55" t="s">
        <x:v>112</x:v>
      </x:c>
      <x:c r="S22" s="13" t="s">
        <x:v>116</x:v>
      </x:c>
      <x:c r="T22" s="28" t="str">
        <x:f>ROUND($M$58*100,0)&amp;"%  GBP "&amp;ROUND($L$58/1000,0)&amp;"K"</x:f>
        <x:v>19%  GBP 527K</x:v>
      </x:c>
      <x:c r="U22" s="13" t="str">
        <x:f>T22</x:f>
        <x:v>19%  GBP 527K</x:v>
      </x:c>
      <x:c r="V22" s="32" t="s">
        <x:v>117</x:v>
      </x:c>
      <x:c r="W22" s="32" t="s">
        <x:v>118</x:v>
      </x:c>
      <x:c r="X22" s="42"/>
      <x:c r="Y22" s="42"/>
      <x:c r="Z22" s="42"/>
      <x:c r="AA22" s="42"/>
    </x:row>
    <x:row r="23" ht="33.75" customHeight="1">
      <x:c r="A23" s="42"/>
      <x:c r="B23" s="50" t="s">
        <x:v>119</x:v>
      </x:c>
      <x:c r="C23" s="184" t="s">
        <x:v>120</x:v>
      </x:c>
      <x:c r="D23" s="183"/>
      <x:c r="E23" s="183"/>
      <x:c r="F23" s="183"/>
      <x:c r="G23" s="183"/>
      <x:c r="H23" s="42"/>
      <x:c r="I23" s="42"/>
      <x:c r="J23" s="42"/>
      <x:c r="K23" s="185" t="s">
        <x:v>121</x:v>
      </x:c>
      <x:c r="L23" s="183"/>
      <x:c r="M23" s="183"/>
      <x:c r="N23" s="183"/>
      <x:c r="O23" s="183"/>
      <x:c r="P23" s="42"/>
      <x:c r="Q23" s="42"/>
      <x:c r="R23" s="55" t="s">
        <x:v>112</x:v>
      </x:c>
      <x:c r="S23" s="13" t="s">
        <x:v>122</x:v>
      </x:c>
      <x:c r="T23" s="28" t="str">
        <x:f>ROUND($M$59*100,0)&amp;"%  GBP "&amp;ROUND($L$59/1000,0)&amp;"K"</x:f>
        <x:v>35%  GBP 980K</x:v>
      </x:c>
      <x:c r="U23" s="13" t="str">
        <x:f>T23</x:f>
        <x:v>35%  GBP 980K</x:v>
      </x:c>
      <x:c r="V23" s="32" t="s">
        <x:v>123</x:v>
      </x:c>
      <x:c r="W23" s="32" t="s">
        <x:v>118</x:v>
      </x:c>
      <x:c r="X23" s="42"/>
      <x:c r="Y23" s="42"/>
      <x:c r="Z23" s="42"/>
      <x:c r="AA23" s="42"/>
    </x:row>
    <x:row r="24" ht="33.75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50" t="s">
        <x:v>124</x:v>
      </x:c>
      <x:c r="K24" s="184" t="s">
        <x:v>125</x:v>
      </x:c>
      <x:c r="L24" s="183"/>
      <x:c r="M24" s="183"/>
      <x:c r="N24" s="183"/>
      <x:c r="O24" s="183"/>
      <x:c r="P24" s="42"/>
      <x:c r="Q24" s="42"/>
      <x:c r="R24" s="55" t="s">
        <x:v>112</x:v>
      </x:c>
      <x:c r="S24" s="13" t="s">
        <x:v>126</x:v>
      </x:c>
      <x:c r="T24" s="28" t="str">
        <x:f>ROUND($M$60*100,0)&amp;"%  GBP "&amp;ROUND($L$60/1000,0)&amp;"K"</x:f>
        <x:v>35%  GBP 985K</x:v>
      </x:c>
      <x:c r="U24" s="13" t="str">
        <x:f>T24</x:f>
        <x:v>35%  GBP 985K</x:v>
      </x:c>
      <x:c r="V24" s="32" t="s">
        <x:v>127</x:v>
      </x:c>
      <x:c r="W24" s="32" t="s">
        <x:v>118</x:v>
      </x:c>
      <x:c r="X24" s="42"/>
      <x:c r="Y24" s="42"/>
      <x:c r="Z24" s="42"/>
      <x:c r="AA24" s="42"/>
    </x:row>
    <x:row r="25" ht="33.75" customHeight="1">
      <x:c r="A25" s="42"/>
      <x:c r="B25" s="42"/>
      <x:c r="C25" s="42"/>
      <x:c r="D25" s="42"/>
      <x:c r="E25" s="42"/>
      <x:c r="F25" s="42"/>
      <x:c r="G25" s="42"/>
      <x:c r="H25" s="42"/>
      <x:c r="I25" s="42"/>
      <x:c r="J25" s="9" t="s">
        <x:v>128</x:v>
      </x:c>
      <x:c r="K25" s="9" t="s">
        <x:v>129</x:v>
      </x:c>
      <x:c r="L25" s="9" t="s">
        <x:v>130</x:v>
      </x:c>
      <x:c r="M25" s="9" t="s">
        <x:v>131</x:v>
      </x:c>
      <x:c r="N25" s="9" t="s">
        <x:v>132</x:v>
      </x:c>
      <x:c r="O25" s="42"/>
      <x:c r="P25" s="42"/>
      <x:c r="Q25" s="42"/>
      <x:c r="R25" s="55" t="s">
        <x:v>112</x:v>
      </x:c>
      <x:c r="S25" s="13" t="s">
        <x:v>133</x:v>
      </x:c>
      <x:c r="T25" s="28" t="str">
        <x:f>ROUND($M$61*100,0)&amp;"%  GBP "&amp;ROUND($L$61/1000,0)&amp;"K"</x:f>
        <x:v>6%  GBP 157K</x:v>
      </x:c>
      <x:c r="U25" s="13" t="str">
        <x:f>T25</x:f>
        <x:v>6%  GBP 157K</x:v>
      </x:c>
      <x:c r="V25" s="32" t="s">
        <x:v>134</x:v>
      </x:c>
      <x:c r="W25" s="32" t="s">
        <x:v>118</x:v>
      </x:c>
      <x:c r="X25" s="42"/>
      <x:c r="Y25" s="42"/>
      <x:c r="Z25" s="42"/>
      <x:c r="AA25" s="42"/>
    </x:row>
    <x:row r="26" ht="33.75" customHeight="1">
      <x:c r="A26" s="42"/>
      <x:c r="B26" s="42"/>
      <x:c r="C26" s="42"/>
      <x:c r="D26" s="42"/>
      <x:c r="E26" s="42"/>
      <x:c r="F26" s="63"/>
      <x:c r="G26" s="42"/>
      <x:c r="H26" s="42"/>
      <x:c r="I26" s="42"/>
      <x:c r="J26" s="14" t="s">
        <x:v>135</x:v>
      </x:c>
      <x:c r="K26" s="18" t="str">
        <x:f>'Cash Flow Statement'!B45</x:f>
        <x:v>Beyond Month 60</x:v>
      </x:c>
      <x:c r="L26" s="66" t="n">
        <x:f>'Cash Flow Statement'!C45/1000000</x:f>
        <x:v>3.952921</x:v>
      </x:c>
      <x:c r="M26" s="66" t="n">
        <x:f>'Cash Flow Statement'!D45/1000000</x:f>
        <x:v>-2.961337</x:v>
      </x:c>
      <x:c r="N26" s="66" t="n">
        <x:f>'Cash Flow Statement'!F45/1000000</x:f>
        <x:v>4.144437</x:v>
      </x:c>
      <x:c r="O26" s="42"/>
      <x:c r="P26" s="42"/>
      <x:c r="Q26" s="42"/>
      <x:c r="R26" s="55" t="s">
        <x:v>112</x:v>
      </x:c>
      <x:c r="S26" s="13" t="s">
        <x:v>136</x:v>
      </x:c>
      <x:c r="T26" s="28" t="str">
        <x:f>ROUND($M$62*100,0)&amp;"%  GBP "&amp;ROUND($L$62/1000,0)&amp;"K"</x:f>
        <x:v>7%  GBP 192K</x:v>
      </x:c>
      <x:c r="U26" s="13" t="str">
        <x:f>T26</x:f>
        <x:v>7%  GBP 192K</x:v>
      </x:c>
      <x:c r="V26" s="32" t="s">
        <x:v>137</x:v>
      </x:c>
      <x:c r="W26" s="32" t="s">
        <x:v>118</x:v>
      </x:c>
      <x:c r="X26" s="42"/>
      <x:c r="Y26" s="42"/>
      <x:c r="Z26" s="42"/>
      <x:c r="AA26" s="42"/>
    </x:row>
    <x:row r="27" ht="18" customHeight="1">
      <x:c r="A27" s="42"/>
      <x:c r="B27" s="42"/>
      <x:c r="C27" s="42"/>
      <x:c r="D27" s="42"/>
      <x:c r="E27" s="42"/>
      <x:c r="F27" s="63"/>
      <x:c r="G27" s="42"/>
      <x:c r="H27" s="42"/>
      <x:c r="I27" s="42"/>
      <x:c r="J27" s="14" t="s">
        <x:v>138</x:v>
      </x:c>
      <x:c r="K27" s="18" t="str">
        <x:f>'Cash Flow Statement'!B46</x:f>
        <x:v>Y4 M8</x:v>
      </x:c>
      <x:c r="L27" s="66" t="n">
        <x:f>'Cash Flow Statement'!C46/1000000</x:f>
        <x:v>2.686484</x:v>
      </x:c>
      <x:c r="M27" s="66" t="n">
        <x:f>'Cash Flow Statement'!D46/1000000</x:f>
        <x:v>12.910901</x:v>
      </x:c>
      <x:c r="N27" s="66" t="n">
        <x:f>'Cash Flow Statement'!F46/1000000</x:f>
        <x:v>2.840935</x:v>
      </x:c>
      <x:c r="O27" s="42"/>
      <x:c r="P27" s="42"/>
      <x:c r="Q27" s="42"/>
      <x:c r="R27" s="55">
        <x:v>13</x:v>
      </x:c>
      <x:c r="S27" s="13" t="s">
        <x:v>139</x:v>
      </x:c>
      <x:c r="T27" s="28" t="str">
        <x:f>"GBP "&amp;ROUND('Launch Readiness'!$E$17/1000,0)&amp;"K"</x:f>
        <x:v>GBP 319K</x:v>
      </x:c>
      <x:c r="U27" s="13" t="str">
        <x:f>T27&amp;" future scale-stage restricted capital; excluded from initial operating ask"</x:f>
        <x:v>GBP 319K future scale-stage restricted capital; excluded from initial operating ask</x:v>
      </x:c>
      <x:c r="V27" s="32" t="s">
        <x:v>140</x:v>
      </x:c>
      <x:c r="W27" s="32" t="s">
        <x:v>141</x:v>
      </x:c>
      <x:c r="X27" s="42"/>
      <x:c r="Y27" s="42"/>
      <x:c r="Z27" s="42"/>
      <x:c r="AA27" s="42"/>
    </x:row>
    <x:row r="28" ht="18" customHeight="1">
      <x:c r="A28" s="42"/>
      <x:c r="B28" s="42"/>
      <x:c r="C28" s="42"/>
      <x:c r="D28" s="42"/>
      <x:c r="E28" s="42"/>
      <x:c r="F28" s="63"/>
      <x:c r="G28" s="42"/>
      <x:c r="H28" s="42"/>
      <x:c r="I28" s="42"/>
      <x:c r="J28" s="14" t="s">
        <x:v>142</x:v>
      </x:c>
      <x:c r="K28" s="18" t="str">
        <x:f>'Cash Flow Statement'!B47</x:f>
        <x:v>Y4 M4</x:v>
      </x:c>
      <x:c r="L28" s="66" t="n">
        <x:f>'Cash Flow Statement'!C47/1000000</x:f>
        <x:v>1.983265</x:v>
      </x:c>
      <x:c r="M28" s="66" t="n">
        <x:f>'Cash Flow Statement'!D47/1000000</x:f>
        <x:v>33.884644</x:v>
      </x:c>
      <x:c r="N28" s="66" t="n">
        <x:f>'Cash Flow Statement'!F47/1000000</x:f>
        <x:v>2.174781</x:v>
      </x:c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  <x:c r="AA28" s="42"/>
    </x:row>
    <x:row r="29" ht="18" customHeight="1">
      <x:c r="A29" s="42"/>
      <x:c r="B29" s="42"/>
      <x:c r="C29" s="42"/>
      <x:c r="D29" s="42"/>
      <x:c r="E29" s="42"/>
      <x:c r="F29" s="63"/>
      <x:c r="G29" s="42"/>
      <x:c r="H29" s="42"/>
      <x:c r="I29" s="42"/>
      <x:c r="J29" s="182" t="str">
        <x:f>"- Base reaches monthly cash-flow break-even in "&amp;'Cash Flow Statement'!$B$46&amp;"; High reaches "&amp;'Cash Flow Statement'!$B$47&amp;"."</x:f>
        <x:v>- Base reaches monthly cash-flow break-even in Y4 M8; High reaches Y4 M4.</x:v>
      </x:c>
      <x:c r="K29" s="182"/>
      <x:c r="L29" s="182"/>
      <x:c r="M29" s="182"/>
      <x:c r="N29" s="18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  <x:c r="AA29" s="42"/>
    </x:row>
    <x:row r="30" ht="21.950000762939453" customHeight="1">
      <x:c r="A30" s="42"/>
      <x:c r="B30" s="42"/>
      <x:c r="C30" s="42"/>
      <x:c r="D30" s="42"/>
      <x:c r="E30" s="42"/>
      <x:c r="F30" s="63"/>
      <x:c r="G30" s="42"/>
      <x:c r="H30" s="42"/>
      <x:c r="I30" s="42"/>
      <x:c r="J30" s="182" t="str">
        <x:f>"- Low reaches monthly cash-flow break-even in "&amp;'Cash Flow Statement'!$B$45&amp;"; base Month 60 operating cash is GBP "&amp;ROUND('Cash Flow Statement'!$D$46/1000000,1)&amp;"M."</x:f>
        <x:v>- Low reaches monthly cash-flow break-even in Beyond Month 60; base Month 60 operating cash is GBP 12.9M.</x:v>
      </x:c>
      <x:c r="K30" s="182"/>
      <x:c r="L30" s="182"/>
      <x:c r="M30" s="182"/>
      <x:c r="N30" s="182"/>
      <x:c r="O30" s="42"/>
      <x:c r="P30" s="42"/>
      <x:c r="Q30" s="42"/>
      <x:c r="R30" s="179" t="s">
        <x:v>143</x:v>
      </x:c>
      <x:c r="S30" s="179"/>
      <x:c r="T30" s="179"/>
      <x:c r="U30" s="179"/>
      <x:c r="V30" s="179"/>
      <x:c r="W30" s="179"/>
      <x:c r="X30" s="179"/>
      <x:c r="Y30" s="179"/>
      <x:c r="Z30" s="179"/>
      <x:c r="AA30" s="179"/>
    </x:row>
    <x:row r="31" ht="26.100000381469727" customHeight="1">
      <x:c r="A31" s="42"/>
      <x:c r="B31" s="42"/>
      <x:c r="C31" s="42"/>
      <x:c r="D31" s="42"/>
      <x:c r="E31" s="42"/>
      <x:c r="F31" s="63"/>
      <x:c r="G31" s="42"/>
      <x:c r="H31" s="42"/>
      <x:c r="I31" s="42"/>
      <x:c r="J31" s="182" t="s">
        <x:v>144</x:v>
      </x:c>
      <x:c r="K31" s="182"/>
      <x:c r="L31" s="182"/>
      <x:c r="M31" s="182"/>
      <x:c r="N31" s="182"/>
      <x:c r="O31" s="42"/>
      <x:c r="P31" s="42"/>
      <x:c r="Q31" s="42"/>
      <x:c r="R31" s="180" t="s">
        <x:v>145</x:v>
      </x:c>
      <x:c r="S31" s="180"/>
      <x:c r="T31" s="180"/>
      <x:c r="U31" s="180"/>
      <x:c r="V31" s="180"/>
      <x:c r="W31" s="180"/>
      <x:c r="X31" s="180"/>
      <x:c r="Y31" s="180"/>
      <x:c r="Z31" s="180"/>
      <x:c r="AA31" s="180"/>
    </x:row>
    <x:row r="32" ht="18" customHeight="1">
      <x:c r="A32" s="42"/>
      <x:c r="B32" s="42"/>
      <x:c r="C32" s="42"/>
      <x:c r="D32" s="42"/>
      <x:c r="E32" s="42"/>
      <x:c r="F32" s="42"/>
      <x:c r="G32" s="42"/>
      <x:c r="H32" s="42"/>
      <x:c r="I32" s="42"/>
      <x:c r="J32" s="182" t="s">
        <x:v>146</x:v>
      </x:c>
      <x:c r="K32" s="182"/>
      <x:c r="L32" s="182"/>
      <x:c r="M32" s="182"/>
      <x:c r="N32" s="18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  <x:c r="AA32" s="42"/>
    </x:row>
    <x:row r="33" ht="30" customHeight="1">
      <x:c r="A33" s="42"/>
      <x:c r="B33" s="42"/>
      <x:c r="C33" s="42"/>
      <x:c r="D33" s="42"/>
      <x:c r="E33" s="42"/>
      <x:c r="F33" s="42"/>
      <x:c r="G33" s="42"/>
      <x:c r="H33" s="42"/>
      <x:c r="I33" s="42"/>
      <x:c r="J33" s="43" t="s">
        <x:v>147</x:v>
      </x:c>
      <x:c r="K33" s="43"/>
      <x:c r="L33" s="43"/>
      <x:c r="M33" s="43"/>
      <x:c r="N33" s="43"/>
      <x:c r="O33" s="42"/>
      <x:c r="P33" s="42"/>
      <x:c r="Q33" s="42"/>
      <x:c r="R33" s="9" t="s">
        <x:v>148</x:v>
      </x:c>
      <x:c r="S33" s="181" t="s">
        <x:v>149</x:v>
      </x:c>
      <x:c r="T33" s="181"/>
      <x:c r="U33" s="181"/>
      <x:c r="V33" s="181" t="s">
        <x:v>150</x:v>
      </x:c>
      <x:c r="W33" s="181"/>
      <x:c r="X33" s="181" t="s">
        <x:v>151</x:v>
      </x:c>
      <x:c r="Y33" s="181"/>
      <x:c r="Z33" s="181" t="s">
        <x:v>152</x:v>
      </x:c>
      <x:c r="AA33" s="181"/>
    </x:row>
    <x:row r="34" ht="24.950000762939453" customHeight="1">
      <x:c r="A34" s="42"/>
      <x:c r="B34" s="42"/>
      <x:c r="C34" s="42"/>
      <x:c r="D34" s="42"/>
      <x:c r="E34" s="42"/>
      <x:c r="F34" s="6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14" t="s">
        <x:v>153</x:v>
      </x:c>
      <x:c r="S34" s="174" t="n">
        <x:f>IFERROR((('P&amp;L 5yr'!C$36*Assumptions!$F$51*('P&amp;L 5yr'!C$42/'P&amp;L 5yr'!C$38))+'P&amp;L 5yr'!C$49+'P&amp;L 5yr'!C$53)/'P&amp;L 5yr'!C$83,0)</x:f>
        <x:v>50632.76422764227</x:v>
      </x:c>
      <x:c r="T34" s="175"/>
      <x:c r="U34" s="175"/>
      <x:c r="V34" s="176" t="n">
        <x:f>'P&amp;L 5yr'!C$83</x:f>
        <x:v>1</x:v>
      </x:c>
      <x:c r="W34" s="177"/>
      <x:c r="X34" s="176" t="n">
        <x:f>IFERROR('P&amp;L 5yr'!C$83/'P&amp;L 5yr'!C$36,0)</x:f>
        <x:v>3</x:v>
      </x:c>
      <x:c r="Y34" s="177"/>
      <x:c r="Z34" s="178" t="str">
        <x:f>IF(X34&gt;Assumptions!$F$182,"Above capacity","Within capacity")</x:f>
        <x:v>Within capacity</x:v>
      </x:c>
      <x:c r="AA34" s="178"/>
    </x:row>
    <x:row r="35" ht="24.950000762939453" customHeight="1">
      <x:c r="A35" s="42"/>
      <x:c r="H35" s="42"/>
      <x:c r="I35" s="42"/>
      <x:c r="P35" s="42"/>
      <x:c r="Q35" s="42"/>
      <x:c r="R35" s="14" t="s">
        <x:v>154</x:v>
      </x:c>
      <x:c r="S35" s="174" t="n">
        <x:f>IFERROR((('P&amp;L 5yr'!D$36*Assumptions!$F$51*('P&amp;L 5yr'!D$42/'P&amp;L 5yr'!D$38))+'P&amp;L 5yr'!D$49+'P&amp;L 5yr'!D$53)/'P&amp;L 5yr'!D$83,0)</x:f>
        <x:v>1458.5781808122965</x:v>
      </x:c>
      <x:c r="T35" s="175"/>
      <x:c r="U35" s="175"/>
      <x:c r="V35" s="176" t="n">
        <x:f>'P&amp;L 5yr'!D$83</x:f>
        <x:v>124.1</x:v>
      </x:c>
      <x:c r="W35" s="177"/>
      <x:c r="X35" s="176" t="n">
        <x:f>IFERROR('P&amp;L 5yr'!D$83/'P&amp;L 5yr'!D$36,0)</x:f>
        <x:v>62.05</x:v>
      </x:c>
      <x:c r="Y35" s="177"/>
      <x:c r="Z35" s="178" t="str">
        <x:f>IF(X35&gt;Assumptions!$F$182,"Above capacity","Within capacity")</x:f>
        <x:v>Within capacity</x:v>
      </x:c>
      <x:c r="AA35" s="178"/>
    </x:row>
    <x:row r="36" ht="24.950000762939453" customHeight="1">
      <x:c r="A36" s="42"/>
      <x:c r="H36" s="42"/>
      <x:c r="I36" s="42"/>
      <x:c r="P36" s="42"/>
      <x:c r="Q36" s="42"/>
      <x:c r="R36" s="14" t="s">
        <x:v>155</x:v>
      </x:c>
      <x:c r="S36" s="174" t="n">
        <x:f>IFERROR((('P&amp;L 5yr'!E$36*Assumptions!$F$51*('P&amp;L 5yr'!E$42/'P&amp;L 5yr'!E$38))+'P&amp;L 5yr'!E$49+'P&amp;L 5yr'!E$53)/'P&amp;L 5yr'!E$83,0)</x:f>
        <x:v>1231.8872364039958</x:v>
      </x:c>
      <x:c r="T36" s="175"/>
      <x:c r="U36" s="175"/>
      <x:c r="V36" s="176" t="n">
        <x:f>'P&amp;L 5yr'!E$83</x:f>
        <x:v>220.83333333333331</x:v>
      </x:c>
      <x:c r="W36" s="177"/>
      <x:c r="X36" s="176" t="n">
        <x:f>IFERROR('P&amp;L 5yr'!E$83/'P&amp;L 5yr'!E$36,0)</x:f>
        <x:v>73.6111111111111</x:v>
      </x:c>
      <x:c r="Y36" s="177"/>
      <x:c r="Z36" s="178" t="str">
        <x:f>IF(X36&gt;Assumptions!$F$182,"Above capacity","Within capacity")</x:f>
        <x:v>Within capacity</x:v>
      </x:c>
      <x:c r="AA36" s="178"/>
    </x:row>
    <x:row r="37" ht="24.950000762939453" customHeight="1">
      <x:c r="A37" s="42"/>
      <x:c r="B37" s="42"/>
      <x:c r="C37" s="42"/>
      <x:c r="D37" s="42"/>
      <x:c r="E37" s="42"/>
      <x:c r="F37" s="62"/>
      <x:c r="G37" s="42"/>
      <x:c r="H37" s="42"/>
      <x:c r="I37" s="42"/>
      <x:c r="P37" s="42"/>
      <x:c r="Q37" s="42"/>
      <x:c r="R37" s="14" t="s">
        <x:v>156</x:v>
      </x:c>
      <x:c r="S37" s="174" t="n">
        <x:f>IFERROR((('P&amp;L 5yr'!F$36*Assumptions!$F$51*('P&amp;L 5yr'!F$42/'P&amp;L 5yr'!F$38))+'P&amp;L 5yr'!F$49+'P&amp;L 5yr'!F$53)/'P&amp;L 5yr'!F$83,0)</x:f>
        <x:v>346.6247511433952</x:v>
      </x:c>
      <x:c r="T37" s="175"/>
      <x:c r="U37" s="175"/>
      <x:c r="V37" s="176" t="n">
        <x:f>'P&amp;L 5yr'!F$83</x:f>
        <x:v>1575</x:v>
      </x:c>
      <x:c r="W37" s="177"/>
      <x:c r="X37" s="176" t="n">
        <x:f>IFERROR('P&amp;L 5yr'!F$83/'P&amp;L 5yr'!F$36,0)</x:f>
        <x:v>225</x:v>
      </x:c>
      <x:c r="Y37" s="177"/>
      <x:c r="Z37" s="178" t="str">
        <x:f>IF(X37&gt;Assumptions!$F$182,"Above capacity","Within capacity")</x:f>
        <x:v>Within capacity</x:v>
      </x:c>
      <x:c r="AA37" s="178"/>
    </x:row>
    <x:row r="38" ht="24.950000762939453" customHeight="1">
      <x:c r="A38" s="42"/>
      <x:c r="B38" s="42"/>
      <x:c r="C38" s="42"/>
      <x:c r="D38" s="42"/>
      <x:c r="E38" s="42"/>
      <x:c r="F38" s="62"/>
      <x:c r="G38" s="42"/>
      <x:c r="H38" s="42"/>
      <x:c r="I38" s="42"/>
      <x:c r="P38" s="42"/>
      <x:c r="Q38" s="42"/>
      <x:c r="R38" s="14" t="s">
        <x:v>157</x:v>
      </x:c>
      <x:c r="S38" s="174" t="n">
        <x:f>IFERROR((('P&amp;L 5yr'!G$36*Assumptions!$F$51*('P&amp;L 5yr'!G$42/'P&amp;L 5yr'!G$38))+'P&amp;L 5yr'!G$49+'P&amp;L 5yr'!G$53)/'P&amp;L 5yr'!G$83,0)</x:f>
        <x:v>485.5601120448179</x:v>
      </x:c>
      <x:c r="T38" s="175"/>
      <x:c r="U38" s="175"/>
      <x:c r="V38" s="176" t="n">
        <x:f>'P&amp;L 5yr'!G$83</x:f>
        <x:v>1312.5</x:v>
      </x:c>
      <x:c r="W38" s="177"/>
      <x:c r="X38" s="176" t="n">
        <x:f>IFERROR('P&amp;L 5yr'!G$83/'P&amp;L 5yr'!G$36,0)</x:f>
        <x:v>164.0625</x:v>
      </x:c>
      <x:c r="Y38" s="177"/>
      <x:c r="Z38" s="178" t="str">
        <x:f>IF(X38&gt;Assumptions!$F$182,"Above capacity","Within capacity")</x:f>
        <x:v>Within capacity</x:v>
      </x:c>
      <x:c r="AA38" s="178"/>
    </x:row>
    <x:row r="39" ht="21.950000762939453" customHeight="1">
      <x:c r="A39" s="42"/>
      <x:c r="B39" s="42"/>
      <x:c r="C39" s="42"/>
      <x:c r="D39" s="42"/>
      <x:c r="E39" s="42"/>
      <x:c r="F39" s="62"/>
      <x:c r="G39" s="42"/>
      <x:c r="H39" s="42"/>
      <x:c r="I39" s="42"/>
      <x:c r="P39" s="42"/>
      <x:c r="Q39" s="42"/>
      <x:c r="R39" s="173" t="s">
        <x:v>158</x:v>
      </x:c>
      <x:c r="S39" s="173"/>
      <x:c r="T39" s="173"/>
      <x:c r="U39" s="173"/>
      <x:c r="V39" s="173"/>
      <x:c r="W39" s="173"/>
      <x:c r="X39" s="173"/>
      <x:c r="Y39" s="173"/>
      <x:c r="Z39" s="173"/>
      <x:c r="AA39" s="173"/>
    </x:row>
    <x:row r="40" ht="24" customHeight="1">
      <x:c r="A40" s="42"/>
      <x:c r="B40" s="42"/>
      <x:c r="C40" s="42"/>
      <x:c r="D40" s="42"/>
      <x:c r="E40" s="42"/>
      <x:c r="F40" s="62"/>
      <x:c r="G40" s="42"/>
      <x:c r="H40" s="42"/>
      <x:c r="I40" s="42"/>
      <x:c r="P40" s="42"/>
      <x:c r="Q40" s="42"/>
      <x:c r="R40" s="173" t="s">
        <x:v>159</x:v>
      </x:c>
      <x:c r="S40" s="173"/>
      <x:c r="T40" s="173"/>
      <x:c r="U40" s="173"/>
      <x:c r="V40" s="173"/>
      <x:c r="W40" s="173"/>
      <x:c r="X40" s="173"/>
      <x:c r="Y40" s="173"/>
      <x:c r="Z40" s="173"/>
      <x:c r="AA40" s="173"/>
    </x:row>
    <x:row r="41" ht="18" customHeight="1">
      <x:c r="A41" s="42"/>
      <x:c r="B41" s="42"/>
      <x:c r="C41" s="42"/>
      <x:c r="D41" s="42"/>
      <x:c r="E41" s="42"/>
      <x:c r="F41" s="6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  <x:c r="AA41" s="42"/>
    </x:row>
    <x:row r="42" ht="18" customHeight="1">
      <x:c r="A42" s="42"/>
      <x:c r="B42" s="42"/>
      <x:c r="C42" s="42"/>
      <x:c r="D42" s="42"/>
      <x:c r="E42" s="42"/>
      <x:c r="F42" s="6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  <x:c r="AA42" s="42"/>
    </x:row>
    <x:row r="43" ht="24.75" customHeight="1">
      <x:c r="A43" s="42"/>
      <x:c r="B43" s="42"/>
      <x:c r="C43" s="42"/>
      <x:c r="D43" s="42"/>
      <x:c r="E43" s="42"/>
      <x:c r="F43" s="62"/>
      <x:c r="G43" s="42"/>
      <x:c r="H43" s="42"/>
      <x:c r="I43" s="42"/>
      <x:c r="J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  <x:c r="AA43" s="42"/>
    </x:row>
    <x:row r="44" ht="24.75" customHeight="1">
      <x:c r="A44" s="42"/>
      <x:c r="B44" s="42"/>
      <x:c r="C44" s="42"/>
      <x:c r="D44" s="42"/>
      <x:c r="E44" s="42"/>
      <x:c r="F44" s="62"/>
      <x:c r="G44" s="42"/>
      <x:c r="H44" s="42"/>
      <x:c r="I44" s="42"/>
      <x:c r="J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  <x:c r="AA44" s="42"/>
    </x:row>
    <x:row r="45" ht="24.75" customHeight="1">
      <x:c r="A45" s="42"/>
      <x:c r="B45" s="42"/>
      <x:c r="C45" s="42"/>
      <x:c r="D45" s="42"/>
      <x:c r="E45" s="42"/>
      <x:c r="F45" s="62"/>
      <x:c r="G45" s="42"/>
      <x:c r="H45" s="42"/>
      <x:c r="I45" s="42"/>
      <x:c r="J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  <x:c r="AA45" s="42"/>
    </x:row>
    <x:row r="46" ht="24.75" customHeight="1">
      <x:c r="A46" s="42"/>
      <x:c r="B46" s="42"/>
      <x:c r="C46" s="42"/>
      <x:c r="D46" s="42"/>
      <x:c r="E46" s="42"/>
      <x:c r="F46" s="62"/>
      <x:c r="G46" s="42"/>
      <x:c r="H46" s="42"/>
      <x:c r="I46" s="42"/>
      <x:c r="J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  <x:c r="AA46" s="42"/>
    </x:row>
    <x:row r="47" ht="18" customHeight="1">
      <x:c r="A47" s="42"/>
      <x:c r="B47" s="42"/>
      <x:c r="C47" s="42"/>
      <x:c r="D47" s="42"/>
      <x:c r="E47" s="42"/>
      <x:c r="F47" s="62"/>
      <x:c r="G47" s="42"/>
      <x:c r="H47" s="42"/>
      <x:c r="I47" s="42"/>
      <x:c r="J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  <x:c r="AA47" s="42"/>
    </x:row>
    <x:row r="48" ht="18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  <x:c r="AA48" s="42"/>
    </x:row>
    <x:row r="49" ht="18" customHeight="1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  <x:c r="AA49" s="42"/>
    </x:row>
    <x:row r="50" ht="18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  <x:c r="AA50" s="42"/>
    </x:row>
    <x:row r="51" ht="18" customHeight="1">
      <x:c r="A51" s="42"/>
      <x:c r="B51" s="183"/>
      <x:c r="C51" s="183"/>
      <x:c r="D51" s="183"/>
      <x:c r="E51" s="183"/>
      <x:c r="F51" s="183"/>
      <x:c r="G51" s="183"/>
      <x:c r="H51" s="183"/>
      <x:c r="I51" s="183"/>
      <x:c r="J51" s="183"/>
      <x:c r="K51" s="183"/>
      <x:c r="L51" s="183"/>
      <x:c r="M51" s="183"/>
      <x:c r="N51" s="183"/>
      <x:c r="O51" s="183"/>
      <x:c r="P51" s="183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  <x:c r="AA51" s="42"/>
    </x:row>
    <x:row r="52" ht="18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  <x:c r="AA52" s="42"/>
    </x:row>
    <x:row r="53" ht="18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  <x:c r="AA53" s="42"/>
    </x:row>
    <x:row r="54" ht="18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  <x:c r="AA54" s="42"/>
    </x:row>
    <x:row r="55" ht="18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  <x:c r="AA55" s="42"/>
    </x:row>
    <x:row r="56" ht="12" customHeight="1">
      <x:c r="A56" s="42"/>
      <x:c r="B56" s="48" t="s">
        <x:v>160</x:v>
      </x:c>
      <x:c r="C56" s="64"/>
      <x:c r="D56" s="64"/>
      <x:c r="E56" s="64"/>
      <x:c r="F56" s="48" t="s">
        <x:v>161</x:v>
      </x:c>
      <x:c r="G56" s="64"/>
      <x:c r="H56" s="64"/>
      <x:c r="I56" s="64"/>
      <x:c r="J56" s="48" t="s">
        <x:v>162</x:v>
      </x:c>
      <x:c r="K56" s="64"/>
      <x:c r="L56" s="64"/>
      <x:c r="M56" s="64"/>
      <x:c r="N56" s="64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  <x:c r="AA56" s="42"/>
    </x:row>
    <x:row r="57" ht="12" customHeight="1">
      <x:c r="A57" s="42"/>
      <x:c r="B57" s="48" t="s">
        <x:v>148</x:v>
      </x:c>
      <x:c r="C57" s="48" t="s">
        <x:v>163</x:v>
      </x:c>
      <x:c r="D57" s="48" t="s">
        <x:v>164</x:v>
      </x:c>
      <x:c r="E57" s="64"/>
      <x:c r="F57" s="48" t="s">
        <x:v>165</x:v>
      </x:c>
      <x:c r="G57" s="48" t="s">
        <x:v>166</x:v>
      </x:c>
      <x:c r="H57" s="64"/>
      <x:c r="I57" s="64"/>
      <x:c r="J57" s="48" t="s">
        <x:v>165</x:v>
      </x:c>
      <x:c r="K57" s="48" t="s">
        <x:v>167</x:v>
      </x:c>
      <x:c r="L57" s="48" t="s">
        <x:v>166</x:v>
      </x:c>
      <x:c r="M57" s="48" t="s">
        <x:v>168</x:v>
      </x:c>
      <x:c r="N57" s="64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  <x:c r="AA57" s="42"/>
    </x:row>
    <x:row r="58" ht="12" customHeight="1">
      <x:c r="A58" s="42"/>
      <x:c r="B58" s="49" t="s">
        <x:v>153</x:v>
      </x:c>
      <x:c r="C58" s="58" t="n">
        <x:f>'Scenario Engine'!$H$30/1000000</x:f>
        <x:v>0.0024490500000000004</x:v>
      </x:c>
      <x:c r="D58" s="58" t="n">
        <x:f>'Scenario Engine'!$H$57/1000000</x:f>
        <x:v>-0.7643206057812499</x:v>
      </x:c>
      <x:c r="E58" s="64"/>
      <x:c r="F58" s="49" t="s">
        <x:v>169</x:v>
      </x:c>
      <x:c r="G58" s="58" t="n">
        <x:f>'Cash Flow Statement'!$H$4/1000000</x:f>
        <x:v>2.649419</x:v>
      </x:c>
      <x:c r="H58" s="64"/>
      <x:c r="I58" s="64"/>
      <x:c r="J58" s="49" t="s">
        <x:v>116</x:v>
      </x:c>
      <x:c r="K58" s="49" t="n">
        <x:f>SUM('P&amp;L 5yr'!$C$34:$E$34)*Assumptions!$F$50+SUM('P&amp;L 5yr'!$C$44:$E$47)+SUM('Startup 6mo'!$F$23:$F$28)</x:f>
        <x:v>689360</x:v>
      </x:c>
      <x:c r="L58" s="59" t="n">
        <x:f>MAX(0,'Launch Readiness'!$E$12-$L$62)*K58/SUM($K$58:$K$61)</x:f>
        <x:v>526792.3819459773</x:v>
      </x:c>
      <x:c r="M58" s="60" t="n">
        <x:f>L58/'Launch Readiness'!$E$12</x:f>
        <x:v>0.18542922733043077</x:v>
      </x:c>
      <x:c r="N58" s="64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  <x:c r="AA58" s="42"/>
    </x:row>
    <x:row r="59" ht="12" customHeight="1">
      <x:c r="A59" s="42"/>
      <x:c r="B59" s="49" t="s">
        <x:v>154</x:v>
      </x:c>
      <x:c r="C59" s="58" t="n">
        <x:f>'Scenario Engine'!$I$30/1000000</x:f>
        <x:v>0.404549</x:v>
      </x:c>
      <x:c r="D59" s="58" t="n">
        <x:f>'Scenario Engine'!$I$57/1000000</x:f>
        <x:v>-0.8547296614583333</x:v>
      </x:c>
      <x:c r="E59" s="64"/>
      <x:c r="F59" s="49" t="s">
        <x:v>170</x:v>
      </x:c>
      <x:c r="G59" s="58" t="n">
        <x:f>'P&amp;L 5yr'!$G$65/1000000</x:f>
        <x:v>0.191516</x:v>
      </x:c>
      <x:c r="H59" s="64"/>
      <x:c r="I59" s="64"/>
      <x:c r="J59" s="49" t="s">
        <x:v>122</x:v>
      </x:c>
      <x:c r="K59" s="49" t="n">
        <x:f>SUM('P&amp;L 5yr'!$C$33:$E$33)*Assumptions!$F$49+SUM('P&amp;L 5yr'!$C$39:$E$41)+SUM('P&amp;L 5yr'!$C$48:$E$48,'P&amp;L 5yr'!$C$50:$E$50,'P&amp;L 5yr'!$C$54:$E$55)+SUM('Startup 6mo'!$F$7:$F$10,'Startup 6mo'!$F$37:$F$39)</x:f>
        <x:v>1282926.3333333333</x:v>
      </x:c>
      <x:c r="L59" s="59" t="n">
        <x:f>MAX(0,'Launch Readiness'!$E$12-$L$62)*K59/SUM($K$58:$K$61)</x:f>
        <x:v>980381.5408464163</x:v>
      </x:c>
      <x:c r="M59" s="60" t="n">
        <x:f>L59/'Launch Readiness'!$E$12</x:f>
        <x:v>0.3450911551466036</x:v>
      </x:c>
      <x:c r="N59" s="64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  <x:c r="AA59" s="42"/>
    </x:row>
    <x:row r="60" ht="12" customHeight="1">
      <x:c r="A60" s="42"/>
      <x:c r="B60" s="49" t="s">
        <x:v>155</x:v>
      </x:c>
      <x:c r="C60" s="58" t="n">
        <x:f>'Scenario Engine'!$J$30/1000000</x:f>
        <x:v>1.387904</x:v>
      </x:c>
      <x:c r="D60" s="58" t="n">
        <x:f>'Scenario Engine'!$J$57/1000000</x:f>
        <x:v>-0.39308375</x:v>
      </x:c>
      <x:c r="E60" s="64"/>
      <x:c r="F60" s="49" t="s">
        <x:v>171</x:v>
      </x:c>
      <x:c r="G60" s="58" t="n">
        <x:f>'Launch Readiness'!$E$10/1000000</x:f>
        <x:v>0</x:v>
      </x:c>
      <x:c r="H60" s="64"/>
      <x:c r="I60" s="64"/>
      <x:c r="J60" s="49" t="s">
        <x:v>126</x:v>
      </x:c>
      <x:c r="K60" s="49" t="n">
        <x:f>SUM('P&amp;L 5yr'!$C$35:$E$35)*Assumptions!$F$51+SUM('P&amp;L 5yr'!$C$51:$E$52)+SUM('Startup 6mo'!$F$12:$F$21)</x:f>
        <x:v>1288680</x:v>
      </x:c>
      <x:c r="L60" s="59" t="n">
        <x:f>MAX(0,'Launch Readiness'!$E$12-$L$62)*K60/SUM($K$58:$K$61)</x:f>
        <x:v>984778.3549468232</x:v>
      </x:c>
      <x:c r="M60" s="60" t="n">
        <x:f>L60/'Launch Readiness'!$E$12</x:f>
        <x:v>0.34663881959524706</x:v>
      </x:c>
      <x:c r="N60" s="64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  <x:c r="AA60" s="42"/>
    </x:row>
    <x:row r="61" ht="12" customHeight="1">
      <x:c r="A61" s="42"/>
      <x:c r="B61" s="49" t="s">
        <x:v>156</x:v>
      </x:c>
      <x:c r="C61" s="58" t="n">
        <x:f>'Scenario Engine'!$K$30/1000000</x:f>
        <x:v>8.942691920000001</x:v>
      </x:c>
      <x:c r="D61" s="58" t="n">
        <x:f>'Scenario Engine'!$K$57/1000000</x:f>
        <x:v>5.002029107500002</x:v>
      </x:c>
      <x:c r="E61" s="64"/>
      <x:c r="F61" s="49" t="s">
        <x:v>172</x:v>
      </x:c>
      <x:c r="G61" s="58" t="n">
        <x:f>'Launch Readiness'!$E$12/1000000</x:f>
        <x:v>2.840935</x:v>
      </x:c>
      <x:c r="H61" s="64"/>
      <x:c r="I61" s="64"/>
      <x:c r="J61" s="49" t="s">
        <x:v>133</x:v>
      </x:c>
      <x:c r="K61" s="49" t="n">
        <x:f>SUM('P&amp;L 5yr'!$C$36:$E$36)*Assumptions!$F$52+SUM('P&amp;L 5yr'!$C$49:$E$49,'P&amp;L 5yr'!$C$53:$E$53)+SUM('Startup 6mo'!$F$30:$F$35)</x:f>
        <x:v>206060.8</x:v>
      </x:c>
      <x:c r="L61" s="59" t="n">
        <x:f>'Launch Readiness'!$E$12-SUM($L$58:$L$60)-$L$62</x:f>
        <x:v>157466.72226078296</x:v>
      </x:c>
      <x:c r="M61" s="60" t="n">
        <x:f>L61/'Launch Readiness'!$E$12</x:f>
        <x:v>0.05542778073443531</x:v>
      </x:c>
      <x:c r="N61" s="64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  <x:c r="AA61" s="42"/>
    </x:row>
    <x:row r="62" ht="12" customHeight="1">
      <x:c r="A62" s="42"/>
      <x:c r="B62" s="49" t="s">
        <x:v>157</x:v>
      </x:c>
      <x:c r="C62" s="58" t="n">
        <x:f>'Scenario Engine'!$L$30/1000000</x:f>
        <x:v>17.832613677500003</x:v>
      </x:c>
      <x:c r="D62" s="58" t="n">
        <x:f>'Scenario Engine'!$L$57/1000000</x:f>
        <x:v>11.753016240000003</x:v>
      </x:c>
      <x:c r="E62" s="64"/>
      <x:c r="F62" s="64"/>
      <x:c r="G62" s="64"/>
      <x:c r="H62" s="64"/>
      <x:c r="I62" s="64"/>
      <x:c r="J62" s="49" t="s">
        <x:v>136</x:v>
      </x:c>
      <x:c r="K62" s="49" t="n">
        <x:f>'P&amp;L 5yr'!$G$65</x:f>
        <x:v>191516</x:v>
      </x:c>
      <x:c r="L62" s="59" t="n">
        <x:f>MIN('Launch Readiness'!$E$12,'P&amp;L 5yr'!$G$65)</x:f>
        <x:v>191516</x:v>
      </x:c>
      <x:c r="M62" s="60" t="n">
        <x:f>L62/'Launch Readiness'!$E$12</x:f>
        <x:v>0.0674130171932832</x:v>
      </x:c>
      <x:c r="N62" s="64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  <x:c r="AA62" s="42"/>
    </x:row>
    <x:row r="63" ht="12" customHeight="1">
      <x:c r="A63" s="42"/>
      <x:c r="B63" s="42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  <x:c r="AA63" s="42"/>
    </x:row>
    <x:row r="64" ht="12" customHeight="1">
      <x:c r="A64" s="42"/>
      <x:c r="B64" s="42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  <x:c r="AA64" s="42"/>
    </x:row>
    <x:row r="65" ht="12" customHeight="1">
      <x:c r="A65" s="42"/>
      <x:c r="B65" s="42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  <x:c r="AA65" s="42"/>
    </x:row>
    <x:row r="66" ht="12" customHeight="1">
      <x:c r="A66" s="42"/>
      <x:c r="B66" s="48" t="s">
        <x:v>173</x:v>
      </x:c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  <x:c r="AA66" s="42"/>
    </x:row>
    <x:row r="67" ht="12" customHeight="1">
      <x:c r="A67" s="42"/>
      <x:c r="B67" s="48" t="s">
        <x:v>174</x:v>
      </x:c>
      <x:c r="C67" s="48" t="s">
        <x:v>135</x:v>
      </x:c>
      <x:c r="D67" s="48" t="s">
        <x:v>138</x:v>
      </x:c>
      <x:c r="E67" s="48" t="s">
        <x:v>142</x:v>
      </x:c>
      <x:c r="F67" s="64"/>
      <x:c r="G67" s="64"/>
      <x:c r="H67" s="64"/>
      <x:c r="I67" s="64"/>
      <x:c r="J67" s="64"/>
      <x:c r="K67" s="64"/>
      <x:c r="L67" s="64"/>
      <x:c r="M67" s="64"/>
      <x:c r="N67" s="64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  <x:c r="AA67" s="42"/>
    </x:row>
    <x:row r="68" ht="12" customHeight="1">
      <x:c r="A68" s="42"/>
      <x:c r="B68" s="49" t="str">
        <x:f>'Cash Flow Statement'!G9</x:f>
        <x:v>Y1 M6</x:v>
      </x:c>
      <x:c r="C68" s="58" t="n">
        <x:f>'Cash Flow Statement'!G52/1000000</x:f>
        <x:v>-0.6999</x:v>
      </x:c>
      <x:c r="D68" s="58" t="n">
        <x:f>'Cash Flow Statement'!G53/1000000</x:f>
        <x:v>-0.6999</x:v>
      </x:c>
      <x:c r="E68" s="58" t="n">
        <x:f>'Cash Flow Statement'!G54/1000000</x:f>
        <x:v>-0.6999</x:v>
      </x:c>
      <x:c r="F68" s="64"/>
      <x:c r="G68" s="64"/>
      <x:c r="H68" s="64"/>
      <x:c r="I68" s="64"/>
      <x:c r="J68" s="64"/>
      <x:c r="K68" s="64"/>
      <x:c r="L68" s="64"/>
      <x:c r="M68" s="64"/>
      <x:c r="N68" s="64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  <x:c r="AA68" s="42"/>
    </x:row>
    <x:row r="69" ht="12" customHeight="1">
      <x:c r="A69" s="42"/>
      <x:c r="B69" s="49" t="str">
        <x:f>'Cash Flow Statement'!M9</x:f>
        <x:v>Y1 M12</x:v>
      </x:c>
      <x:c r="C69" s="58" t="n">
        <x:f>'Cash Flow Statement'!M52/1000000</x:f>
        <x:v>-1.112373</x:v>
      </x:c>
      <x:c r="D69" s="58" t="n">
        <x:f>'Cash Flow Statement'!M53/1000000</x:f>
        <x:v>-1.112727</x:v>
      </x:c>
      <x:c r="E69" s="58" t="n">
        <x:f>'Cash Flow Statement'!M54/1000000</x:f>
        <x:v>-1.113402</x:v>
      </x:c>
      <x:c r="F69" s="64"/>
      <x:c r="G69" s="64"/>
      <x:c r="H69" s="64"/>
      <x:c r="I69" s="64"/>
      <x:c r="J69" s="64"/>
      <x:c r="K69" s="64"/>
      <x:c r="L69" s="64"/>
      <x:c r="M69" s="64"/>
      <x:c r="N69" s="64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  <x:c r="AA69" s="42"/>
    </x:row>
    <x:row r="70" ht="12" customHeight="1">
      <x:c r="A70" s="42"/>
      <x:c r="B70" s="49" t="str">
        <x:f>'Cash Flow Statement'!S9</x:f>
        <x:v>Y2 M6</x:v>
      </x:c>
      <x:c r="C70" s="58" t="n">
        <x:f>'Cash Flow Statement'!S52/1000000</x:f>
        <x:v>-1.628384</x:v>
      </x:c>
      <x:c r="D70" s="58" t="n">
        <x:f>'Cash Flow Statement'!S53/1000000</x:f>
        <x:v>-1.564042</x:v>
      </x:c>
      <x:c r="E70" s="58" t="n">
        <x:f>'Cash Flow Statement'!S54/1000000</x:f>
        <x:v>-1.442663</x:v>
      </x:c>
      <x:c r="F70" s="64"/>
      <x:c r="G70" s="64"/>
      <x:c r="H70" s="64"/>
      <x:c r="I70" s="64"/>
      <x:c r="J70" s="64"/>
      <x:c r="K70" s="64"/>
      <x:c r="L70" s="64"/>
      <x:c r="M70" s="64"/>
      <x:c r="N70" s="64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  <x:c r="AA70" s="42"/>
    </x:row>
    <x:row r="71" ht="12" customHeight="1">
      <x:c r="A71" s="42"/>
      <x:c r="B71" s="49" t="str">
        <x:f>'Cash Flow Statement'!Y9</x:f>
        <x:v>Y2 M12</x:v>
      </x:c>
      <x:c r="C71" s="58" t="n">
        <x:f>'Cash Flow Statement'!Y52/1000000</x:f>
        <x:v>-2.140694</x:v>
      </x:c>
      <x:c r="D71" s="58" t="n">
        <x:f>'Cash Flow Statement'!Y53/1000000</x:f>
        <x:v>-1.998724</x:v>
      </x:c>
      <x:c r="E71" s="58" t="n">
        <x:f>'Cash Flow Statement'!Y54/1000000</x:f>
        <x:v>-1.731695</x:v>
      </x:c>
      <x:c r="F71" s="64"/>
      <x:c r="G71" s="64"/>
      <x:c r="H71" s="64"/>
      <x:c r="I71" s="64"/>
      <x:c r="J71" s="64"/>
      <x:c r="K71" s="64"/>
      <x:c r="L71" s="64"/>
      <x:c r="M71" s="64"/>
      <x:c r="N71" s="64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  <x:c r="AA71" s="42"/>
    </x:row>
    <x:row r="72" ht="12" customHeight="1">
      <x:c r="A72" s="42"/>
      <x:c r="B72" s="49" t="str">
        <x:f>'Cash Flow Statement'!AE9</x:f>
        <x:v>Y3 M6</x:v>
      </x:c>
      <x:c r="C72" s="58" t="n">
        <x:f>'Cash Flow Statement'!AE52/1000000</x:f>
        <x:v>-2.573129</x:v>
      </x:c>
      <x:c r="D72" s="58" t="n">
        <x:f>'Cash Flow Statement'!AE53/1000000</x:f>
        <x:v>-2.277212</x:v>
      </x:c>
      <x:c r="E72" s="58" t="n">
        <x:f>'Cash Flow Statement'!AE54/1000000</x:f>
        <x:v>-1.772812</x:v>
      </x:c>
      <x:c r="F72" s="64"/>
      <x:c r="G72" s="64"/>
      <x:c r="H72" s="64"/>
      <x:c r="I72" s="64"/>
      <x:c r="J72" s="64"/>
      <x:c r="K72" s="64"/>
      <x:c r="L72" s="64"/>
      <x:c r="M72" s="64"/>
      <x:c r="N72" s="64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  <x:c r="AA72" s="42"/>
    </x:row>
    <x:row r="73" ht="12" customHeight="1">
      <x:c r="A73" s="42"/>
      <x:c r="B73" s="49" t="str">
        <x:f>'Cash Flow Statement'!AK9</x:f>
        <x:v>Y3 M12</x:v>
      </x:c>
      <x:c r="C73" s="58" t="n">
        <x:f>'Cash Flow Statement'!AK52/1000000</x:f>
        <x:v>-2.936621</x:v>
      </x:c>
      <x:c r="D73" s="58" t="n">
        <x:f>'Cash Flow Statement'!AK53/1000000</x:f>
        <x:v>-2.473754</x:v>
      </x:c>
      <x:c r="E73" s="58" t="n">
        <x:f>'Cash Flow Statement'!AK54/1000000</x:f>
        <x:v>-1.713742</x:v>
      </x:c>
      <x:c r="F73" s="64"/>
      <x:c r="G73" s="64"/>
      <x:c r="H73" s="64"/>
      <x:c r="I73" s="64"/>
      <x:c r="J73" s="64"/>
      <x:c r="K73" s="64"/>
      <x:c r="L73" s="64"/>
      <x:c r="M73" s="64"/>
      <x:c r="N73" s="64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  <x:c r="AA73" s="42"/>
    </x:row>
    <x:row r="74" ht="12" customHeight="1">
      <x:c r="A74" s="42"/>
      <x:c r="B74" s="49" t="str">
        <x:f>'Cash Flow Statement'!AQ9</x:f>
        <x:v>Y4 M6</x:v>
      </x:c>
      <x:c r="C74" s="58" t="n">
        <x:f>'Cash Flow Statement'!AQ52/1000000</x:f>
        <x:v>-3.387322</x:v>
      </x:c>
      <x:c r="D74" s="58" t="n">
        <x:f>'Cash Flow Statement'!AQ53/1000000</x:f>
        <x:v>-0.602304</x:v>
      </x:c>
      <x:c r="E74" s="58" t="n">
        <x:f>'Cash Flow Statement'!AQ54/1000000</x:f>
        <x:v>2.68489</x:v>
      </x:c>
      <x:c r="F74" s="64"/>
      <x:c r="G74" s="64"/>
      <x:c r="H74" s="64"/>
      <x:c r="I74" s="64"/>
      <x:c r="J74" s="64"/>
      <x:c r="K74" s="64"/>
      <x:c r="L74" s="64"/>
      <x:c r="M74" s="64"/>
      <x:c r="N74" s="64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  <x:c r="AA74" s="42"/>
    </x:row>
    <x:row r="75" ht="12" customHeight="1">
      <x:c r="A75" s="42"/>
      <x:c r="B75" s="49" t="str">
        <x:f>'Cash Flow Statement'!AW9</x:f>
        <x:v>Y4 M12</x:v>
      </x:c>
      <x:c r="C75" s="58" t="n">
        <x:f>'Cash Flow Statement'!AW52/1000000</x:f>
        <x:v>-3.799318</x:v>
      </x:c>
      <x:c r="D75" s="58" t="n">
        <x:f>'Cash Flow Statement'!AW53/1000000</x:f>
        <x:v>1.898712</x:v>
      </x:c>
      <x:c r="E75" s="58" t="n">
        <x:f>'Cash Flow Statement'!AW54/1000000</x:f>
        <x:v>8.286676</x:v>
      </x:c>
      <x:c r="F75" s="65"/>
      <x:c r="G75" s="64"/>
      <x:c r="H75" s="64"/>
      <x:c r="I75" s="64"/>
      <x:c r="J75" s="64"/>
      <x:c r="K75" s="64"/>
      <x:c r="L75" s="64"/>
      <x:c r="M75" s="64"/>
      <x:c r="N75" s="64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  <x:c r="AA75" s="42"/>
    </x:row>
    <x:row r="76" ht="12" customHeight="1">
      <x:c r="A76" s="42"/>
      <x:c r="B76" s="49" t="str">
        <x:f>'Cash Flow Statement'!BC9</x:f>
        <x:v>Y5 M6</x:v>
      </x:c>
      <x:c r="C76" s="58" t="n">
        <x:f>'Cash Flow Statement'!BC52/1000000</x:f>
        <x:v>-3.502201</x:v>
      </x:c>
      <x:c r="D76" s="58" t="n">
        <x:f>'Cash Flow Statement'!BC53/1000000</x:f>
        <x:v>7.034393</x:v>
      </x:c>
      <x:c r="E76" s="58" t="n">
        <x:f>'Cash Flow Statement'!BC54/1000000</x:f>
        <x:v>20.230858</x:v>
      </x:c>
      <x:c r="F76" s="65"/>
      <x:c r="G76" s="64"/>
      <x:c r="H76" s="64"/>
      <x:c r="I76" s="64"/>
      <x:c r="J76" s="64"/>
      <x:c r="K76" s="64"/>
      <x:c r="L76" s="64"/>
      <x:c r="M76" s="64"/>
      <x:c r="N76" s="64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  <x:c r="AA76" s="42"/>
    </x:row>
    <x:row r="77" ht="12" customHeight="1">
      <x:c r="A77" s="42"/>
      <x:c r="B77" s="49" t="str">
        <x:f>'Cash Flow Statement'!BI9</x:f>
        <x:v>Y5 M12</x:v>
      </x:c>
      <x:c r="C77" s="58" t="n">
        <x:f>'Cash Flow Statement'!BI52/1000000</x:f>
        <x:v>-2.961337</x:v>
      </x:c>
      <x:c r="D77" s="58" t="n">
        <x:f>'Cash Flow Statement'!BI53/1000000</x:f>
        <x:v>12.910901</x:v>
      </x:c>
      <x:c r="E77" s="58" t="n">
        <x:f>'Cash Flow Statement'!BI54/1000000</x:f>
        <x:v>33.884644</x:v>
      </x:c>
      <x:c r="F77" s="65"/>
      <x:c r="G77" s="64"/>
      <x:c r="H77" s="64"/>
      <x:c r="I77" s="64"/>
      <x:c r="J77" s="64"/>
      <x:c r="K77" s="64"/>
      <x:c r="L77" s="64"/>
      <x:c r="M77" s="64"/>
      <x:c r="N77" s="64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  <x:c r="AA77" s="42"/>
    </x:row>
    <x:row r="78" ht="1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  <x:c r="AA78" s="42"/>
    </x:row>
    <x:row r="79" ht="1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  <x:c r="AA79" s="42"/>
    </x:row>
    <x:row r="80" ht="1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  <x:c r="AA80" s="42"/>
    </x:row>
    <x:row r="81" ht="1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  <x:c r="AA81" s="42"/>
    </x:row>
    <x:row r="82" ht="18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  <x:c r="AA82" s="42"/>
    </x:row>
    <x:row r="83" ht="18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  <x:c r="AA83" s="42"/>
    </x:row>
    <x:row r="84" ht="14.25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  <x:c r="AA84" s="42"/>
    </x:row>
    <x:row r="85" ht="14.25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  <x:c r="AA85" s="42"/>
    </x:row>
    <x:row r="86" ht="14.25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  <x:c r="AA86" s="42"/>
    </x:row>
    <x:row r="87" ht="14.25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  <x:c r="AA87" s="42"/>
    </x:row>
    <x:row r="88" ht="14.25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  <x:c r="AA88" s="42"/>
    </x:row>
    <x:row r="89" ht="14.25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  <x:c r="AA89" s="42"/>
    </x:row>
    <x:row r="90" ht="14.25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  <x:c r="AA90" s="42"/>
    </x:row>
    <x:row r="91" ht="14.25" customHeight="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  <x:c r="AA91" s="42"/>
    </x:row>
    <x:row r="92" ht="14.25" customHeight="1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  <x:c r="AA92" s="42"/>
    </x:row>
    <x:row r="93" ht="14.25" customHeight="1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  <x:c r="AA93" s="42"/>
    </x:row>
    <x:row r="94" ht="14.25" customHeight="1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  <x:c r="AA94" s="42"/>
    </x:row>
    <x:row r="95" ht="14.25" customHeight="1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  <x:c r="AA95" s="42"/>
    </x:row>
    <x:row r="96" ht="14.25" customHeight="1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  <x:c r="AA96" s="42"/>
    </x:row>
    <x:row r="97" ht="14.25" customHeight="1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  <x:c r="AA97" s="42"/>
    </x:row>
    <x:row r="98" ht="14.25" customHeight="1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  <x:c r="AA98" s="42"/>
    </x:row>
    <x:row r="99" ht="14.25" customHeight="1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  <x:c r="AA99" s="42"/>
    </x:row>
    <x:row r="100" ht="14.25" customHeight="1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  <x:c r="AA100" s="42"/>
    </x:row>
    <x:row r="101" ht="14.25" customHeight="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  <x:c r="AA101" s="42"/>
    </x:row>
    <x:row r="102" ht="14.25" customHeight="1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  <x:c r="AA102" s="42"/>
    </x:row>
    <x:row r="103" ht="14.25" customHeight="1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  <x:c r="AA103" s="42"/>
    </x:row>
    <x:row r="104" ht="14.25" customHeight="1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  <x:c r="AA104" s="42"/>
    </x:row>
    <x:row r="105" ht="14.25" customHeight="1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  <x:c r="AA105" s="42"/>
    </x:row>
    <x:row r="106" ht="14.25" customHeight="1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  <x:c r="AA106" s="42"/>
    </x:row>
    <x:row r="107" ht="14.25" customHeight="1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  <x:c r="AA107" s="42"/>
    </x:row>
    <x:row r="108" ht="14.25" customHeight="1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  <x:c r="AA108" s="42"/>
    </x:row>
    <x:row r="109" ht="14.25" customHeight="1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  <x:c r="AA109" s="42"/>
    </x:row>
    <x:row r="110" ht="14.25" customHeight="1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  <x:c r="AA110" s="42"/>
    </x:row>
    <x:row r="111" ht="14.25" customHeight="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  <x:c r="AA111" s="42"/>
    </x:row>
    <x:row r="112" ht="14.25" customHeight="1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  <x:c r="AA112" s="42"/>
    </x:row>
    <x:row r="113" ht="14.25" customHeight="1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  <x:c r="AA113" s="42"/>
    </x:row>
    <x:row r="114" ht="14.25" customHeight="1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  <x:c r="AA114" s="42"/>
    </x:row>
    <x:row r="115" ht="14.25" customHeight="1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  <x:c r="AA115" s="42"/>
    </x:row>
    <x:row r="116" ht="14.25" customHeight="1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  <x:c r="AA116" s="42"/>
    </x:row>
    <x:row r="117" ht="14.25" customHeight="1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  <x:c r="AA117" s="42"/>
    </x:row>
    <x:row r="118" ht="14.25" customHeight="1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  <x:c r="AA118" s="42"/>
    </x:row>
    <x:row r="119" ht="14.25" customHeight="1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  <x:c r="AA119" s="42"/>
    </x:row>
    <x:row r="120" ht="18" customHeight="1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  <x:c r="AA120" s="42"/>
    </x:row>
    <x:row r="121" ht="18" customHeight="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  <x:c r="AA121" s="42"/>
    </x:row>
    <x:row r="122" ht="18" customHeight="1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  <x:c r="AA122" s="42"/>
    </x:row>
    <x:row r="123" ht="18" customHeight="1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  <x:c r="AA123" s="42"/>
    </x:row>
    <x:row r="124" ht="18" customHeight="1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  <x:c r="AA124" s="42"/>
    </x:row>
    <x:row r="125" ht="18" customHeight="1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  <x:c r="AA125" s="42"/>
    </x:row>
  </x:sheetData>
  <x:mergeCells>
    <x:mergeCell ref="B2:P2"/>
    <x:mergeCell ref="B4:P5"/>
    <x:mergeCell ref="B6:P7"/>
    <x:mergeCell ref="R9:W9"/>
    <x:mergeCell ref="C10:D10"/>
    <x:mergeCell ref="G10:H10"/>
    <x:mergeCell ref="K10:L10"/>
    <x:mergeCell ref="O10:P10"/>
    <x:mergeCell ref="C11:D11"/>
    <x:mergeCell ref="G11:H11"/>
    <x:mergeCell ref="K11:L11"/>
    <x:mergeCell ref="O11:P11"/>
    <x:mergeCell ref="C12:D12"/>
    <x:mergeCell ref="G12:H12"/>
    <x:mergeCell ref="K12:L12"/>
    <x:mergeCell ref="O12:P12"/>
    <x:mergeCell ref="C13:G13"/>
    <x:mergeCell ref="K13:O13"/>
    <x:mergeCell ref="C14:G14"/>
    <x:mergeCell ref="K14:O14"/>
    <x:mergeCell ref="C22:G22"/>
    <x:mergeCell ref="J32:N32"/>
    <x:mergeCell ref="B51:P51"/>
    <x:mergeCell ref="C23:G23"/>
    <x:mergeCell ref="K24:O24"/>
    <x:mergeCell ref="J29:N29"/>
    <x:mergeCell ref="J30:N30"/>
    <x:mergeCell ref="J31:N31"/>
    <x:mergeCell ref="K23:O23"/>
    <x:mergeCell ref="R30:AA30"/>
    <x:mergeCell ref="R31:AA31"/>
    <x:mergeCell ref="S33:U33"/>
    <x:mergeCell ref="V33:W33"/>
    <x:mergeCell ref="X33:Y33"/>
    <x:mergeCell ref="Z33:AA33"/>
    <x:mergeCell ref="S34:U34"/>
    <x:mergeCell ref="V34:W34"/>
    <x:mergeCell ref="X34:Y34"/>
    <x:mergeCell ref="Z34:AA34"/>
    <x:mergeCell ref="S35:U35"/>
    <x:mergeCell ref="V35:W35"/>
    <x:mergeCell ref="X35:Y35"/>
    <x:mergeCell ref="Z35:AA35"/>
    <x:mergeCell ref="S36:U36"/>
    <x:mergeCell ref="V36:W36"/>
    <x:mergeCell ref="X36:Y36"/>
    <x:mergeCell ref="Z36:AA36"/>
    <x:mergeCell ref="S37:U37"/>
    <x:mergeCell ref="V37:W37"/>
    <x:mergeCell ref="X37:Y37"/>
    <x:mergeCell ref="Z37:AA37"/>
    <x:mergeCell ref="R40:AA40"/>
    <x:mergeCell ref="S38:U38"/>
    <x:mergeCell ref="V38:W38"/>
    <x:mergeCell ref="X38:Y38"/>
    <x:mergeCell ref="Z38:AA38"/>
    <x:mergeCell ref="R39:AA39"/>
  </x:mergeCells>
  <x:conditionalFormatting sqref="Z34:AA38">
    <x:cfRule type="containsText" dxfId="5" priority="1" operator="containsText" text="Within capacity"/>
    <x:cfRule type="containsText" dxfId="4" priority="2" operator="containsText" text="Above capacity"/>
  </x:conditionalFormatting>
  <x:pageMargins left="0.7" right="0.7" top="0.75" bottom="0.75" header="0.3" footer="0.3"/>
  <x:drawing xmlns:r="http://schemas.openxmlformats.org/officeDocument/2006/relationships" r:id="R9ab8c268e6f44679"/>
</x:worksheet>
</file>

<file path=xl/worksheets/sheet3.xml><?xml version="1.0" encoding="utf-8"?>
<x:worksheet xmlns:x="http://schemas.openxmlformats.org/spreadsheetml/2006/main">
  <x:sheetPr>
    <x:tabColor rgb="FFC08A1E"/>
  </x:sheetPr>
  <x:sheetViews>
    <x:sheetView showGridLines="0" workbookViewId="0"/>
  </x:sheetViews>
  <x:sheetFormatPr defaultColWidth="8.5703125" defaultRowHeight="12.75"/>
  <x:cols>
    <x:col min="1" max="1" width="40" customWidth="1"/>
    <x:col min="2" max="2" width="16" customWidth="1"/>
    <x:col min="3" max="3" width="30" customWidth="1"/>
    <x:col min="4" max="4" width="34" customWidth="1"/>
    <x:col min="5" max="5" width="26" customWidth="1"/>
    <x:col min="6" max="6" width="18" customWidth="1"/>
    <x:col min="7" max="7" width="22" customWidth="1"/>
    <x:col min="8" max="8" width="62" customWidth="1"/>
  </x:cols>
  <x:sheetData>
    <x:row r="1" ht="27.950000762939453" customHeight="1">
      <x:c r="A1" s="197" t="s">
        <x:v>175</x:v>
      </x:c>
      <x:c r="B1" s="197"/>
      <x:c r="C1" s="197"/>
      <x:c r="D1" s="197"/>
      <x:c r="E1" s="197"/>
      <x:c r="F1" s="197"/>
      <x:c r="G1" s="197"/>
      <x:c r="H1" s="197"/>
    </x:row>
    <x:row r="2" ht="18" customHeight="1">
      <x:c r="A2" s="4" t="s">
        <x:v>176</x:v>
      </x:c>
      <x:c r="B2" s="4"/>
      <x:c r="C2" s="4"/>
      <x:c r="D2" s="4"/>
      <x:c r="E2" s="4"/>
      <x:c r="F2" s="4"/>
      <x:c r="G2" s="4"/>
      <x:c r="H2" s="4"/>
    </x:row>
    <x:row r="3" ht="9.949999809265137" customHeight="1">
      <x:c r="A3" s="42"/>
      <x:c r="B3" s="42"/>
      <x:c r="C3" s="42"/>
      <x:c r="D3" s="42"/>
      <x:c r="E3" s="42"/>
      <x:c r="F3" s="42"/>
      <x:c r="G3" s="42"/>
      <x:c r="H3" s="42"/>
    </x:row>
    <x:row r="4" ht="21" customHeight="1">
      <x:c r="A4" s="5" t="s">
        <x:v>177</x:v>
      </x:c>
      <x:c r="B4" s="5"/>
      <x:c r="D4" s="5" t="s">
        <x:v>178</x:v>
      </x:c>
      <x:c r="E4" s="5"/>
      <x:c r="F4" s="5"/>
      <x:c r="G4" s="5"/>
      <x:c r="H4" s="42"/>
    </x:row>
    <x:row r="5" ht="15.949999809265137" customHeight="1">
      <x:c r="A5" s="12" t="s">
        <x:v>179</x:v>
      </x:c>
      <x:c r="B5" s="73">
        <x:v>2</x:v>
      </x:c>
      <x:c r="C5" s="42"/>
      <x:c r="D5" s="12" t="s">
        <x:v>180</x:v>
      </x:c>
      <x:c r="E5" s="28" t="s">
        <x:v>181</x:v>
      </x:c>
      <x:c r="F5" s="42"/>
      <x:c r="G5" s="42"/>
      <x:c r="H5" s="42"/>
    </x:row>
    <x:row r="6" ht="15.949999809265137" customHeight="1">
      <x:c r="A6" s="12" t="s">
        <x:v>182</x:v>
      </x:c>
      <x:c r="B6" s="16">
        <x:v>3</x:v>
      </x:c>
      <x:c r="C6" s="42"/>
      <x:c r="D6" s="12" t="s">
        <x:v>183</x:v>
      </x:c>
      <x:c r="E6" s="74" t="n">
        <x:f>MAX($C$50:$C$53)+1</x:f>
        <x:v>12</x:v>
      </x:c>
      <x:c r="F6" s="42"/>
      <x:c r="G6" s="42"/>
      <x:c r="H6" s="42"/>
    </x:row>
    <x:row r="7" ht="15.949999809265137" customHeight="1">
      <x:c r="A7" s="12" t="s">
        <x:v>184</x:v>
      </x:c>
      <x:c r="B7" s="16">
        <x:v>1</x:v>
      </x:c>
      <x:c r="C7" s="42"/>
      <x:c r="D7" s="12" t="s">
        <x:v>185</x:v>
      </x:c>
      <x:c r="E7" s="74" t="n">
        <x:f>MAX(0,$E$6-1)</x:f>
        <x:v>11</x:v>
      </x:c>
      <x:c r="F7" s="42"/>
      <x:c r="G7" s="42"/>
      <x:c r="H7" s="42"/>
    </x:row>
    <x:row r="8" ht="15.949999809265137" customHeight="1">
      <x:c r="A8" s="12" t="s">
        <x:v>186</x:v>
      </x:c>
      <x:c r="B8" s="69">
        <x:v>60000</x:v>
      </x:c>
      <x:c r="C8" s="42"/>
      <x:c r="D8" s="12" t="s">
        <x:v>187</x:v>
      </x:c>
      <x:c r="E8" s="75" t="n">
        <x:f>$B$8</x:f>
        <x:v>60000</x:v>
      </x:c>
      <x:c r="F8" s="42"/>
      <x:c r="G8" s="42"/>
      <x:c r="H8" s="42"/>
    </x:row>
    <x:row r="9" ht="15.949999809265137" customHeight="1">
      <x:c r="A9" s="12" t="s">
        <x:v>188</x:v>
      </x:c>
      <x:c r="B9" s="69">
        <x:v>67000</x:v>
      </x:c>
      <x:c r="C9" s="42"/>
      <x:c r="D9" s="12" t="s">
        <x:v>189</x:v>
      </x:c>
      <x:c r="E9" s="75" t="n">
        <x:f>$B$9</x:f>
        <x:v>67000</x:v>
      </x:c>
      <x:c r="F9" s="42"/>
      <x:c r="G9" s="42"/>
      <x:c r="H9" s="42"/>
    </x:row>
    <x:row r="10" ht="15.949999809265137" customHeight="1">
      <x:c r="A10" s="12" t="s">
        <x:v>190</x:v>
      </x:c>
      <x:c r="B10" s="70">
        <x:v>0.35</x:v>
      </x:c>
      <x:c r="C10" s="42"/>
      <x:c r="D10" s="12" t="s">
        <x:v>171</x:v>
      </x:c>
      <x:c r="E10" s="75" t="n">
        <x:f>0</x:f>
        <x:v>0</x:v>
      </x:c>
      <x:c r="F10" s="42"/>
      <x:c r="G10" s="42"/>
      <x:c r="H10" s="42"/>
    </x:row>
    <x:row r="11" ht="15.949999809265137" customHeight="1">
      <x:c r="A11" s="12" t="s">
        <x:v>191</x:v>
      </x:c>
      <x:c r="B11" s="16" t="n">
        <x:v>1</x:v>
      </x:c>
      <x:c r="C11" s="42"/>
      <x:c r="D11" s="12" t="s">
        <x:v>192</x:v>
      </x:c>
      <x:c r="E11" s="74" t="n">
        <x:f>$E$6+$B$7</x:f>
        <x:v>13</x:v>
      </x:c>
      <x:c r="F11" s="42"/>
      <x:c r="G11" s="42"/>
      <x:c r="H11" s="42"/>
    </x:row>
    <x:row r="12" ht="15.949999809265137" customHeight="1">
      <x:c r="A12" s="12" t="s">
        <x:v>193</x:v>
      </x:c>
      <x:c r="B12" s="71">
        <x:v>200000</x:v>
      </x:c>
      <x:c r="C12" s="42"/>
      <x:c r="D12" s="12" t="s">
        <x:v>172</x:v>
      </x:c>
      <x:c r="E12" s="75" t="n">
        <x:f>ROUND(MAX('P&amp;L 5yr'!$C$66:$G$66)+$E$10,0)</x:f>
        <x:v>2840935</x:v>
      </x:c>
      <x:c r="F12" s="42"/>
      <x:c r="G12" s="42"/>
      <x:c r="H12" s="42"/>
    </x:row>
    <x:row r="13" ht="15.949999809265137" customHeight="1">
      <x:c r="A13" s="12" t="s">
        <x:v>194</x:v>
      </x:c>
      <x:c r="B13" s="71">
        <x:v>480000</x:v>
      </x:c>
      <x:c r="C13" s="42"/>
      <x:c r="D13" s="12" t="s">
        <x:v>195</x:v>
      </x:c>
      <x:c r="E13" s="75" t="n">
        <x:f>ROUND(-SUM('Cash Flow Statement'!$B$19:INDEX('Cash Flow Statement'!$B$19:$BI$19,1,MAX(1,$E$7)))/MAX(1,$E$7),0)</x:f>
        <x:v>94987</x:v>
      </x:c>
      <x:c r="F13" s="42"/>
      <x:c r="G13" s="42"/>
      <x:c r="H13" s="42"/>
    </x:row>
    <x:row r="14" ht="15.949999809265137" customHeight="1">
      <x:c r="A14" s="12" t="s">
        <x:v>196</x:v>
      </x:c>
      <x:c r="B14" s="71">
        <x:v>1500000</x:v>
      </x:c>
      <x:c r="C14" s="42"/>
      <x:c r="D14" s="12" t="s">
        <x:v>197</x:v>
      </x:c>
      <x:c r="E14" s="74" t="n">
        <x:f>INDEX($F$21:$F$23,$B$5)</x:f>
        <x:v>18</x:v>
      </x:c>
      <x:c r="F14" s="12" t="s">
        <x:v>198</x:v>
      </x:c>
      <x:c r="G14" s="74" t="n">
        <x:f>INDEX($G$21:$G$23,$B$5)</x:f>
        <x:v>1</x:v>
      </x:c>
      <x:c r="H14" s="42"/>
    </x:row>
    <x:row r="15" ht="15.949999809265137" customHeight="1">
      <x:c r="A15" s="12" t="s">
        <x:v>199</x:v>
      </x:c>
      <x:c r="B15" s="72">
        <x:v>3.6724999999999999</x:v>
      </x:c>
      <x:c r="C15" s="42"/>
      <x:c r="D15" s="12" t="s">
        <x:v>200</x:v>
      </x:c>
      <x:c r="E15" s="75" t="n">
        <x:f>ROUND($B$12/(Assumptions!$F$8*$B$15),0)</x:f>
        <x:v>42546</x:v>
      </x:c>
      <x:c r="F15" s="42"/>
      <x:c r="G15" s="42"/>
      <x:c r="H15" s="42"/>
    </x:row>
    <x:row r="16" ht="15.949999809265137" customHeight="1">
      <x:c r="A16" s="42"/>
      <x:c r="B16" s="42"/>
      <x:c r="C16" s="42"/>
      <x:c r="D16" s="12" t="s">
        <x:v>201</x:v>
      </x:c>
      <x:c r="E16" s="75" t="n">
        <x:f>ROUND($B$13/(Assumptions!$F$8*$B$15),0)</x:f>
        <x:v>102110</x:v>
      </x:c>
      <x:c r="F16" s="42"/>
      <x:c r="G16" s="42"/>
      <x:c r="H16" s="42"/>
    </x:row>
    <x:row r="17" ht="15.949999809265137" customHeight="1">
      <x:c r="A17" s="42"/>
      <x:c r="B17" s="42"/>
      <x:c r="C17" s="42"/>
      <x:c r="D17" s="12" t="s">
        <x:v>139</x:v>
      </x:c>
      <x:c r="E17" s="75" t="n">
        <x:f>ROUND($B$14/(Assumptions!$F$8*$B$15),0)</x:f>
        <x:v>319095</x:v>
      </x:c>
      <x:c r="F17" s="42"/>
      <x:c r="G17" s="42"/>
      <x:c r="H17" s="42"/>
    </x:row>
    <x:row r="18" ht="9.949999809265137" customHeight="1">
      <x:c r="A18" s="42"/>
      <x:c r="B18" s="42"/>
      <x:c r="C18" s="42"/>
      <x:c r="D18" s="42"/>
      <x:c r="E18" s="42"/>
      <x:c r="F18" s="42"/>
      <x:c r="G18" s="42"/>
      <x:c r="H18" s="42"/>
    </x:row>
    <x:row r="19" ht="21" customHeight="1">
      <x:c r="A19" s="179" t="s">
        <x:v>202</x:v>
      </x:c>
      <x:c r="B19" s="179"/>
      <x:c r="C19" s="179"/>
      <x:c r="D19" s="179"/>
      <x:c r="E19" s="179"/>
      <x:c r="F19" s="179"/>
      <x:c r="G19" s="179"/>
      <x:c r="H19" s="179"/>
    </x:row>
    <x:row r="20" ht="24" customHeight="1">
      <x:c r="A20" s="10" t="str">
        <x:v>Case</x:v>
      </x:c>
      <x:c r="B20" s="10" t="str">
        <x:v>Timing</x:v>
      </x:c>
      <x:c r="C20" s="9" t="str">
        <x:v>Latest pilot gate finish</x:v>
      </x:c>
      <x:c r="D20" s="9" t="str">
        <x:v>First paid pilot</x:v>
      </x:c>
      <x:c r="E20" s="9" t="str">
        <x:v>First receipt</x:v>
      </x:c>
      <x:c r="F20" s="9" t="str">
        <x:v>Full VARA licence target</x:v>
      </x:c>
      <x:c r="G20" s="9" t="str">
        <x:v>IDQ / pre-application start</x:v>
      </x:c>
      <x:c r="H20" s="10" t="str">
        <x:v>ATI / full submission target</x:v>
      </x:c>
      <x:c r="I20" t="str">
        <x:v>Planning interpretation</x:v>
      </x:c>
    </x:row>
    <x:row r="21" ht="17.100000381469727" customHeight="1">
      <x:c r="A21" s="55" t="n">
        <x:v>1</x:v>
      </x:c>
      <x:c r="B21" s="12" t="str">
        <x:v>Early</x:v>
      </x:c>
      <x:c r="C21" s="76" t="n">
        <x:v>8</x:v>
      </x:c>
      <x:c r="D21" s="76" t="n">
        <x:f>C21+1</x:f>
        <x:v>9</x:v>
      </x:c>
      <x:c r="E21" s="76" t="n">
        <x:f>D21+$B$7</x:f>
        <x:v>10</x:v>
      </x:c>
      <x:c r="F21" s="76" t="n">
        <x:v>12</x:v>
      </x:c>
      <x:c r="G21" s="76" t="n">
        <x:v>1</x:v>
      </x:c>
      <x:c r="H21" s="32" t="n">
        <x:v>3</x:v>
      </x:c>
      <x:c r="I21" t="str">
        <x:v>Upside: complete application, limited rework and full licensing by Month 12.</x:v>
      </x:c>
    </x:row>
    <x:row r="22" ht="17.100000381469727" customHeight="1">
      <x:c r="A22" s="77" t="n">
        <x:v>2</x:v>
      </x:c>
      <x:c r="B22" s="28" t="str">
        <x:v>Base</x:v>
      </x:c>
      <x:c r="C22" s="27" t="n">
        <x:v>11</x:v>
      </x:c>
      <x:c r="D22" s="27" t="n">
        <x:f>C22+1</x:f>
        <x:v>12</x:v>
      </x:c>
      <x:c r="E22" s="27" t="n">
        <x:f>D22+$B$7</x:f>
        <x:v>13</x:v>
      </x:c>
      <x:c r="F22" s="27" t="n">
        <x:v>18</x:v>
      </x:c>
      <x:c r="G22" s="27" t="n">
        <x:v>1</x:v>
      </x:c>
      <x:c r="H22" s="78" t="n">
        <x:v>4</x:v>
      </x:c>
      <x:c r="I22" t="str">
        <x:v>Presentation base: paid DIFC-partner pilot Month 12; full VARA licence Month 18.</x:v>
      </x:c>
    </x:row>
    <x:row r="23" ht="17.100000381469727" customHeight="1">
      <x:c r="A23" s="55" t="n">
        <x:v>3</x:v>
      </x:c>
      <x:c r="B23" s="12" t="str">
        <x:v>Delayed</x:v>
      </x:c>
      <x:c r="C23" s="76" t="n">
        <x:v>17</x:v>
      </x:c>
      <x:c r="D23" s="76" t="n">
        <x:f>C23+1</x:f>
        <x:v>18</x:v>
      </x:c>
      <x:c r="E23" s="76" t="n">
        <x:f>D23+$B$7</x:f>
        <x:v>19</x:v>
      </x:c>
      <x:c r="F23" s="76" t="n">
        <x:v>24</x:v>
      </x:c>
      <x:c r="G23" s="76" t="n">
        <x:v>1</x:v>
      </x:c>
      <x:c r="H23" s="32" t="n">
        <x:v>6</x:v>
      </x:c>
      <x:c r="I23" t="str">
        <x:v>Sensitivity: classification, hiring, documentation or regulatory remediation delays.</x:v>
      </x:c>
    </x:row>
    <x:row r="24" ht="18" hidden="1" customHeight="1">
      <x:c r="A24" s="179" t="str">
        <x:v>CALCULATION SUPPORT — LAUNCH AND WORKFORCE PHASING</x:v>
      </x:c>
      <x:c r="B24" s="179"/>
      <x:c r="C24" s="179"/>
      <x:c r="D24" s="179"/>
      <x:c r="E24" s="179"/>
      <x:c r="F24" s="179"/>
      <x:c r="G24" s="179"/>
      <x:c r="H24" s="179"/>
    </x:row>
    <x:row r="25" ht="3" hidden="1" customHeight="1">
      <x:c r="A25" s="10" t="s">
        <x:v>67</x:v>
      </x:c>
      <x:c r="B25" s="9" t="s">
        <x:v>203</x:v>
      </x:c>
      <x:c r="C25" s="9" t="s">
        <x:v>204</x:v>
      </x:c>
      <x:c r="D25" s="9" t="s">
        <x:v>205</x:v>
      </x:c>
      <x:c r="E25" s="9" t="s">
        <x:v>206</x:v>
      </x:c>
      <x:c r="F25" s="9" t="s">
        <x:v>207</x:v>
      </x:c>
      <x:c r="G25" s="9"/>
      <x:c r="H25" s="9"/>
    </x:row>
    <x:row r="26" ht="3" hidden="1" customHeight="1">
      <x:c r="A26" s="12" t="s">
        <x:v>208</x:v>
      </x:c>
      <x:c r="B26" s="79" t="n">
        <x:f>MAX(0,MIN(12,12*(COLUMN()-1)-$E$6+1))</x:f>
        <x:v>1</x:v>
      </x:c>
      <x:c r="C26" s="79" t="n">
        <x:f>MAX(0,MIN(12,12*(COLUMN()-1)-$E$6+1))</x:f>
        <x:v>12</x:v>
      </x:c>
      <x:c r="D26" s="79" t="n">
        <x:f>MAX(0,MIN(12,12*(COLUMN()-1)-$E$6+1))</x:f>
        <x:v>12</x:v>
      </x:c>
      <x:c r="E26" s="79" t="n">
        <x:f>MAX(0,MIN(12,12*(COLUMN()-1)-$E$6+1))</x:f>
        <x:v>12</x:v>
      </x:c>
      <x:c r="F26" s="79" t="n">
        <x:f>MAX(0,MIN(12,12*(COLUMN()-1)-$E$6+1))</x:f>
        <x:v>12</x:v>
      </x:c>
      <x:c r="G26" s="15"/>
      <x:c r="H26" s="42"/>
    </x:row>
    <x:row r="27" ht="3" hidden="1" customHeight="1">
      <x:c r="A27" s="12" t="s">
        <x:v>209</x:v>
      </x:c>
      <x:c r="B27" s="79" t="n">
        <x:f>MAX(0,MIN(12,$E$7-12*(COLUMN()-2)))</x:f>
        <x:v>11</x:v>
      </x:c>
      <x:c r="C27" s="79" t="n">
        <x:f>MAX(0,MIN(12,$E$7-12*(COLUMN()-2)))</x:f>
        <x:v>0</x:v>
      </x:c>
      <x:c r="D27" s="79" t="n">
        <x:f>MAX(0,MIN(12,$E$7-12*(COLUMN()-2)))</x:f>
        <x:v>0</x:v>
      </x:c>
      <x:c r="E27" s="79" t="n">
        <x:f>MAX(0,MIN(12,$E$7-12*(COLUMN()-2)))</x:f>
        <x:v>0</x:v>
      </x:c>
      <x:c r="F27" s="79" t="n">
        <x:f>MAX(0,MIN(12,$E$7-12*(COLUMN()-2)))</x:f>
        <x:v>0</x:v>
      </x:c>
      <x:c r="G27" s="15"/>
      <x:c r="H27" s="42"/>
    </x:row>
    <x:row r="28" ht="3" hidden="1" customHeight="1">
      <x:c r="A28" s="12" t="s">
        <x:v>210</x:v>
      </x:c>
      <x:c r="B28" s="80" t="n">
        <x:f>B26/12</x:f>
        <x:v>0.08333333333333333</x:v>
      </x:c>
      <x:c r="C28" s="80" t="n">
        <x:f>C26/12</x:f>
        <x:v>1</x:v>
      </x:c>
      <x:c r="D28" s="80" t="n">
        <x:f>D26/12</x:f>
        <x:v>1</x:v>
      </x:c>
      <x:c r="E28" s="80" t="n">
        <x:f>E26/12</x:f>
        <x:v>1</x:v>
      </x:c>
      <x:c r="F28" s="80" t="n">
        <x:f>F26/12</x:f>
        <x:v>1</x:v>
      </x:c>
      <x:c r="G28" s="15">
        <x:v>0</x:v>
      </x:c>
      <x:c r="H28" s="42"/>
    </x:row>
    <x:row r="29" ht="3" hidden="1" customHeight="1">
      <x:c r="A29" s="12" t="s">
        <x:v>211</x:v>
      </x:c>
      <x:c r="B29" s="79" t="n">
        <x:f>MAX(0,MIN(12*(COLUMN()-1),$E$6-1)-MAX(12*(COLUMN()-2)+1,$B$11)+1)</x:f>
        <x:v>11</x:v>
      </x:c>
      <x:c r="C29" s="79" t="n">
        <x:f>MAX(0,MIN(12*(COLUMN()-1),$E$6-1)-MAX(12*(COLUMN()-2)+1,$B$11)+1)</x:f>
        <x:v>0</x:v>
      </x:c>
      <x:c r="D29" s="79" t="n">
        <x:f>MAX(0,MIN(12*(COLUMN()-1),$E$6-1)-MAX(12*(COLUMN()-2)+1,$B$11)+1)</x:f>
        <x:v>0</x:v>
      </x:c>
      <x:c r="E29" s="79" t="n">
        <x:f>MAX(0,MIN(12*(COLUMN()-1),$E$6-1)-MAX(12*(COLUMN()-2)+1,$B$11)+1)</x:f>
        <x:v>0</x:v>
      </x:c>
      <x:c r="F29" s="79" t="n">
        <x:f>MAX(0,MIN(12*(COLUMN()-1),$E$6-1)-MAX(12*(COLUMN()-2)+1,$B$11)+1)</x:f>
        <x:v>0</x:v>
      </x:c>
      <x:c r="G29" s="15">
        <x:v>0</x:v>
      </x:c>
      <x:c r="H29" s="42"/>
    </x:row>
    <x:row r="30" ht="3" hidden="1" customHeight="1">
      <x:c r="A30" s="12" t="s">
        <x:v>212</x:v>
      </x:c>
      <x:c r="B30" s="80" t="n">
        <x:f>B29/12</x:f>
        <x:v>0.9166666666666666</x:v>
      </x:c>
      <x:c r="C30" s="80" t="n">
        <x:f>C29/12</x:f>
        <x:v>0</x:v>
      </x:c>
      <x:c r="D30" s="80" t="n">
        <x:f>D29/12</x:f>
        <x:v>0</x:v>
      </x:c>
      <x:c r="E30" s="80" t="n">
        <x:f>E29/12</x:f>
        <x:v>0</x:v>
      </x:c>
      <x:c r="F30" s="80" t="n">
        <x:f>F29/12</x:f>
        <x:v>0</x:v>
      </x:c>
      <x:c r="G30" s="15">
        <x:v>0</x:v>
      </x:c>
      <x:c r="H30" s="42"/>
    </x:row>
    <x:row r="31" ht="3" hidden="1" customHeight="1">
      <x:c r="A31" s="12" t="s">
        <x:v>213</x:v>
      </x:c>
      <x:c r="B31" s="79" t="n">
        <x:f>MAX(0,MIN(12,12*(COLUMN()-1)-$E$14+1))</x:f>
        <x:v>0</x:v>
      </x:c>
      <x:c r="C31" s="79" t="n">
        <x:f>MAX(0,MIN(12,12*(COLUMN()-1)-$E$14+1))</x:f>
        <x:v>7</x:v>
      </x:c>
      <x:c r="D31" s="79" t="n">
        <x:f>MAX(0,MIN(12,12*(COLUMN()-1)-$E$14+1))</x:f>
        <x:v>12</x:v>
      </x:c>
      <x:c r="E31" s="79" t="n">
        <x:f>MAX(0,MIN(12,12*(COLUMN()-1)-$E$14+1))</x:f>
        <x:v>12</x:v>
      </x:c>
      <x:c r="F31" s="79" t="n">
        <x:f>MAX(0,MIN(12,12*(COLUMN()-1)-$E$14+1))</x:f>
        <x:v>12</x:v>
      </x:c>
      <x:c r="G31" s="15">
        <x:v>0</x:v>
      </x:c>
      <x:c r="H31" s="42"/>
    </x:row>
    <x:row r="32" ht="3" hidden="1" customHeight="1">
      <x:c r="A32" s="12" t="s">
        <x:v>214</x:v>
      </x:c>
      <x:c r="B32" s="80" t="n">
        <x:f>B31/12</x:f>
        <x:v>0</x:v>
      </x:c>
      <x:c r="C32" s="80" t="n">
        <x:f>C31/12</x:f>
        <x:v>0.5833333333333334</x:v>
      </x:c>
      <x:c r="D32" s="80" t="n">
        <x:f>D31/12</x:f>
        <x:v>1</x:v>
      </x:c>
      <x:c r="E32" s="80" t="n">
        <x:f>E31/12</x:f>
        <x:v>1</x:v>
      </x:c>
      <x:c r="F32" s="80" t="n">
        <x:f>F31/12</x:f>
        <x:v>1</x:v>
      </x:c>
      <x:c r="G32" s="15"/>
      <x:c r="H32" s="42"/>
    </x:row>
    <x:row r="33" ht="3" hidden="1" customHeight="1">
      <x:c r="A33" s="12" t="s">
        <x:v>215</x:v>
      </x:c>
      <x:c r="B33" s="80" t="n">
        <x:f>IF(AND($G$14&gt;=12*(COLUMN()-2)+1,$G$14&lt;=12*(COLUMN()-1)),1,0)</x:f>
        <x:v>1</x:v>
      </x:c>
      <x:c r="C33" s="80" t="n">
        <x:f>IF(AND($G$14&gt;=12*(COLUMN()-2)+1,$G$14&lt;=12*(COLUMN()-1)),1,0)</x:f>
        <x:v>0</x:v>
      </x:c>
      <x:c r="D33" s="80" t="n">
        <x:f>IF(AND($G$14&gt;=12*(COLUMN()-2)+1,$G$14&lt;=12*(COLUMN()-1)),1,0)</x:f>
        <x:v>0</x:v>
      </x:c>
      <x:c r="E33" s="80" t="n">
        <x:f>IF(AND($G$14&gt;=12*(COLUMN()-2)+1,$G$14&lt;=12*(COLUMN()-1)),1,0)</x:f>
        <x:v>0</x:v>
      </x:c>
      <x:c r="F33" s="80" t="n">
        <x:f>IF(AND($G$14&gt;=12*(COLUMN()-2)+1,$G$14&lt;=12*(COLUMN()-1)),1,0)</x:f>
        <x:v>0</x:v>
      </x:c>
      <x:c r="G33" s="15"/>
      <x:c r="H33" s="42"/>
    </x:row>
    <x:row r="34" ht="3" hidden="1" customHeight="1">
      <x:c r="A34" s="12" t="s">
        <x:v>216</x:v>
      </x:c>
      <x:c r="B34" s="80" t="n">
        <x:f>MAX(0,B26-B31)/12</x:f>
        <x:v>0.08333333333333333</x:v>
      </x:c>
      <x:c r="C34" s="80" t="n">
        <x:f>MAX(0,C26-C31)/12</x:f>
        <x:v>0.4166666666666667</x:v>
      </x:c>
      <x:c r="D34" s="80" t="n">
        <x:f>MAX(0,D26-D31)/12</x:f>
        <x:v>0</x:v>
      </x:c>
      <x:c r="E34" s="80" t="n">
        <x:f>MAX(0,E26-E31)/12</x:f>
        <x:v>0</x:v>
      </x:c>
      <x:c r="F34" s="80" t="n">
        <x:f>MAX(0,F26-F31)/12</x:f>
        <x:v>0</x:v>
      </x:c>
      <x:c r="G34" s="15"/>
      <x:c r="H34" s="42"/>
    </x:row>
    <x:row r="35" ht="3" hidden="1" customHeight="1">
      <x:c r="A35" s="42"/>
      <x:c r="B35" s="81"/>
      <x:c r="C35" s="81"/>
      <x:c r="D35" s="81"/>
      <x:c r="E35" s="81"/>
      <x:c r="F35" s="81"/>
      <x:c r="G35" s="42"/>
      <x:c r="H35" s="42"/>
    </x:row>
    <x:row r="36" ht="3" hidden="1" customHeight="1">
      <x:c r="A36" s="179" t="s">
        <x:v>217</x:v>
      </x:c>
      <x:c r="B36" s="179"/>
      <x:c r="C36" s="179"/>
      <x:c r="D36" s="179"/>
      <x:c r="E36" s="179"/>
      <x:c r="F36" s="179"/>
      <x:c r="G36" s="179"/>
      <x:c r="H36" s="179"/>
    </x:row>
    <x:row r="37" ht="3" hidden="1" customHeight="1">
      <x:c r="A37" s="10" t="s">
        <x:v>218</x:v>
      </x:c>
      <x:c r="B37" s="9" t="s">
        <x:v>219</x:v>
      </x:c>
      <x:c r="C37" s="10" t="s">
        <x:v>220</x:v>
      </x:c>
      <x:c r="D37" s="9" t="s">
        <x:v>203</x:v>
      </x:c>
      <x:c r="E37" s="9" t="s">
        <x:v>204</x:v>
      </x:c>
      <x:c r="F37" s="9" t="s">
        <x:v>205</x:v>
      </x:c>
      <x:c r="G37" s="9" t="s">
        <x:v>206</x:v>
      </x:c>
      <x:c r="H37" s="9" t="s">
        <x:v>207</x:v>
      </x:c>
    </x:row>
    <x:row r="38" ht="3" hidden="1" customHeight="1">
      <x:c r="A38" s="12" t="s">
        <x:v>221</x:v>
      </x:c>
      <x:c r="B38" s="71">
        <x:v>1</x:v>
      </x:c>
      <x:c r="C38" s="32" t="s">
        <x:v>222</x:v>
      </x:c>
      <x:c r="D38" s="80" t="n">
        <x:f t="shared" ref="D38:H41" si="0">MAX(0,MIN(12,12*(COLUMN()-3)-$B38+1))/12</x:f>
        <x:v>1</x:v>
      </x:c>
      <x:c r="E38" s="80">
        <x:f t="shared" si="0"/>
        <x:v>1</x:v>
      </x:c>
      <x:c r="F38" s="80">
        <x:f t="shared" si="0"/>
        <x:v>1</x:v>
      </x:c>
      <x:c r="G38" s="80">
        <x:f t="shared" si="0"/>
        <x:v>1</x:v>
      </x:c>
      <x:c r="H38" s="80">
        <x:f t="shared" si="0"/>
        <x:v>1</x:v>
      </x:c>
    </x:row>
    <x:row r="39" ht="3" hidden="1" customHeight="1">
      <x:c r="A39" s="12" t="s">
        <x:v>223</x:v>
      </x:c>
      <x:c r="B39" s="71">
        <x:v>5</x:v>
      </x:c>
      <x:c r="C39" s="32" t="s">
        <x:v>224</x:v>
      </x:c>
      <x:c r="D39" s="80">
        <x:f t="shared" si="0"/>
        <x:v>0.66666666666666663</x:v>
      </x:c>
      <x:c r="E39" s="80">
        <x:f t="shared" si="0"/>
        <x:v>1</x:v>
      </x:c>
      <x:c r="F39" s="80">
        <x:f t="shared" si="0"/>
        <x:v>1</x:v>
      </x:c>
      <x:c r="G39" s="80">
        <x:f t="shared" si="0"/>
        <x:v>1</x:v>
      </x:c>
      <x:c r="H39" s="80">
        <x:f t="shared" si="0"/>
        <x:v>1</x:v>
      </x:c>
    </x:row>
    <x:row r="40" ht="3" hidden="1" customHeight="1">
      <x:c r="A40" s="12" t="s">
        <x:v>225</x:v>
      </x:c>
      <x:c r="B40" s="71">
        <x:v>1</x:v>
      </x:c>
      <x:c r="C40" s="32" t="s">
        <x:v>226</x:v>
      </x:c>
      <x:c r="D40" s="80">
        <x:f t="shared" si="0"/>
        <x:v>1</x:v>
      </x:c>
      <x:c r="E40" s="80">
        <x:f t="shared" si="0"/>
        <x:v>1</x:v>
      </x:c>
      <x:c r="F40" s="80">
        <x:f t="shared" si="0"/>
        <x:v>1</x:v>
      </x:c>
      <x:c r="G40" s="80">
        <x:f t="shared" si="0"/>
        <x:v>1</x:v>
      </x:c>
      <x:c r="H40" s="80">
        <x:f t="shared" si="0"/>
        <x:v>1</x:v>
      </x:c>
    </x:row>
    <x:row r="41" ht="3" hidden="1" customHeight="1">
      <x:c r="A41" s="12" t="s">
        <x:v>227</x:v>
      </x:c>
      <x:c r="B41" s="71">
        <x:v>9</x:v>
      </x:c>
      <x:c r="C41" s="32" t="s">
        <x:v>228</x:v>
      </x:c>
      <x:c r="D41" s="80">
        <x:f t="shared" si="0"/>
        <x:v>0.33333333333333331</x:v>
      </x:c>
      <x:c r="E41" s="80">
        <x:f t="shared" si="0"/>
        <x:v>1</x:v>
      </x:c>
      <x:c r="F41" s="80">
        <x:f t="shared" si="0"/>
        <x:v>1</x:v>
      </x:c>
      <x:c r="G41" s="80">
        <x:f t="shared" si="0"/>
        <x:v>1</x:v>
      </x:c>
      <x:c r="H41" s="80">
        <x:f t="shared" si="0"/>
        <x:v>1</x:v>
      </x:c>
    </x:row>
    <x:row r="42" ht="3" hidden="1" customHeight="1">
      <x:c r="A42" s="42"/>
      <x:c r="B42" s="42"/>
      <x:c r="C42" s="42"/>
      <x:c r="D42" s="42"/>
      <x:c r="E42" s="42"/>
      <x:c r="F42" s="42"/>
      <x:c r="G42" s="42"/>
      <x:c r="H42" s="42"/>
    </x:row>
    <x:row r="43" ht="3" hidden="1" customHeight="1">
      <x:c r="A43" s="198"/>
      <x:c r="B43" s="198"/>
      <x:c r="C43" s="198"/>
      <x:c r="D43" s="198"/>
      <x:c r="E43" s="198"/>
      <x:c r="F43" s="198"/>
      <x:c r="G43" s="198"/>
      <x:c r="H43" s="198"/>
    </x:row>
    <x:row r="44" ht="3" hidden="1" customHeight="1"/>
    <x:row r="45" ht="3" hidden="1" customHeight="1"/>
    <x:row r="46" ht="3" hidden="1" customHeight="1"/>
    <x:row r="47" ht="3" hidden="1" customHeight="1">
      <x:c r="A47" s="42"/>
      <x:c r="B47" s="42"/>
      <x:c r="C47" s="42"/>
      <x:c r="D47" s="42"/>
      <x:c r="E47" s="42"/>
      <x:c r="F47" s="42"/>
      <x:c r="G47" s="42"/>
      <x:c r="H47" s="42"/>
    </x:row>
    <x:row r="48" ht="21" customHeight="1">
      <x:c r="A48" s="179" t="s">
        <x:v>229</x:v>
      </x:c>
      <x:c r="B48" s="179"/>
      <x:c r="C48" s="179"/>
      <x:c r="D48" s="179"/>
      <x:c r="E48" s="179"/>
      <x:c r="F48" s="179"/>
      <x:c r="G48" s="179"/>
      <x:c r="H48" s="179"/>
    </x:row>
    <x:row r="49" ht="20.100000381469727" customHeight="1">
      <x:c r="A49" s="10" t="s">
        <x:v>230</x:v>
      </x:c>
      <x:c r="B49" s="9" t="s">
        <x:v>219</x:v>
      </x:c>
      <x:c r="C49" s="9" t="s">
        <x:v>231</x:v>
      </x:c>
      <x:c r="D49" s="10" t="s">
        <x:v>232</x:v>
      </x:c>
      <x:c r="E49" s="10" t="s">
        <x:v>233</x:v>
      </x:c>
      <x:c r="F49" s="9"/>
      <x:c r="G49" s="9"/>
      <x:c r="H49" s="9"/>
    </x:row>
    <x:row r="50" ht="21.950000762939453" customHeight="1">
      <x:c r="A50" s="13" t="s">
        <x:v>234</x:v>
      </x:c>
      <x:c r="B50" s="76">
        <x:v>1</x:v>
      </x:c>
      <x:c r="C50" s="76" t="n">
        <x:f>MAX(B50,INDEX($C$21:$C$23,$B$5)-7)</x:f>
        <x:v>4</x:v>
      </x:c>
      <x:c r="D50" s="18" t="s">
        <x:v>235</x:v>
      </x:c>
      <x:c r="E50" s="34" t="s">
        <x:v>236</x:v>
      </x:c>
      <x:c r="F50" s="42"/>
      <x:c r="G50" s="42"/>
      <x:c r="H50" s="42"/>
    </x:row>
    <x:row r="51" ht="21.950000762939453" customHeight="1">
      <x:c r="A51" s="13" t="s">
        <x:v>237</x:v>
      </x:c>
      <x:c r="B51" s="76">
        <x:v>1</x:v>
      </x:c>
      <x:c r="C51" s="76" t="n">
        <x:f>MAX(B51,INDEX($C$21:$C$23,$B$5))</x:f>
        <x:v>11</x:v>
      </x:c>
      <x:c r="D51" s="18" t="s">
        <x:v>235</x:v>
      </x:c>
      <x:c r="E51" s="34" t="s">
        <x:v>238</x:v>
      </x:c>
      <x:c r="F51" s="42"/>
      <x:c r="G51" s="42"/>
      <x:c r="H51" s="42"/>
    </x:row>
    <x:row r="52" ht="21.950000762939453" customHeight="1">
      <x:c r="A52" s="13" t="s">
        <x:v>239</x:v>
      </x:c>
      <x:c r="B52" s="76">
        <x:v>2</x:v>
      </x:c>
      <x:c r="C52" s="76" t="n">
        <x:f>MAX(B52,INDEX($C$21:$C$23,$B$5)-1)</x:f>
        <x:v>10</x:v>
      </x:c>
      <x:c r="D52" s="18" t="s">
        <x:v>235</x:v>
      </x:c>
      <x:c r="E52" s="34" t="s">
        <x:v>240</x:v>
      </x:c>
      <x:c r="F52" s="42"/>
      <x:c r="G52" s="42"/>
      <x:c r="H52" s="42"/>
    </x:row>
    <x:row r="53" ht="21.950000762939453" customHeight="1">
      <x:c r="A53" s="13" t="s">
        <x:v>241</x:v>
      </x:c>
      <x:c r="B53" s="76">
        <x:v>1</x:v>
      </x:c>
      <x:c r="C53" s="76" t="n">
        <x:f>MAX(B53,INDEX($C$21:$C$23,$B$5)-1)</x:f>
        <x:v>10</x:v>
      </x:c>
      <x:c r="D53" s="18" t="s">
        <x:v>235</x:v>
      </x:c>
      <x:c r="E53" s="34" t="s">
        <x:v>242</x:v>
      </x:c>
      <x:c r="F53" s="42"/>
      <x:c r="G53" s="42"/>
      <x:c r="H53" s="42"/>
    </x:row>
    <x:row r="54" ht="21.950000762939453" customHeight="1">
      <x:c r="A54" s="13" t="s">
        <x:v>243</x:v>
      </x:c>
      <x:c r="B54" s="76">
        <x:v>2</x:v>
      </x:c>
      <x:c r="C54" s="76">
        <x:v>10</x:v>
      </x:c>
      <x:c r="D54" s="18" t="s">
        <x:v>235</x:v>
      </x:c>
      <x:c r="E54" s="34" t="s">
        <x:v>244</x:v>
      </x:c>
      <x:c r="F54" s="42"/>
      <x:c r="G54" s="42"/>
      <x:c r="H54" s="42"/>
    </x:row>
    <x:row r="55" ht="21.950000762939453" customHeight="1">
      <x:c r="A55" s="13" t="s">
        <x:v>245</x:v>
      </x:c>
      <x:c r="B55" s="76">
        <x:v>5</x:v>
      </x:c>
      <x:c r="C55" s="76">
        <x:v>11</x:v>
      </x:c>
      <x:c r="D55" s="18" t="s">
        <x:v>235</x:v>
      </x:c>
      <x:c r="E55" s="34" t="s">
        <x:v>246</x:v>
      </x:c>
      <x:c r="F55" s="42"/>
      <x:c r="G55" s="42"/>
      <x:c r="H55" s="42"/>
    </x:row>
    <x:row r="56" ht="21.950000762939453" customHeight="1">
      <x:c r="A56" s="13" t="s">
        <x:v>183</x:v>
      </x:c>
      <x:c r="B56" s="76" t="n">
        <x:f>$E$6</x:f>
        <x:v>12</x:v>
      </x:c>
      <x:c r="C56" s="76" t="n">
        <x:f>$E$6</x:f>
        <x:v>12</x:v>
      </x:c>
      <x:c r="D56" s="18" t="s">
        <x:v>247</x:v>
      </x:c>
      <x:c r="E56" s="34" t="s">
        <x:v>248</x:v>
      </x:c>
      <x:c r="F56" s="42"/>
      <x:c r="G56" s="42"/>
      <x:c r="H56" s="42"/>
    </x:row>
    <x:row r="57" ht="21.950000762939453" customHeight="1">
      <x:c r="A57" s="13" t="s">
        <x:v>249</x:v>
      </x:c>
      <x:c r="B57" s="76" t="n">
        <x:f>$G$14</x:f>
        <x:v>1</x:v>
      </x:c>
      <x:c r="C57" s="76" t="n">
        <x:f>$E$14</x:f>
        <x:v>18</x:v>
      </x:c>
      <x:c r="D57" s="18" t="s">
        <x:v>250</x:v>
      </x:c>
      <x:c r="E57" s="34" t="s">
        <x:v>251</x:v>
      </x:c>
      <x:c r="F57" s="42"/>
      <x:c r="G57" s="42"/>
      <x:c r="H57" s="42"/>
    </x:row>
    <x:row r="58" ht="21.950000762939453" hidden="1" customHeight="1"/>
    <x:row r="59" ht="9.949999809265137" hidden="1" customHeight="1"/>
    <x:row r="60" ht="21" customHeight="1">
      <x:c r="A60" s="179" t="s">
        <x:v>252</x:v>
      </x:c>
      <x:c r="B60" s="179"/>
      <x:c r="C60" s="179"/>
      <x:c r="D60" s="179"/>
      <x:c r="E60" s="179"/>
      <x:c r="F60" s="179"/>
      <x:c r="G60" s="179"/>
      <x:c r="H60" s="179"/>
    </x:row>
    <x:row r="61" ht="20.100000381469727" customHeight="1">
      <x:c r="A61" s="10" t="s">
        <x:v>253</x:v>
      </x:c>
      <x:c r="B61" s="10" t="s">
        <x:v>254</x:v>
      </x:c>
      <x:c r="C61" s="196" t="s">
        <x:v>255</x:v>
      </x:c>
      <x:c r="D61" s="181"/>
      <x:c r="E61" s="181"/>
      <x:c r="F61" s="196" t="s">
        <x:v>256</x:v>
      </x:c>
      <x:c r="G61" s="181"/>
      <x:c r="H61" s="181"/>
    </x:row>
    <x:row r="62" ht="30" customHeight="1">
      <x:c r="A62" s="19" t="s">
        <x:v>257</x:v>
      </x:c>
      <x:c r="B62" s="19" t="s">
        <x:v>258</x:v>
      </x:c>
      <x:c r="C62" s="194" t="s">
        <x:v>259</x:v>
      </x:c>
      <x:c r="D62" s="194"/>
      <x:c r="E62" s="194"/>
      <x:c r="F62" s="195" t="s">
        <x:v>260</x:v>
      </x:c>
      <x:c r="G62" s="195"/>
      <x:c r="H62" s="195"/>
    </x:row>
    <x:row r="63" ht="30" customHeight="1">
      <x:c r="A63" s="19" t="s">
        <x:v>261</x:v>
      </x:c>
      <x:c r="B63" s="19" t="s">
        <x:v>262</x:v>
      </x:c>
      <x:c r="C63" s="194" t="s">
        <x:v>263</x:v>
      </x:c>
      <x:c r="D63" s="194"/>
      <x:c r="E63" s="194"/>
      <x:c r="F63" s="195" t="s">
        <x:v>264</x:v>
      </x:c>
      <x:c r="G63" s="195"/>
      <x:c r="H63" s="195"/>
    </x:row>
    <x:row r="64" ht="30" customHeight="1">
      <x:c r="A64" s="19" t="s">
        <x:v>265</x:v>
      </x:c>
      <x:c r="B64" s="19" t="s">
        <x:v>262</x:v>
      </x:c>
      <x:c r="C64" s="194" t="s">
        <x:v>263</x:v>
      </x:c>
      <x:c r="D64" s="194"/>
      <x:c r="E64" s="194"/>
      <x:c r="F64" s="195" t="s">
        <x:v>266</x:v>
      </x:c>
      <x:c r="G64" s="195"/>
      <x:c r="H64" s="195"/>
    </x:row>
    <x:row r="65" ht="30" customHeight="1">
      <x:c r="A65" s="19" t="s">
        <x:v>267</x:v>
      </x:c>
      <x:c r="B65" s="19" t="s">
        <x:v>262</x:v>
      </x:c>
      <x:c r="C65" s="194" t="s">
        <x:v>268</x:v>
      </x:c>
      <x:c r="D65" s="194"/>
      <x:c r="E65" s="194"/>
      <x:c r="F65" s="195" t="s">
        <x:v>269</x:v>
      </x:c>
      <x:c r="G65" s="195"/>
      <x:c r="H65" s="195"/>
    </x:row>
    <x:row r="66" ht="30" customHeight="1">
      <x:c r="A66" s="19" t="s">
        <x:v>270</x:v>
      </x:c>
      <x:c r="B66" s="19" t="s">
        <x:v>271</x:v>
      </x:c>
      <x:c r="C66" s="194" t="s">
        <x:v>272</x:v>
      </x:c>
      <x:c r="D66" s="194"/>
      <x:c r="E66" s="194"/>
      <x:c r="F66" s="195" t="s">
        <x:v>273</x:v>
      </x:c>
      <x:c r="G66" s="195"/>
      <x:c r="H66" s="195"/>
    </x:row>
    <x:row r="67" ht="30" customHeight="1">
      <x:c r="A67" s="19" t="s">
        <x:v>274</x:v>
      </x:c>
      <x:c r="B67" s="19" t="s">
        <x:v>275</x:v>
      </x:c>
      <x:c r="C67" s="194" t="s">
        <x:v>276</x:v>
      </x:c>
      <x:c r="D67" s="194"/>
      <x:c r="E67" s="194"/>
      <x:c r="F67" s="195" t="s">
        <x:v>277</x:v>
      </x:c>
      <x:c r="G67" s="195"/>
      <x:c r="H67" s="195"/>
    </x:row>
    <x:row r="68" ht="30" customHeight="1">
      <x:c r="A68" s="19" t="s">
        <x:v>278</x:v>
      </x:c>
      <x:c r="B68" s="19" t="s">
        <x:v>279</x:v>
      </x:c>
      <x:c r="C68" s="194" t="s">
        <x:v>280</x:v>
      </x:c>
      <x:c r="D68" s="194"/>
      <x:c r="E68" s="194"/>
      <x:c r="F68" s="195" t="s">
        <x:v>281</x:v>
      </x:c>
      <x:c r="G68" s="195"/>
      <x:c r="H68" s="195"/>
    </x:row>
    <x:row r="69" ht="30" customHeight="1">
      <x:c r="A69" s="19" t="s">
        <x:v>282</x:v>
      </x:c>
      <x:c r="B69" s="19" t="s">
        <x:v>283</x:v>
      </x:c>
      <x:c r="C69" s="194" t="s">
        <x:v>284</x:v>
      </x:c>
      <x:c r="D69" s="194"/>
      <x:c r="E69" s="194"/>
      <x:c r="F69" s="195" t="s">
        <x:v>285</x:v>
      </x:c>
      <x:c r="G69" s="195"/>
      <x:c r="H69" s="195"/>
    </x:row>
    <x:row r="70" ht="15" hidden="1" customHeight="1">
      <x:c r="A70" s="42"/>
      <x:c r="B70" s="30"/>
    </x:row>
    <x:row r="71" ht="15" hidden="1" customHeight="1">
      <x:c r="A71" s="42"/>
      <x:c r="B71" s="42"/>
    </x:row>
    <x:row r="72" ht="15" hidden="1" customHeight="1">
      <x:c r="A72" s="42"/>
      <x:c r="B72" s="42"/>
    </x:row>
  </x:sheetData>
  <x:mergeCells>
    <x:mergeCell ref="A48:H48"/>
    <x:mergeCell ref="A60:H60"/>
    <x:mergeCell ref="A1:H1"/>
    <x:mergeCell ref="A19:H19"/>
    <x:mergeCell ref="A24:H24"/>
    <x:mergeCell ref="A36:H36"/>
    <x:mergeCell ref="A43:H43"/>
    <x:mergeCell ref="C61:E61"/>
    <x:mergeCell ref="F61:H61"/>
    <x:mergeCell ref="C62:E62"/>
    <x:mergeCell ref="F62:H62"/>
    <x:mergeCell ref="C63:E63"/>
    <x:mergeCell ref="F63:H63"/>
    <x:mergeCell ref="C64:E64"/>
    <x:mergeCell ref="F64:H64"/>
    <x:mergeCell ref="C65:E65"/>
    <x:mergeCell ref="F65:H65"/>
    <x:mergeCell ref="C66:E66"/>
    <x:mergeCell ref="F66:H66"/>
    <x:mergeCell ref="C67:E67"/>
    <x:mergeCell ref="F67:H67"/>
    <x:mergeCell ref="C68:E68"/>
    <x:mergeCell ref="F68:H68"/>
    <x:mergeCell ref="C69:E69"/>
    <x:mergeCell ref="F69:H69"/>
  </x:mergeCells>
  <x:hyperlinks>
    <x:hyperlink xmlns:r="http://schemas.openxmlformats.org/officeDocument/2006/relationships" ref="B69" r:id="R4a02806387d74216"/>
    <x:hyperlink xmlns:r="http://schemas.openxmlformats.org/officeDocument/2006/relationships" ref="B70" r:id="Rf7779220c43c4729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F4E"/>
  </x:sheetPr>
  <x:sheetViews>
    <x:sheetView showGridLines="0" workbookViewId="0"/>
  </x:sheetViews>
  <x:sheetFormatPr defaultColWidth="8.5703125" defaultRowHeight="12.75"/>
  <x:cols>
    <x:col min="1" max="1" width="34" customWidth="1"/>
    <x:col min="2" max="21" width="14" customWidth="1"/>
  </x:cols>
  <x:sheetData>
    <x:row r="1" ht="27.950000762939453" customHeight="1">
      <x:c r="A1" s="197" t="s">
        <x:v>286</x:v>
      </x:c>
      <x:c r="B1" s="199"/>
      <x:c r="C1" s="199"/>
      <x:c r="D1" s="199"/>
      <x:c r="E1" s="199"/>
      <x:c r="F1" s="199"/>
      <x:c r="G1" s="199"/>
      <x:c r="H1" s="199"/>
      <x:c r="I1" s="199"/>
      <x:c r="J1" s="199"/>
      <x:c r="K1" s="199"/>
      <x:c r="L1" s="199"/>
      <x:c r="M1" s="199"/>
      <x:c r="N1" s="2"/>
      <x:c r="O1" s="2"/>
      <x:c r="P1" s="2"/>
      <x:c r="Q1" s="2"/>
      <x:c r="R1" s="2"/>
      <x:c r="S1" s="2"/>
      <x:c r="T1" s="2"/>
      <x:c r="U1" s="2"/>
    </x:row>
    <x:row r="2" ht="9.949999809265137" customHeight="1"/>
    <x:row r="3" ht="26.100000381469727" customHeight="1">
      <x:c r="A3" s="10" t="s">
        <x:v>67</x:v>
      </x:c>
      <x:c r="B3" s="9" t="s">
        <x:v>287</x:v>
      </x:c>
      <x:c r="C3" s="9" t="s">
        <x:v>288</x:v>
      </x:c>
      <x:c r="D3" s="9" t="s">
        <x:v>289</x:v>
      </x:c>
      <x:c r="E3" s="83" t="s">
        <x:v>290</x:v>
      </x:c>
      <x:c r="F3" s="9" t="s">
        <x:v>291</x:v>
      </x:c>
      <x:c r="G3" s="9" t="s">
        <x:v>292</x:v>
      </x:c>
      <x:c r="H3" s="9" t="s">
        <x:v>293</x:v>
      </x:c>
      <x:c r="I3" s="83" t="s">
        <x:v>294</x:v>
      </x:c>
      <x:c r="J3" s="9" t="s">
        <x:v>295</x:v>
      </x:c>
      <x:c r="K3" s="9" t="s">
        <x:v>296</x:v>
      </x:c>
      <x:c r="L3" s="9" t="s">
        <x:v>297</x:v>
      </x:c>
      <x:c r="M3" s="83" t="s">
        <x:v>298</x:v>
      </x:c>
      <x:c r="N3" s="9" t="s">
        <x:v>299</x:v>
      </x:c>
      <x:c r="O3" s="9" t="s">
        <x:v>300</x:v>
      </x:c>
      <x:c r="P3" s="9" t="s">
        <x:v>301</x:v>
      </x:c>
      <x:c r="Q3" s="83" t="s">
        <x:v>302</x:v>
      </x:c>
      <x:c r="R3" s="9" t="s">
        <x:v>303</x:v>
      </x:c>
      <x:c r="S3" s="9" t="s">
        <x:v>304</x:v>
      </x:c>
      <x:c r="T3" s="9" t="s">
        <x:v>305</x:v>
      </x:c>
      <x:c r="U3" s="83" t="s">
        <x:v>306</x:v>
      </x:c>
    </x:row>
    <x:row r="4" ht="15.949999809265137" customHeight="1">
      <x:c r="A4" s="12" t="s">
        <x:v>307</x:v>
      </x:c>
      <x:c r="B4" s="90" t="n">
        <x:f>Assumptions!$F$61</x:f>
        <x:v>0.15</x:v>
      </x:c>
      <x:c r="C4" s="90" t="n">
        <x:f>Assumptions!$F$62</x:f>
        <x:v>0.45</x:v>
      </x:c>
      <x:c r="D4" s="90" t="n">
        <x:f>Assumptions!$F$63</x:f>
        <x:v>0.4</x:v>
      </x:c>
      <x:c r="E4" s="84" t="n">
        <x:f>SUM(B4:D4)</x:f>
        <x:v>1</x:v>
      </x:c>
      <x:c r="F4" s="90" t="n">
        <x:f>Assumptions!$F$64</x:f>
        <x:v>0.3</x:v>
      </x:c>
      <x:c r="G4" s="90" t="n">
        <x:f>Assumptions!$F$65</x:f>
        <x:v>0.45</x:v>
      </x:c>
      <x:c r="H4" s="90" t="n">
        <x:f>Assumptions!$F$66</x:f>
        <x:v>0.25</x:v>
      </x:c>
      <x:c r="I4" s="84" t="n">
        <x:f>SUM(F4:H4)</x:f>
        <x:v>1</x:v>
      </x:c>
      <x:c r="J4" s="90" t="n">
        <x:f>Assumptions!$F$67</x:f>
        <x:v>0.45</x:v>
      </x:c>
      <x:c r="K4" s="90" t="n">
        <x:f>Assumptions!$F$68</x:f>
        <x:v>0.4</x:v>
      </x:c>
      <x:c r="L4" s="90" t="n">
        <x:f>Assumptions!$F$69</x:f>
        <x:v>0.15</x:v>
      </x:c>
      <x:c r="M4" s="84" t="n">
        <x:f>SUM(J4:L4)</x:f>
        <x:v>1</x:v>
      </x:c>
      <x:c r="N4" s="90" t="n">
        <x:f>Assumptions!$F$149</x:f>
        <x:v>0.6</x:v>
      </x:c>
      <x:c r="O4" s="90" t="n">
        <x:f>Assumptions!$F$150</x:f>
        <x:v>0.32</x:v>
      </x:c>
      <x:c r="P4" s="90" t="n">
        <x:f>Assumptions!$F$151</x:f>
        <x:v>0.08</x:v>
      </x:c>
      <x:c r="Q4" s="84" t="n">
        <x:f>SUM(N4:P4)</x:f>
        <x:v>0.9999999999999999</x:v>
      </x:c>
      <x:c r="R4" s="90" t="n">
        <x:f>Assumptions!$F$152</x:f>
        <x:v>0.7</x:v>
      </x:c>
      <x:c r="S4" s="90" t="n">
        <x:f>Assumptions!$F$153</x:f>
        <x:v>0.25</x:v>
      </x:c>
      <x:c r="T4" s="90" t="n">
        <x:f>Assumptions!$F$154</x:f>
        <x:v>0.05</x:v>
      </x:c>
      <x:c r="U4" s="84" t="n">
        <x:f>SUM(R4:T4)</x:f>
        <x:v>1</x:v>
      </x:c>
    </x:row>
    <x:row r="5" ht="15.949999809265137" customHeight="1">
      <x:c r="A5" s="12" t="s">
        <x:v>308</x:v>
      </x:c>
      <x:c r="B5" s="91" t="n">
        <x:f>'P&amp;L 5yr'!$C$7*B4</x:f>
        <x:v>0.44999999999999996</x:v>
      </x:c>
      <x:c r="C5" s="91" t="n">
        <x:f>'P&amp;L 5yr'!$C$7*C4</x:f>
        <x:v>1.35</x:v>
      </x:c>
      <x:c r="D5" s="91" t="n">
        <x:f>'P&amp;L 5yr'!$C$7*D4</x:f>
        <x:v>1.2000000000000002</x:v>
      </x:c>
      <x:c r="E5" s="85" t="n">
        <x:f>SUM(B5:D5)</x:f>
        <x:v>3</x:v>
      </x:c>
      <x:c r="F5" s="91" t="n">
        <x:f>'P&amp;L 5yr'!$D$7*F4</x:f>
        <x:v>150</x:v>
      </x:c>
      <x:c r="G5" s="91" t="n">
        <x:f>'P&amp;L 5yr'!$D$7*G4</x:f>
        <x:v>225</x:v>
      </x:c>
      <x:c r="H5" s="91" t="n">
        <x:f>'P&amp;L 5yr'!$D$7*H4</x:f>
        <x:v>125</x:v>
      </x:c>
      <x:c r="I5" s="85" t="n">
        <x:f>SUM(F5:H5)</x:f>
        <x:v>500</x:v>
      </x:c>
      <x:c r="J5" s="91" t="n">
        <x:f>'P&amp;L 5yr'!$E$7*J4</x:f>
        <x:v>900</x:v>
      </x:c>
      <x:c r="K5" s="91" t="n">
        <x:f>'P&amp;L 5yr'!$E$7*K4</x:f>
        <x:v>800</x:v>
      </x:c>
      <x:c r="L5" s="91" t="n">
        <x:f>'P&amp;L 5yr'!$E$7*L4</x:f>
        <x:v>300</x:v>
      </x:c>
      <x:c r="M5" s="85" t="n">
        <x:f>SUM(J5:L5)</x:f>
        <x:v>2000</x:v>
      </x:c>
      <x:c r="N5" s="91" t="n">
        <x:f>'P&amp;L 5yr'!$F$7*N4</x:f>
        <x:v>9000</x:v>
      </x:c>
      <x:c r="O5" s="91" t="n">
        <x:f>'P&amp;L 5yr'!$F$7*O4</x:f>
        <x:v>4800</x:v>
      </x:c>
      <x:c r="P5" s="91" t="n">
        <x:f>'P&amp;L 5yr'!$F$7*P4</x:f>
        <x:v>1200</x:v>
      </x:c>
      <x:c r="Q5" s="85" t="n">
        <x:f>SUM(N5:P5)</x:f>
        <x:v>15000</x:v>
      </x:c>
      <x:c r="R5" s="91" t="n">
        <x:f>'P&amp;L 5yr'!$G$7*R4</x:f>
        <x:v>21000</x:v>
      </x:c>
      <x:c r="S5" s="91" t="n">
        <x:f>'P&amp;L 5yr'!$G$7*S4</x:f>
        <x:v>7500</x:v>
      </x:c>
      <x:c r="T5" s="91" t="n">
        <x:f>'P&amp;L 5yr'!$G$7*T4</x:f>
        <x:v>1500</x:v>
      </x:c>
      <x:c r="U5" s="85" t="n">
        <x:f>SUM(R5:T5)</x:f>
        <x:v>30000</x:v>
      </x:c>
    </x:row>
    <x:row r="6" ht="15.949999809265137" customHeight="1">
      <x:c r="A6" s="12" t="s">
        <x:v>309</x:v>
      </x:c>
      <x:c r="B6" s="68" t="n">
        <x:f>Assumptions!$F$103</x:f>
        <x:v>3</x:v>
      </x:c>
      <x:c r="C6" s="68" t="n">
        <x:f>Assumptions!$F$104</x:f>
        <x:v>6</x:v>
      </x:c>
      <x:c r="D6" s="68" t="n">
        <x:f>Assumptions!$F$105</x:f>
        <x:v>9</x:v>
      </x:c>
      <x:c r="E6" s="86" t="n">
        <x:f>IF(E5=0,0,E7/E5)</x:f>
        <x:v>6.75</x:v>
      </x:c>
      <x:c r="F6" s="68" t="n">
        <x:f>Assumptions!$F$103</x:f>
        <x:v>3</x:v>
      </x:c>
      <x:c r="G6" s="68" t="n">
        <x:f>Assumptions!$F$104</x:f>
        <x:v>6</x:v>
      </x:c>
      <x:c r="H6" s="68" t="n">
        <x:f>Assumptions!$F$105</x:f>
        <x:v>9</x:v>
      </x:c>
      <x:c r="I6" s="86" t="n">
        <x:f>IF(I5=0,0,I7/I5)</x:f>
        <x:v>5.85</x:v>
      </x:c>
      <x:c r="J6" s="68" t="n">
        <x:f>Assumptions!$F$103</x:f>
        <x:v>3</x:v>
      </x:c>
      <x:c r="K6" s="68" t="n">
        <x:f>Assumptions!$F$104</x:f>
        <x:v>6</x:v>
      </x:c>
      <x:c r="L6" s="68" t="n">
        <x:f>Assumptions!$F$105</x:f>
        <x:v>9</x:v>
      </x:c>
      <x:c r="M6" s="86" t="n">
        <x:f>IF(M5=0,0,M7/M5)</x:f>
        <x:v>5.1</x:v>
      </x:c>
      <x:c r="N6" s="68" t="n">
        <x:f>Assumptions!$F$103</x:f>
        <x:v>3</x:v>
      </x:c>
      <x:c r="O6" s="68" t="n">
        <x:f>Assumptions!$F$104</x:f>
        <x:v>6</x:v>
      </x:c>
      <x:c r="P6" s="68" t="n">
        <x:f>Assumptions!$F$105</x:f>
        <x:v>9</x:v>
      </x:c>
      <x:c r="Q6" s="86" t="n">
        <x:f>IF(Q5=0,0,Q7/Q5)</x:f>
        <x:v>4.44</x:v>
      </x:c>
      <x:c r="R6" s="68" t="n">
        <x:f>Assumptions!$F$103</x:f>
        <x:v>3</x:v>
      </x:c>
      <x:c r="S6" s="68" t="n">
        <x:f>Assumptions!$F$104</x:f>
        <x:v>6</x:v>
      </x:c>
      <x:c r="T6" s="68" t="n">
        <x:f>Assumptions!$F$105</x:f>
        <x:v>9</x:v>
      </x:c>
      <x:c r="U6" s="86" t="n">
        <x:f>IF(U5=0,0,U7/U5)</x:f>
        <x:v>4.05</x:v>
      </x:c>
    </x:row>
    <x:row r="7" ht="15.949999809265137" customHeight="1">
      <x:c r="A7" s="12" t="s">
        <x:v>310</x:v>
      </x:c>
      <x:c r="B7" s="76" t="n">
        <x:f>B5*B6</x:f>
        <x:v>1.3499999999999999</x:v>
      </x:c>
      <x:c r="C7" s="76" t="n">
        <x:f>C5*C6</x:f>
        <x:v>8.100000000000001</x:v>
      </x:c>
      <x:c r="D7" s="76" t="n">
        <x:f>D5*D6</x:f>
        <x:v>10.8</x:v>
      </x:c>
      <x:c r="E7" s="85" t="n">
        <x:f>SUM(B7:D7)</x:f>
        <x:v>20.25</x:v>
      </x:c>
      <x:c r="F7" s="76" t="n">
        <x:f>F5*F6</x:f>
        <x:v>450</x:v>
      </x:c>
      <x:c r="G7" s="76" t="n">
        <x:f>G5*G6</x:f>
        <x:v>1350</x:v>
      </x:c>
      <x:c r="H7" s="76" t="n">
        <x:f>H5*H6</x:f>
        <x:v>1125</x:v>
      </x:c>
      <x:c r="I7" s="85" t="n">
        <x:f>SUM(F7:H7)</x:f>
        <x:v>2925</x:v>
      </x:c>
      <x:c r="J7" s="76" t="n">
        <x:f>J5*J6</x:f>
        <x:v>2700</x:v>
      </x:c>
      <x:c r="K7" s="76" t="n">
        <x:f>K5*K6</x:f>
        <x:v>4800</x:v>
      </x:c>
      <x:c r="L7" s="76" t="n">
        <x:f>L5*L6</x:f>
        <x:v>2700</x:v>
      </x:c>
      <x:c r="M7" s="85" t="n">
        <x:f>SUM(J7:L7)</x:f>
        <x:v>10200</x:v>
      </x:c>
      <x:c r="N7" s="76" t="n">
        <x:f>N5*N6</x:f>
        <x:v>27000</x:v>
      </x:c>
      <x:c r="O7" s="76" t="n">
        <x:f>O5*O6</x:f>
        <x:v>28800</x:v>
      </x:c>
      <x:c r="P7" s="76" t="n">
        <x:f>P5*P6</x:f>
        <x:v>10800</x:v>
      </x:c>
      <x:c r="Q7" s="85" t="n">
        <x:f>SUM(N7:P7)</x:f>
        <x:v>66600</x:v>
      </x:c>
      <x:c r="R7" s="76" t="n">
        <x:f>R5*R6</x:f>
        <x:v>63000</x:v>
      </x:c>
      <x:c r="S7" s="76" t="n">
        <x:f>S5*S6</x:f>
        <x:v>45000</x:v>
      </x:c>
      <x:c r="T7" s="76" t="n">
        <x:f>T5*T6</x:f>
        <x:v>13500</x:v>
      </x:c>
      <x:c r="U7" s="85" t="n">
        <x:f>SUM(R7:T7)</x:f>
        <x:v>121500</x:v>
      </x:c>
    </x:row>
    <x:row r="8" ht="15.949999809265137" customHeight="1">
      <x:c r="A8" s="12" t="s">
        <x:v>311</x:v>
      </x:c>
      <x:c r="B8" s="67" t="n">
        <x:f>Assumptions!$F$162</x:f>
        <x:v>35000</x:v>
      </x:c>
      <x:c r="C8" s="67" t="n">
        <x:f>Assumptions!$F$164</x:f>
        <x:v>30000</x:v>
      </x:c>
      <x:c r="D8" s="67" t="n">
        <x:f>Assumptions!$F$166</x:f>
        <x:v>30000</x:v>
      </x:c>
      <x:c r="E8" s="87" t="n">
        <x:f>IF(E5=0,0,E9/E5)</x:f>
        <x:v>30750</x:v>
      </x:c>
      <x:c r="F8" s="67" t="n">
        <x:f>Assumptions!$F$162*(1+Assumptions!$F$163)^1</x:f>
        <x:v>38500</x:v>
      </x:c>
      <x:c r="G8" s="67" t="n">
        <x:f>Assumptions!$F$164*(1+Assumptions!$F$165)^1</x:f>
        <x:v>32400.000000000004</x:v>
      </x:c>
      <x:c r="H8" s="67" t="n">
        <x:f>Assumptions!$F$166*(1+Assumptions!$F$167)^1</x:f>
        <x:v>31500</x:v>
      </x:c>
      <x:c r="I8" s="87" t="n">
        <x:f>IF(I5=0,0,I9/I5)</x:f>
        <x:v>34005</x:v>
      </x:c>
      <x:c r="J8" s="67" t="n">
        <x:f>Assumptions!$F$162*(1+Assumptions!$F$163)^2</x:f>
        <x:v>42350.00000000001</x:v>
      </x:c>
      <x:c r="K8" s="67" t="n">
        <x:f>Assumptions!$F$164*(1+Assumptions!$F$165)^2</x:f>
        <x:v>34992</x:v>
      </x:c>
      <x:c r="L8" s="67" t="n">
        <x:f>Assumptions!$F$166*(1+Assumptions!$F$167)^2</x:f>
        <x:v>33075</x:v>
      </x:c>
      <x:c r="M8" s="87" t="n">
        <x:f>IF(M5=0,0,M9/M5)</x:f>
        <x:v>38015.55</x:v>
      </x:c>
      <x:c r="N8" s="67" t="n">
        <x:f>Assumptions!$F$162*(1+Assumptions!$F$163)^3</x:f>
        <x:v>46585.000000000015</x:v>
      </x:c>
      <x:c r="O8" s="67" t="n">
        <x:f>Assumptions!$F$164*(1+Assumptions!$F$165)^3</x:f>
        <x:v>37791.36000000001</x:v>
      </x:c>
      <x:c r="P8" s="67" t="n">
        <x:f>Assumptions!$F$166*(1+Assumptions!$F$167)^3</x:f>
        <x:v>34728.75000000001</x:v>
      </x:c>
      <x:c r="Q8" s="87" t="n">
        <x:f>IF(Q5=0,0,Q9/Q5)</x:f>
        <x:v>42822.535200000006</x:v>
      </x:c>
      <x:c r="R8" s="67" t="n">
        <x:f>Assumptions!$F$162*(1+Assumptions!$F$163)^4</x:f>
        <x:v>51243.500000000015</x:v>
      </x:c>
      <x:c r="S8" s="67" t="n">
        <x:f>Assumptions!$F$164*(1+Assumptions!$F$165)^4</x:f>
        <x:v>40814.66880000001</x:v>
      </x:c>
      <x:c r="T8" s="67" t="n">
        <x:f>Assumptions!$F$166*(1+Assumptions!$F$167)^4</x:f>
        <x:v>36465.18750000001</x:v>
      </x:c>
      <x:c r="U8" s="87" t="n">
        <x:f>IF(U5=0,0,U9/U5)</x:f>
        <x:v>47897.37657500001</x:v>
      </x:c>
    </x:row>
    <x:row r="9" ht="15.949999809265137" customHeight="1">
      <x:c r="A9" s="12" t="s">
        <x:v>312</x:v>
      </x:c>
      <x:c r="B9" s="56" t="n">
        <x:f>B5*B8</x:f>
        <x:v>15749.999999999998</x:v>
      </x:c>
      <x:c r="C9" s="56" t="n">
        <x:f>C5*C8</x:f>
        <x:v>40500</x:v>
      </x:c>
      <x:c r="D9" s="56" t="n">
        <x:f>D5*D8</x:f>
        <x:v>36000.00000000001</x:v>
      </x:c>
      <x:c r="E9" s="87" t="n">
        <x:f>SUM(B9:D9)</x:f>
        <x:v>92250</x:v>
      </x:c>
      <x:c r="F9" s="56" t="n">
        <x:f>F5*F8</x:f>
        <x:v>5775000</x:v>
      </x:c>
      <x:c r="G9" s="56" t="n">
        <x:f>G5*G8</x:f>
        <x:v>7290000.000000001</x:v>
      </x:c>
      <x:c r="H9" s="56" t="n">
        <x:f>H5*H8</x:f>
        <x:v>3937500</x:v>
      </x:c>
      <x:c r="I9" s="87" t="n">
        <x:f>SUM(F9:H9)</x:f>
        <x:v>17002500</x:v>
      </x:c>
      <x:c r="J9" s="56" t="n">
        <x:f>J5*J8</x:f>
        <x:v>38115000.00000001</x:v>
      </x:c>
      <x:c r="K9" s="56" t="n">
        <x:f>K5*K8</x:f>
        <x:v>27993600</x:v>
      </x:c>
      <x:c r="L9" s="56" t="n">
        <x:f>L5*L8</x:f>
        <x:v>9922500</x:v>
      </x:c>
      <x:c r="M9" s="87" t="n">
        <x:f>SUM(J9:L9)</x:f>
        <x:v>76031100</x:v>
      </x:c>
      <x:c r="N9" s="56" t="n">
        <x:f>N5*N8</x:f>
        <x:v>419265000.0000001</x:v>
      </x:c>
      <x:c r="O9" s="56" t="n">
        <x:f>O5*O8</x:f>
        <x:v>181398528.00000003</x:v>
      </x:c>
      <x:c r="P9" s="56" t="n">
        <x:f>P5*P8</x:f>
        <x:v>41674500.00000001</x:v>
      </x:c>
      <x:c r="Q9" s="87" t="n">
        <x:f>SUM(N9:P9)</x:f>
        <x:v>642338028.0000001</x:v>
      </x:c>
      <x:c r="R9" s="56" t="n">
        <x:f>R5*R8</x:f>
        <x:v>1076113500.0000002</x:v>
      </x:c>
      <x:c r="S9" s="56" t="n">
        <x:f>S5*S8</x:f>
        <x:v>306110016.00000006</x:v>
      </x:c>
      <x:c r="T9" s="56" t="n">
        <x:f>T5*T8</x:f>
        <x:v>54697781.25000001</x:v>
      </x:c>
      <x:c r="U9" s="87" t="n">
        <x:f>SUM(R9:T9)</x:f>
        <x:v>1436921297.2500002</x:v>
      </x:c>
    </x:row>
    <x:row r="10" ht="15.949999809265137" customHeight="1">
      <x:c r="A10" s="12" t="s">
        <x:v>313</x:v>
      </x:c>
      <x:c r="B10" s="90" t="n">
        <x:f>Assumptions!$F$70</x:f>
        <x:v>0.008</x:v>
      </x:c>
      <x:c r="C10" s="90" t="n">
        <x:f>Assumptions!$F$71</x:f>
        <x:v>0.015</x:v>
      </x:c>
      <x:c r="D10" s="90" t="n">
        <x:f>Assumptions!$F$72</x:f>
        <x:v>0.03</x:v>
      </x:c>
      <x:c r="E10" s="84" t="n">
        <x:f>IF(E9=0,0,SUM(B9*B10,C9*C10,D9*D10)/E9)</x:f>
        <x:v>0.019658536585365857</x:v>
      </x:c>
      <x:c r="F10" s="90" t="n">
        <x:f>Assumptions!$F$70</x:f>
        <x:v>0.008</x:v>
      </x:c>
      <x:c r="G10" s="90" t="n">
        <x:f>Assumptions!$F$71</x:f>
        <x:v>0.015</x:v>
      </x:c>
      <x:c r="H10" s="90" t="n">
        <x:f>Assumptions!$F$72</x:f>
        <x:v>0.03</x:v>
      </x:c>
      <x:c r="I10" s="84" t="n">
        <x:f>IF(I9=0,0,SUM(F9*F10,G9*G10,H9*H10)/I9)</x:f>
        <x:v>0.016096162329069255</x:v>
      </x:c>
      <x:c r="J10" s="90" t="n">
        <x:f>Assumptions!$F$70</x:f>
        <x:v>0.008</x:v>
      </x:c>
      <x:c r="K10" s="90" t="n">
        <x:f>Assumptions!$F$71</x:f>
        <x:v>0.015</x:v>
      </x:c>
      <x:c r="L10" s="90" t="n">
        <x:f>Assumptions!$F$72</x:f>
        <x:v>0.03</x:v>
      </x:c>
      <x:c r="M10" s="84" t="n">
        <x:f>IF(M9=0,0,SUM(J9*J10,K9*K10,L9*L10)/M9)</x:f>
        <x:v>0.013448430971010547</x:v>
      </x:c>
      <x:c r="N10" s="90" t="n">
        <x:f>Assumptions!$F$70</x:f>
        <x:v>0.008</x:v>
      </x:c>
      <x:c r="O10" s="90" t="n">
        <x:f>Assumptions!$F$71</x:f>
        <x:v>0.015</x:v>
      </x:c>
      <x:c r="P10" s="90" t="n">
        <x:f>Assumptions!$F$72</x:f>
        <x:v>0.03</x:v>
      </x:c>
      <x:c r="Q10" s="84" t="n">
        <x:f>IF(Q9=0,0,SUM(N9*N10,O9*O10,P9*P10)/Q9)</x:f>
        <x:v>0.011404171325195151</x:v>
      </x:c>
      <x:c r="R10" s="90" t="n">
        <x:f>Assumptions!$F$70</x:f>
        <x:v>0.008</x:v>
      </x:c>
      <x:c r="S10" s="90" t="n">
        <x:f>Assumptions!$F$71</x:f>
        <x:v>0.015</x:v>
      </x:c>
      <x:c r="T10" s="90" t="n">
        <x:f>Assumptions!$F$72</x:f>
        <x:v>0.03</x:v>
      </x:c>
      <x:c r="U10" s="84" t="n">
        <x:f>IF(U9=0,0,SUM(R9*R10,S9*S10,T9*T10)/U9)</x:f>
        <x:v>0.01032867402404283</x:v>
      </x:c>
    </x:row>
    <x:row r="11" ht="15.949999809265137" customHeight="1">
      <x:c r="A11" s="12" t="s">
        <x:v>314</x:v>
      </x:c>
      <x:c r="B11" s="67" t="n">
        <x:f>Assumptions!$F$73</x:f>
        <x:v>150</x:v>
      </x:c>
      <x:c r="C11" s="67" t="n">
        <x:f>Assumptions!$F$74</x:f>
        <x:v>250</x:v>
      </x:c>
      <x:c r="D11" s="67" t="n">
        <x:f>Assumptions!$F$75</x:f>
        <x:v>500</x:v>
      </x:c>
      <x:c r="E11" s="87" t="n">
        <x:f>IF(E5=0,0,SUM(B5*B11,C5*C11,D5*D11)/E5)</x:f>
        <x:v>335.00000000000006</x:v>
      </x:c>
      <x:c r="F11" s="67" t="n">
        <x:f>Assumptions!$F$73</x:f>
        <x:v>150</x:v>
      </x:c>
      <x:c r="G11" s="67" t="n">
        <x:f>Assumptions!$F$74</x:f>
        <x:v>250</x:v>
      </x:c>
      <x:c r="H11" s="67" t="n">
        <x:f>Assumptions!$F$75</x:f>
        <x:v>500</x:v>
      </x:c>
      <x:c r="I11" s="87" t="n">
        <x:f>IF(I5=0,0,SUM(F5*F11,G5*G11,H5*H11)/I5)</x:f>
        <x:v>282.5</x:v>
      </x:c>
      <x:c r="J11" s="67" t="n">
        <x:f>Assumptions!$F$73</x:f>
        <x:v>150</x:v>
      </x:c>
      <x:c r="K11" s="67" t="n">
        <x:f>Assumptions!$F$74</x:f>
        <x:v>250</x:v>
      </x:c>
      <x:c r="L11" s="67" t="n">
        <x:f>Assumptions!$F$75</x:f>
        <x:v>500</x:v>
      </x:c>
      <x:c r="M11" s="87" t="n">
        <x:f>IF(M5=0,0,SUM(J5*J11,K5*K11,L5*L11)/M5)</x:f>
        <x:v>242.5</x:v>
      </x:c>
      <x:c r="N11" s="67" t="n">
        <x:f>Assumptions!$F$73</x:f>
        <x:v>150</x:v>
      </x:c>
      <x:c r="O11" s="67" t="n">
        <x:f>Assumptions!$F$74</x:f>
        <x:v>250</x:v>
      </x:c>
      <x:c r="P11" s="67" t="n">
        <x:f>Assumptions!$F$75</x:f>
        <x:v>500</x:v>
      </x:c>
      <x:c r="Q11" s="87" t="n">
        <x:f>IF(Q5=0,0,SUM(N5*N11,O5*O11,P5*P11)/Q5)</x:f>
        <x:v>210</x:v>
      </x:c>
      <x:c r="R11" s="67" t="n">
        <x:f>Assumptions!$F$73</x:f>
        <x:v>150</x:v>
      </x:c>
      <x:c r="S11" s="67" t="n">
        <x:f>Assumptions!$F$74</x:f>
        <x:v>250</x:v>
      </x:c>
      <x:c r="T11" s="67" t="n">
        <x:f>Assumptions!$F$75</x:f>
        <x:v>500</x:v>
      </x:c>
      <x:c r="U11" s="87" t="n">
        <x:f>IF(U5=0,0,SUM(R5*R11,S5*S11,T5*T11)/U5)</x:f>
        <x:v>192.5</x:v>
      </x:c>
    </x:row>
    <x:row r="12" ht="15.949999809265137" customHeight="1">
      <x:c r="A12" s="12" t="s">
        <x:v>315</x:v>
      </x:c>
      <x:c r="B12" s="56" t="n">
        <x:f>B5*MAX(B8*B10,B11)</x:f>
        <x:v>125.99999999999999</x:v>
      </x:c>
      <x:c r="C12" s="56" t="n">
        <x:f>C5*MAX(C8*C10,C11)</x:f>
        <x:v>607.5</x:v>
      </x:c>
      <x:c r="D12" s="56" t="n">
        <x:f>D5*MAX(D8*D10,D11)</x:f>
        <x:v>1080.0000000000002</x:v>
      </x:c>
      <x:c r="E12" s="87" t="n">
        <x:f>SUM(B12:D12)</x:f>
        <x:v>1813.5000000000002</x:v>
      </x:c>
      <x:c r="F12" s="56" t="n">
        <x:f>F5*MAX(F8*F10,F11)</x:f>
        <x:v>46200</x:v>
      </x:c>
      <x:c r="G12" s="56" t="n">
        <x:f>G5*MAX(G8*G10,G11)</x:f>
        <x:v>109350.00000000001</x:v>
      </x:c>
      <x:c r="H12" s="56" t="n">
        <x:f>H5*MAX(H8*H10,H11)</x:f>
        <x:v>118125</x:v>
      </x:c>
      <x:c r="I12" s="87" t="n">
        <x:f>SUM(F12:H12)</x:f>
        <x:v>273675</x:v>
      </x:c>
      <x:c r="J12" s="56" t="n">
        <x:f>J5*MAX(J8*J10,J11)</x:f>
        <x:v>304920.00000000006</x:v>
      </x:c>
      <x:c r="K12" s="56" t="n">
        <x:f>K5*MAX(K8*K10,K11)</x:f>
        <x:v>419904</x:v>
      </x:c>
      <x:c r="L12" s="56" t="n">
        <x:f>L5*MAX(L8*L10,L11)</x:f>
        <x:v>297675</x:v>
      </x:c>
      <x:c r="M12" s="87" t="n">
        <x:f>SUM(J12:L12)</x:f>
        <x:v>1022499</x:v>
      </x:c>
      <x:c r="N12" s="56" t="n">
        <x:f>N5*MAX(N8*N10,N11)</x:f>
        <x:v>3354120.000000001</x:v>
      </x:c>
      <x:c r="O12" s="56" t="n">
        <x:f>O5*MAX(O8*O10,O11)</x:f>
        <x:v>2720977.920000001</x:v>
      </x:c>
      <x:c r="P12" s="56" t="n">
        <x:f>P5*MAX(P8*P10,P11)</x:f>
        <x:v>1250235.0000000002</x:v>
      </x:c>
      <x:c r="Q12" s="87" t="n">
        <x:f>SUM(N12:P12)</x:f>
        <x:v>7325332.920000002</x:v>
      </x:c>
      <x:c r="R12" s="56" t="n">
        <x:f>R5*MAX(R8*R10,R11)</x:f>
        <x:v>8608908.000000004</x:v>
      </x:c>
      <x:c r="S12" s="56" t="n">
        <x:f>S5*MAX(S8*S10,S11)</x:f>
        <x:v>4591650.24</x:v>
      </x:c>
      <x:c r="T12" s="56" t="n">
        <x:f>T5*MAX(T8*T10,T11)</x:f>
        <x:v>1640933.4375000005</x:v>
      </x:c>
      <x:c r="U12" s="87" t="n">
        <x:f>SUM(R12:T12)</x:f>
        <x:v>14841491.677500004</x:v>
      </x:c>
    </x:row>
    <x:row r="13" ht="15.949999809265137" customHeight="1">
      <x:c r="A13" s="12" t="s">
        <x:v>316</x:v>
      </x:c>
      <x:c r="B13" s="67" t="n">
        <x:f>Assumptions!$F$76</x:f>
        <x:v>25</x:v>
      </x:c>
      <x:c r="C13" s="67" t="n">
        <x:f>Assumptions!$F$77</x:f>
        <x:v>90</x:v>
      </x:c>
      <x:c r="D13" s="67" t="n">
        <x:f>Assumptions!$F$78</x:f>
        <x:v>300</x:v>
      </x:c>
      <x:c r="E13" s="87" t="n">
        <x:f>IF(E5=0,0,SUM(B5*B13,C5*C13,D5*D13)/E5)</x:f>
        <x:v>164.25000000000003</x:v>
      </x:c>
      <x:c r="F13" s="67" t="n">
        <x:f>Assumptions!$F$76</x:f>
        <x:v>25</x:v>
      </x:c>
      <x:c r="G13" s="67" t="n">
        <x:f>Assumptions!$F$77</x:f>
        <x:v>90</x:v>
      </x:c>
      <x:c r="H13" s="67" t="n">
        <x:f>Assumptions!$F$78</x:f>
        <x:v>300</x:v>
      </x:c>
      <x:c r="I13" s="87" t="n">
        <x:f>IF(I5=0,0,SUM(F5*F13,G5*G13,H5*H13)/I5)</x:f>
        <x:v>123</x:v>
      </x:c>
      <x:c r="J13" s="67" t="n">
        <x:f>Assumptions!$F$76</x:f>
        <x:v>25</x:v>
      </x:c>
      <x:c r="K13" s="67" t="n">
        <x:f>Assumptions!$F$77</x:f>
        <x:v>90</x:v>
      </x:c>
      <x:c r="L13" s="67" t="n">
        <x:f>Assumptions!$F$78</x:f>
        <x:v>300</x:v>
      </x:c>
      <x:c r="M13" s="87" t="n">
        <x:f>IF(M5=0,0,SUM(J5*J13,K5*K13,L5*L13)/M5)</x:f>
        <x:v>92.25</x:v>
      </x:c>
      <x:c r="N13" s="67" t="n">
        <x:f>Assumptions!$F$76</x:f>
        <x:v>25</x:v>
      </x:c>
      <x:c r="O13" s="67" t="n">
        <x:f>Assumptions!$F$77</x:f>
        <x:v>90</x:v>
      </x:c>
      <x:c r="P13" s="67" t="n">
        <x:f>Assumptions!$F$78</x:f>
        <x:v>300</x:v>
      </x:c>
      <x:c r="Q13" s="87" t="n">
        <x:f>IF(Q5=0,0,SUM(N5*N13,O5*O13,P5*P13)/Q5)</x:f>
        <x:v>67.8</x:v>
      </x:c>
      <x:c r="R13" s="67" t="n">
        <x:f>Assumptions!$F$76</x:f>
        <x:v>25</x:v>
      </x:c>
      <x:c r="S13" s="67" t="n">
        <x:f>Assumptions!$F$77</x:f>
        <x:v>90</x:v>
      </x:c>
      <x:c r="T13" s="67" t="n">
        <x:f>Assumptions!$F$78</x:f>
        <x:v>300</x:v>
      </x:c>
      <x:c r="U13" s="87" t="n">
        <x:f>IF(U5=0,0,SUM(R5*R13,S5*S13,T5*T13)/U5)</x:f>
        <x:v>55</x:v>
      </x:c>
    </x:row>
    <x:row r="14" ht="15.949999809265137" customHeight="1">
      <x:c r="A14" s="12" t="s">
        <x:v>317</x:v>
      </x:c>
      <x:c r="B14" s="56" t="n">
        <x:f>B5*B13</x:f>
        <x:v>11.249999999999998</x:v>
      </x:c>
      <x:c r="C14" s="56" t="n">
        <x:f>C5*C13</x:f>
        <x:v>121.50000000000001</x:v>
      </x:c>
      <x:c r="D14" s="56" t="n">
        <x:f>D5*D13</x:f>
        <x:v>360.00000000000006</x:v>
      </x:c>
      <x:c r="E14" s="87" t="n">
        <x:f>SUM(B14:D14)</x:f>
        <x:v>492.75000000000006</x:v>
      </x:c>
      <x:c r="F14" s="56" t="n">
        <x:f>F5*F13</x:f>
        <x:v>3750</x:v>
      </x:c>
      <x:c r="G14" s="56" t="n">
        <x:f>G5*G13</x:f>
        <x:v>20250</x:v>
      </x:c>
      <x:c r="H14" s="56" t="n">
        <x:f>H5*H13</x:f>
        <x:v>37500</x:v>
      </x:c>
      <x:c r="I14" s="87" t="n">
        <x:f>SUM(F14:H14)</x:f>
        <x:v>61500</x:v>
      </x:c>
      <x:c r="J14" s="56" t="n">
        <x:f>J5*J13</x:f>
        <x:v>22500</x:v>
      </x:c>
      <x:c r="K14" s="56" t="n">
        <x:f>K5*K13</x:f>
        <x:v>72000</x:v>
      </x:c>
      <x:c r="L14" s="56" t="n">
        <x:f>L5*L13</x:f>
        <x:v>90000</x:v>
      </x:c>
      <x:c r="M14" s="87" t="n">
        <x:f>SUM(J14:L14)</x:f>
        <x:v>184500</x:v>
      </x:c>
      <x:c r="N14" s="56" t="n">
        <x:f>N5*N13</x:f>
        <x:v>225000</x:v>
      </x:c>
      <x:c r="O14" s="56" t="n">
        <x:f>O5*O13</x:f>
        <x:v>432000</x:v>
      </x:c>
      <x:c r="P14" s="56" t="n">
        <x:f>P5*P13</x:f>
        <x:v>360000</x:v>
      </x:c>
      <x:c r="Q14" s="87" t="n">
        <x:f>SUM(N14:P14)</x:f>
        <x:v>1017000</x:v>
      </x:c>
      <x:c r="R14" s="56" t="n">
        <x:f>R5*R13</x:f>
        <x:v>525000</x:v>
      </x:c>
      <x:c r="S14" s="56" t="n">
        <x:f>S5*S13</x:f>
        <x:v>675000</x:v>
      </x:c>
      <x:c r="T14" s="56" t="n">
        <x:f>T5*T13</x:f>
        <x:v>450000</x:v>
      </x:c>
      <x:c r="U14" s="87" t="n">
        <x:f>SUM(R14:T14)</x:f>
        <x:v>1650000</x:v>
      </x:c>
    </x:row>
    <x:row r="15" ht="15.949999809265137" customHeight="1">
      <x:c r="A15" s="12" t="s">
        <x:v>318</x:v>
      </x:c>
      <x:c r="B15" s="90" t="n">
        <x:f>Assumptions!$F$91</x:f>
        <x:v>0.04</x:v>
      </x:c>
      <x:c r="C15" s="90" t="n">
        <x:f>Assumptions!$F$92</x:f>
        <x:v>0.1</x:v>
      </x:c>
      <x:c r="D15" s="90" t="n">
        <x:f>Assumptions!$F$93</x:f>
        <x:v>0.2</x:v>
      </x:c>
      <x:c r="E15" s="84" t="n">
        <x:f>IF(E5=0,0,E16/E5)</x:f>
        <x:v>0.131</x:v>
      </x:c>
      <x:c r="F15" s="90" t="n">
        <x:f>Assumptions!$F$91</x:f>
        <x:v>0.04</x:v>
      </x:c>
      <x:c r="G15" s="90" t="n">
        <x:f>Assumptions!$F$92</x:f>
        <x:v>0.1</x:v>
      </x:c>
      <x:c r="H15" s="90" t="n">
        <x:f>Assumptions!$F$93</x:f>
        <x:v>0.2</x:v>
      </x:c>
      <x:c r="I15" s="84" t="n">
        <x:f>IF(I5=0,0,I16/I5)</x:f>
        <x:v>0.107</x:v>
      </x:c>
      <x:c r="J15" s="90" t="n">
        <x:f>Assumptions!$F$91</x:f>
        <x:v>0.04</x:v>
      </x:c>
      <x:c r="K15" s="90" t="n">
        <x:f>Assumptions!$F$92</x:f>
        <x:v>0.1</x:v>
      </x:c>
      <x:c r="L15" s="90" t="n">
        <x:f>Assumptions!$F$93</x:f>
        <x:v>0.2</x:v>
      </x:c>
      <x:c r="M15" s="84" t="n">
        <x:f>IF(M5=0,0,M16/M5)</x:f>
        <x:v>0.088</x:v>
      </x:c>
      <x:c r="N15" s="90" t="n">
        <x:f>Assumptions!$F$91</x:f>
        <x:v>0.04</x:v>
      </x:c>
      <x:c r="O15" s="90" t="n">
        <x:f>Assumptions!$F$92</x:f>
        <x:v>0.1</x:v>
      </x:c>
      <x:c r="P15" s="90" t="n">
        <x:f>Assumptions!$F$93</x:f>
        <x:v>0.2</x:v>
      </x:c>
      <x:c r="Q15" s="84" t="n">
        <x:f>IF(Q5=0,0,Q16/Q5)</x:f>
        <x:v>0.072</x:v>
      </x:c>
      <x:c r="R15" s="90" t="n">
        <x:f>Assumptions!$F$91</x:f>
        <x:v>0.04</x:v>
      </x:c>
      <x:c r="S15" s="90" t="n">
        <x:f>Assumptions!$F$92</x:f>
        <x:v>0.1</x:v>
      </x:c>
      <x:c r="T15" s="90" t="n">
        <x:f>Assumptions!$F$93</x:f>
        <x:v>0.2</x:v>
      </x:c>
      <x:c r="U15" s="84" t="n">
        <x:f>IF(U5=0,0,U16/U5)</x:f>
        <x:v>0.063</x:v>
      </x:c>
    </x:row>
    <x:row r="16" ht="15.949999809265137" customHeight="1">
      <x:c r="A16" s="12" t="s">
        <x:v>319</x:v>
      </x:c>
      <x:c r="B16" s="76" t="n">
        <x:f>B5*B15</x:f>
        <x:v>0.018</x:v>
      </x:c>
      <x:c r="C16" s="76" t="n">
        <x:f>C5*C15</x:f>
        <x:v>0.135</x:v>
      </x:c>
      <x:c r="D16" s="76" t="n">
        <x:f>D5*D15</x:f>
        <x:v>0.24000000000000005</x:v>
      </x:c>
      <x:c r="E16" s="85" t="n">
        <x:f>SUM(B16:D16)</x:f>
        <x:v>0.393</x:v>
      </x:c>
      <x:c r="F16" s="76" t="n">
        <x:f>F5*F15</x:f>
        <x:v>6</x:v>
      </x:c>
      <x:c r="G16" s="76" t="n">
        <x:f>G5*G15</x:f>
        <x:v>22.5</x:v>
      </x:c>
      <x:c r="H16" s="76" t="n">
        <x:f>H5*H15</x:f>
        <x:v>25</x:v>
      </x:c>
      <x:c r="I16" s="85" t="n">
        <x:f>SUM(F16:H16)</x:f>
        <x:v>53.5</x:v>
      </x:c>
      <x:c r="J16" s="76" t="n">
        <x:f>J5*J15</x:f>
        <x:v>36</x:v>
      </x:c>
      <x:c r="K16" s="76" t="n">
        <x:f>K5*K15</x:f>
        <x:v>80</x:v>
      </x:c>
      <x:c r="L16" s="76" t="n">
        <x:f>L5*L15</x:f>
        <x:v>60</x:v>
      </x:c>
      <x:c r="M16" s="85" t="n">
        <x:f>SUM(J16:L16)</x:f>
        <x:v>176</x:v>
      </x:c>
      <x:c r="N16" s="76" t="n">
        <x:f>N5*N15</x:f>
        <x:v>360</x:v>
      </x:c>
      <x:c r="O16" s="76" t="n">
        <x:f>O5*O15</x:f>
        <x:v>480</x:v>
      </x:c>
      <x:c r="P16" s="76" t="n">
        <x:f>P5*P15</x:f>
        <x:v>240</x:v>
      </x:c>
      <x:c r="Q16" s="85" t="n">
        <x:f>SUM(N16:P16)</x:f>
        <x:v>1080</x:v>
      </x:c>
      <x:c r="R16" s="76" t="n">
        <x:f>R5*R15</x:f>
        <x:v>840</x:v>
      </x:c>
      <x:c r="S16" s="76" t="n">
        <x:f>S5*S15</x:f>
        <x:v>750</x:v>
      </x:c>
      <x:c r="T16" s="76" t="n">
        <x:f>T5*T15</x:f>
        <x:v>300</x:v>
      </x:c>
      <x:c r="U16" s="85" t="n">
        <x:f>SUM(R16:T16)</x:f>
        <x:v>1890</x:v>
      </x:c>
    </x:row>
    <x:row r="17" ht="15.949999809265137" customHeight="1">
      <x:c r="A17" s="12" t="s">
        <x:v>320</x:v>
      </x:c>
      <x:c r="B17" s="67" t="n">
        <x:f>Assumptions!$F$79</x:f>
        <x:v>100</x:v>
      </x:c>
      <x:c r="C17" s="67" t="n">
        <x:f>Assumptions!$F$80</x:f>
        <x:v>200</x:v>
      </x:c>
      <x:c r="D17" s="67" t="n">
        <x:f>Assumptions!$F$81</x:f>
        <x:v>500</x:v>
      </x:c>
      <x:c r="E17" s="87" t="n">
        <x:f>IF(E16=0,0,SUM(B16*B17,C16*C17,D16*D17)/E16)</x:f>
        <x:v>378.6259541984734</x:v>
      </x:c>
      <x:c r="F17" s="67" t="n">
        <x:f>Assumptions!$F$79</x:f>
        <x:v>100</x:v>
      </x:c>
      <x:c r="G17" s="67" t="n">
        <x:f>Assumptions!$F$80</x:f>
        <x:v>200</x:v>
      </x:c>
      <x:c r="H17" s="67" t="n">
        <x:f>Assumptions!$F$81</x:f>
        <x:v>500</x:v>
      </x:c>
      <x:c r="I17" s="87" t="n">
        <x:f>IF(I16=0,0,SUM(F16*F17,G16*G17,H16*H17)/I16)</x:f>
        <x:v>328.97196261682245</x:v>
      </x:c>
      <x:c r="J17" s="67" t="n">
        <x:f>Assumptions!$F$79</x:f>
        <x:v>100</x:v>
      </x:c>
      <x:c r="K17" s="67" t="n">
        <x:f>Assumptions!$F$80</x:f>
        <x:v>200</x:v>
      </x:c>
      <x:c r="L17" s="67" t="n">
        <x:f>Assumptions!$F$81</x:f>
        <x:v>500</x:v>
      </x:c>
      <x:c r="M17" s="87" t="n">
        <x:f>IF(M16=0,0,SUM(J16*J17,K16*K17,L16*L17)/M16)</x:f>
        <x:v>281.8181818181818</x:v>
      </x:c>
      <x:c r="N17" s="67" t="n">
        <x:f>Assumptions!$F$79</x:f>
        <x:v>100</x:v>
      </x:c>
      <x:c r="O17" s="67" t="n">
        <x:f>Assumptions!$F$80</x:f>
        <x:v>200</x:v>
      </x:c>
      <x:c r="P17" s="67" t="n">
        <x:f>Assumptions!$F$81</x:f>
        <x:v>500</x:v>
      </x:c>
      <x:c r="Q17" s="87" t="n">
        <x:f>IF(Q16=0,0,SUM(N16*N17,O16*O17,P16*P17)/Q16)</x:f>
        <x:v>233.33333333333334</x:v>
      </x:c>
      <x:c r="R17" s="67" t="n">
        <x:f>Assumptions!$F$79</x:f>
        <x:v>100</x:v>
      </x:c>
      <x:c r="S17" s="67" t="n">
        <x:f>Assumptions!$F$80</x:f>
        <x:v>200</x:v>
      </x:c>
      <x:c r="T17" s="67" t="n">
        <x:f>Assumptions!$F$81</x:f>
        <x:v>500</x:v>
      </x:c>
      <x:c r="U17" s="87" t="n">
        <x:f>IF(U16=0,0,SUM(R16*R17,S16*S17,T16*T17)/U16)</x:f>
        <x:v>203.17460317460316</x:v>
      </x:c>
    </x:row>
    <x:row r="18" ht="15.949999809265137" customHeight="1">
      <x:c r="A18" s="12" t="s">
        <x:v>321</x:v>
      </x:c>
      <x:c r="B18" s="56" t="n">
        <x:f>B16*B17</x:f>
        <x:v>1.7999999999999998</x:v>
      </x:c>
      <x:c r="C18" s="56" t="n">
        <x:f>C16*C17</x:f>
        <x:v>27</x:v>
      </x:c>
      <x:c r="D18" s="56" t="n">
        <x:f>D16*D17</x:f>
        <x:v>120.00000000000003</x:v>
      </x:c>
      <x:c r="E18" s="87" t="n">
        <x:f t="shared" ref="E18:E24" si="0">SUM(B18:D18)</x:f>
        <x:v>148.80000000000004</x:v>
      </x:c>
      <x:c r="F18" s="56" t="n">
        <x:f>F16*F17</x:f>
        <x:v>600</x:v>
      </x:c>
      <x:c r="G18" s="56" t="n">
        <x:f>G16*G17</x:f>
        <x:v>4500</x:v>
      </x:c>
      <x:c r="H18" s="56" t="n">
        <x:f>H16*H17</x:f>
        <x:v>12500</x:v>
      </x:c>
      <x:c r="I18" s="87" t="n">
        <x:f t="shared" ref="I18:I24" si="1">SUM(F18:H18)</x:f>
        <x:v>17600</x:v>
      </x:c>
      <x:c r="J18" s="56" t="n">
        <x:f>J16*J17</x:f>
        <x:v>3600</x:v>
      </x:c>
      <x:c r="K18" s="56" t="n">
        <x:f>K16*K17</x:f>
        <x:v>16000</x:v>
      </x:c>
      <x:c r="L18" s="56" t="n">
        <x:f>L16*L17</x:f>
        <x:v>30000</x:v>
      </x:c>
      <x:c r="M18" s="87" t="n">
        <x:f t="shared" ref="M18:M24" si="2">SUM(J18:L18)</x:f>
        <x:v>49600</x:v>
      </x:c>
      <x:c r="N18" s="56" t="n">
        <x:f>N16*N17</x:f>
        <x:v>36000</x:v>
      </x:c>
      <x:c r="O18" s="56" t="n">
        <x:f>O16*O17</x:f>
        <x:v>96000</x:v>
      </x:c>
      <x:c r="P18" s="56" t="n">
        <x:f>P16*P17</x:f>
        <x:v>120000</x:v>
      </x:c>
      <x:c r="Q18" s="87" t="n">
        <x:f t="shared" ref="Q18:Q24" si="3">SUM(N18:P18)</x:f>
        <x:v>252000</x:v>
      </x:c>
      <x:c r="R18" s="56" t="n">
        <x:f>R16*R17</x:f>
        <x:v>84000</x:v>
      </x:c>
      <x:c r="S18" s="56" t="n">
        <x:f>S16*S17</x:f>
        <x:v>150000</x:v>
      </x:c>
      <x:c r="T18" s="56" t="n">
        <x:f>T16*T17</x:f>
        <x:v>150000</x:v>
      </x:c>
      <x:c r="U18" s="87" t="n">
        <x:f t="shared" ref="U18:U24" si="4">SUM(R18:T18)</x:f>
        <x:v>384000</x:v>
      </x:c>
    </x:row>
    <x:row r="19" ht="15.949999809265137" customHeight="1">
      <x:c r="A19" s="12" t="s">
        <x:v>322</x:v>
      </x:c>
      <x:c r="B19" s="67" t="n">
        <x:f>B5*Assumptions!$F$82</x:f>
        <x:v>1.3499999999999999</x:v>
      </x:c>
      <x:c r="C19" s="67" t="n">
        <x:f>C5*Assumptions!$F$83</x:f>
        <x:v>13.5</x:v>
      </x:c>
      <x:c r="D19" s="67" t="n">
        <x:f>D5*Assumptions!$F$84</x:f>
        <x:v>180.00000000000003</x:v>
      </x:c>
      <x:c r="E19" s="87">
        <x:f t="shared" si="0"/>
        <x:v>194.85000000000002</x:v>
      </x:c>
      <x:c r="F19" s="67" t="n">
        <x:f>F5*Assumptions!$F$82</x:f>
        <x:v>450</x:v>
      </x:c>
      <x:c r="G19" s="67" t="n">
        <x:f>G5*Assumptions!$F$83</x:f>
        <x:v>2250</x:v>
      </x:c>
      <x:c r="H19" s="67" t="n">
        <x:f>H5*Assumptions!$F$84</x:f>
        <x:v>18750</x:v>
      </x:c>
      <x:c r="I19" s="87">
        <x:f t="shared" si="1"/>
        <x:v>21450</x:v>
      </x:c>
      <x:c r="J19" s="67" t="n">
        <x:f>J5*Assumptions!$F$82</x:f>
        <x:v>2700</x:v>
      </x:c>
      <x:c r="K19" s="67" t="n">
        <x:f>K5*Assumptions!$F$83</x:f>
        <x:v>8000</x:v>
      </x:c>
      <x:c r="L19" s="67" t="n">
        <x:f>L5*Assumptions!$F$84</x:f>
        <x:v>45000</x:v>
      </x:c>
      <x:c r="M19" s="87">
        <x:f t="shared" si="2"/>
        <x:v>55700</x:v>
      </x:c>
      <x:c r="N19" s="67" t="n">
        <x:f>N5*Assumptions!$F$82</x:f>
        <x:v>27000</x:v>
      </x:c>
      <x:c r="O19" s="67" t="n">
        <x:f>O5*Assumptions!$F$83</x:f>
        <x:v>48000</x:v>
      </x:c>
      <x:c r="P19" s="67" t="n">
        <x:f>P5*Assumptions!$F$84</x:f>
        <x:v>180000</x:v>
      </x:c>
      <x:c r="Q19" s="87">
        <x:f t="shared" si="3"/>
        <x:v>255000</x:v>
      </x:c>
      <x:c r="R19" s="67" t="n">
        <x:f>R5*Assumptions!$F$82</x:f>
        <x:v>63000</x:v>
      </x:c>
      <x:c r="S19" s="67" t="n">
        <x:f>S5*Assumptions!$F$83</x:f>
        <x:v>75000</x:v>
      </x:c>
      <x:c r="T19" s="67" t="n">
        <x:f>T5*Assumptions!$F$84</x:f>
        <x:v>225000</x:v>
      </x:c>
      <x:c r="U19" s="87">
        <x:f t="shared" si="4"/>
        <x:v>363000</x:v>
      </x:c>
    </x:row>
    <x:row r="20" ht="15.949999809265137" customHeight="1">
      <x:c r="A20" s="12" t="s">
        <x:v>323</x:v>
      </x:c>
      <x:c r="B20" s="67" t="n">
        <x:f>B5*Assumptions!$F$85</x:f>
        <x:v>1.3499999999999999</x:v>
      </x:c>
      <x:c r="C20" s="67" t="n">
        <x:f>C5*Assumptions!$F$86</x:f>
        <x:v>27</x:v>
      </x:c>
      <x:c r="D20" s="67" t="n">
        <x:f>D5*Assumptions!$F$87</x:f>
        <x:v>180.00000000000003</x:v>
      </x:c>
      <x:c r="E20" s="87">
        <x:f t="shared" si="0"/>
        <x:v>208.35000000000002</x:v>
      </x:c>
      <x:c r="F20" s="67" t="n">
        <x:f>F5*Assumptions!$F$85</x:f>
        <x:v>450</x:v>
      </x:c>
      <x:c r="G20" s="67" t="n">
        <x:f>G5*Assumptions!$F$86</x:f>
        <x:v>4500</x:v>
      </x:c>
      <x:c r="H20" s="67" t="n">
        <x:f>H5*Assumptions!$F$87</x:f>
        <x:v>18750</x:v>
      </x:c>
      <x:c r="I20" s="87">
        <x:f t="shared" si="1"/>
        <x:v>23700</x:v>
      </x:c>
      <x:c r="J20" s="67" t="n">
        <x:f>J5*Assumptions!$F$85</x:f>
        <x:v>2700</x:v>
      </x:c>
      <x:c r="K20" s="67" t="n">
        <x:f>K5*Assumptions!$F$86</x:f>
        <x:v>16000</x:v>
      </x:c>
      <x:c r="L20" s="67" t="n">
        <x:f>L5*Assumptions!$F$87</x:f>
        <x:v>45000</x:v>
      </x:c>
      <x:c r="M20" s="87">
        <x:f t="shared" si="2"/>
        <x:v>63700</x:v>
      </x:c>
      <x:c r="N20" s="67" t="n">
        <x:f>N5*Assumptions!$F$85</x:f>
        <x:v>27000</x:v>
      </x:c>
      <x:c r="O20" s="67" t="n">
        <x:f>O5*Assumptions!$F$86</x:f>
        <x:v>96000</x:v>
      </x:c>
      <x:c r="P20" s="67" t="n">
        <x:f>P5*Assumptions!$F$87</x:f>
        <x:v>180000</x:v>
      </x:c>
      <x:c r="Q20" s="87">
        <x:f t="shared" si="3"/>
        <x:v>303000</x:v>
      </x:c>
      <x:c r="R20" s="67" t="n">
        <x:f>R5*Assumptions!$F$85</x:f>
        <x:v>63000</x:v>
      </x:c>
      <x:c r="S20" s="67" t="n">
        <x:f>S5*Assumptions!$F$86</x:f>
        <x:v>150000</x:v>
      </x:c>
      <x:c r="T20" s="67" t="n">
        <x:f>T5*Assumptions!$F$87</x:f>
        <x:v>225000</x:v>
      </x:c>
      <x:c r="U20" s="87">
        <x:f t="shared" si="4"/>
        <x:v>438000</x:v>
      </x:c>
    </x:row>
    <x:row r="21" ht="15.949999809265137" customHeight="1">
      <x:c r="A21" s="12" t="s">
        <x:v>324</x:v>
      </x:c>
      <x:c r="B21" s="67" t="n">
        <x:f>B5*Assumptions!$F$88</x:f>
        <x:v>0.8999999999999999</x:v>
      </x:c>
      <x:c r="C21" s="67" t="n">
        <x:f>C5*Assumptions!$F$89</x:f>
        <x:v>8.100000000000001</x:v>
      </x:c>
      <x:c r="D21" s="67" t="n">
        <x:f>D5*Assumptions!$F$90</x:f>
        <x:v>24.000000000000004</x:v>
      </x:c>
      <x:c r="E21" s="87">
        <x:f t="shared" si="0"/>
        <x:v>33.000000000000007</x:v>
      </x:c>
      <x:c r="F21" s="67" t="n">
        <x:f>F5*Assumptions!$F$88</x:f>
        <x:v>300</x:v>
      </x:c>
      <x:c r="G21" s="67" t="n">
        <x:f>G5*Assumptions!$F$89</x:f>
        <x:v>1350</x:v>
      </x:c>
      <x:c r="H21" s="67" t="n">
        <x:f>H5*Assumptions!$F$90</x:f>
        <x:v>2500</x:v>
      </x:c>
      <x:c r="I21" s="87">
        <x:f t="shared" si="1"/>
        <x:v>4150</x:v>
      </x:c>
      <x:c r="J21" s="67" t="n">
        <x:f>J5*Assumptions!$F$88</x:f>
        <x:v>1800</x:v>
      </x:c>
      <x:c r="K21" s="67" t="n">
        <x:f>K5*Assumptions!$F$89</x:f>
        <x:v>4800</x:v>
      </x:c>
      <x:c r="L21" s="67" t="n">
        <x:f>L5*Assumptions!$F$90</x:f>
        <x:v>6000</x:v>
      </x:c>
      <x:c r="M21" s="87">
        <x:f t="shared" si="2"/>
        <x:v>12600</x:v>
      </x:c>
      <x:c r="N21" s="67" t="n">
        <x:f>N5*Assumptions!$F$88</x:f>
        <x:v>18000</x:v>
      </x:c>
      <x:c r="O21" s="67" t="n">
        <x:f>O5*Assumptions!$F$89</x:f>
        <x:v>28800</x:v>
      </x:c>
      <x:c r="P21" s="67" t="n">
        <x:f>P5*Assumptions!$F$90</x:f>
        <x:v>24000</x:v>
      </x:c>
      <x:c r="Q21" s="87">
        <x:f t="shared" si="3"/>
        <x:v>70800</x:v>
      </x:c>
      <x:c r="R21" s="67" t="n">
        <x:f>R5*Assumptions!$F$88</x:f>
        <x:v>42000</x:v>
      </x:c>
      <x:c r="S21" s="67" t="n">
        <x:f>S5*Assumptions!$F$89</x:f>
        <x:v>45000</x:v>
      </x:c>
      <x:c r="T21" s="67" t="n">
        <x:f>T5*Assumptions!$F$90</x:f>
        <x:v>30000</x:v>
      </x:c>
      <x:c r="U21" s="87">
        <x:f t="shared" si="4"/>
        <x:v>117000</x:v>
      </x:c>
    </x:row>
    <x:row r="22" ht="15.949999809265137" customHeight="1">
      <x:c r="A22" s="12" t="s">
        <x:v>325</x:v>
      </x:c>
      <x:c r="B22" s="67" t="n">
        <x:f>B16*Assumptions!$F$94</x:f>
        <x:v>1.0799999999999998</x:v>
      </x:c>
      <x:c r="C22" s="67" t="n">
        <x:f>C16*Assumptions!$F$95</x:f>
        <x:v>16.200000000000003</x:v>
      </x:c>
      <x:c r="D22" s="67" t="n">
        <x:f>D16*Assumptions!$F$96</x:f>
        <x:v>84.00000000000001</x:v>
      </x:c>
      <x:c r="E22" s="87">
        <x:f t="shared" si="0"/>
        <x:v>101.28000000000002</x:v>
      </x:c>
      <x:c r="F22" s="67" t="n">
        <x:f>F16*Assumptions!$F$94</x:f>
        <x:v>360</x:v>
      </x:c>
      <x:c r="G22" s="67" t="n">
        <x:f>G16*Assumptions!$F$95</x:f>
        <x:v>2700</x:v>
      </x:c>
      <x:c r="H22" s="67" t="n">
        <x:f>H16*Assumptions!$F$96</x:f>
        <x:v>8750</x:v>
      </x:c>
      <x:c r="I22" s="87">
        <x:f t="shared" si="1"/>
        <x:v>11810</x:v>
      </x:c>
      <x:c r="J22" s="67" t="n">
        <x:f>J16*Assumptions!$F$94</x:f>
        <x:v>2160</x:v>
      </x:c>
      <x:c r="K22" s="67" t="n">
        <x:f>K16*Assumptions!$F$95</x:f>
        <x:v>9600</x:v>
      </x:c>
      <x:c r="L22" s="67" t="n">
        <x:f>L16*Assumptions!$F$96</x:f>
        <x:v>21000</x:v>
      </x:c>
      <x:c r="M22" s="87">
        <x:f t="shared" si="2"/>
        <x:v>32760</x:v>
      </x:c>
      <x:c r="N22" s="67" t="n">
        <x:f>N16*Assumptions!$F$94</x:f>
        <x:v>21600</x:v>
      </x:c>
      <x:c r="O22" s="67" t="n">
        <x:f>O16*Assumptions!$F$95</x:f>
        <x:v>57600</x:v>
      </x:c>
      <x:c r="P22" s="67" t="n">
        <x:f>P16*Assumptions!$F$96</x:f>
        <x:v>84000</x:v>
      </x:c>
      <x:c r="Q22" s="87">
        <x:f t="shared" si="3"/>
        <x:v>163200</x:v>
      </x:c>
      <x:c r="R22" s="67" t="n">
        <x:f>R16*Assumptions!$F$94</x:f>
        <x:v>50400</x:v>
      </x:c>
      <x:c r="S22" s="67" t="n">
        <x:f>S16*Assumptions!$F$95</x:f>
        <x:v>90000</x:v>
      </x:c>
      <x:c r="T22" s="67" t="n">
        <x:f>T16*Assumptions!$F$96</x:f>
        <x:v>105000</x:v>
      </x:c>
      <x:c r="U22" s="87">
        <x:f t="shared" si="4"/>
        <x:v>245400</x:v>
      </x:c>
    </x:row>
    <x:row r="23" ht="15.949999809265137" customHeight="1">
      <x:c r="A23" s="22" t="s">
        <x:v>326</x:v>
      </x:c>
      <x:c r="B23" s="88" t="n">
        <x:f>SUM(B19:B22)</x:f>
        <x:v>4.68</x:v>
      </x:c>
      <x:c r="C23" s="88" t="n">
        <x:f>SUM(C19:C22)</x:f>
        <x:v>64.80000000000001</x:v>
      </x:c>
      <x:c r="D23" s="88" t="n">
        <x:f>SUM(D19:D22)</x:f>
        <x:v>468.00000000000006</x:v>
      </x:c>
      <x:c r="E23" s="89">
        <x:f t="shared" si="0"/>
        <x:v>537.48</x:v>
      </x:c>
      <x:c r="F23" s="88" t="n">
        <x:f>SUM(F19:F22)</x:f>
        <x:v>1560</x:v>
      </x:c>
      <x:c r="G23" s="88" t="n">
        <x:f>SUM(G19:G22)</x:f>
        <x:v>10800</x:v>
      </x:c>
      <x:c r="H23" s="88" t="n">
        <x:f>SUM(H19:H22)</x:f>
        <x:v>48750</x:v>
      </x:c>
      <x:c r="I23" s="89">
        <x:f t="shared" si="1"/>
        <x:v>61110</x:v>
      </x:c>
      <x:c r="J23" s="88" t="n">
        <x:f>SUM(J19:J22)</x:f>
        <x:v>9360</x:v>
      </x:c>
      <x:c r="K23" s="88" t="n">
        <x:f>SUM(K19:K22)</x:f>
        <x:v>38400</x:v>
      </x:c>
      <x:c r="L23" s="88" t="n">
        <x:f>SUM(L19:L22)</x:f>
        <x:v>117000</x:v>
      </x:c>
      <x:c r="M23" s="89">
        <x:f t="shared" si="2"/>
        <x:v>164760</x:v>
      </x:c>
      <x:c r="N23" s="88" t="n">
        <x:f>SUM(N19:N22)</x:f>
        <x:v>93600</x:v>
      </x:c>
      <x:c r="O23" s="88" t="n">
        <x:f>SUM(O19:O22)</x:f>
        <x:v>230400</x:v>
      </x:c>
      <x:c r="P23" s="88" t="n">
        <x:f>SUM(P19:P22)</x:f>
        <x:v>468000</x:v>
      </x:c>
      <x:c r="Q23" s="89">
        <x:f t="shared" si="3"/>
        <x:v>792000</x:v>
      </x:c>
      <x:c r="R23" s="88" t="n">
        <x:f>SUM(R19:R22)</x:f>
        <x:v>218400</x:v>
      </x:c>
      <x:c r="S23" s="88" t="n">
        <x:f>SUM(S19:S22)</x:f>
        <x:v>360000</x:v>
      </x:c>
      <x:c r="T23" s="88" t="n">
        <x:f>SUM(T19:T22)</x:f>
        <x:v>585000</x:v>
      </x:c>
      <x:c r="U23" s="89">
        <x:f t="shared" si="4"/>
        <x:v>1163400</x:v>
      </x:c>
    </x:row>
    <x:row r="24" ht="15.949999809265137" customHeight="1">
      <x:c r="A24" s="22" t="s">
        <x:v>327</x:v>
      </x:c>
      <x:c r="B24" s="88" t="n">
        <x:f>SUM(B12,B14,B18)</x:f>
        <x:v>139.04999999999998</x:v>
      </x:c>
      <x:c r="C24" s="88" t="n">
        <x:f>SUM(C12,C14,C18)</x:f>
        <x:v>756</x:v>
      </x:c>
      <x:c r="D24" s="88" t="n">
        <x:f>SUM(D12,D14,D18)</x:f>
        <x:v>1560.0000000000002</x:v>
      </x:c>
      <x:c r="E24" s="89">
        <x:f t="shared" si="0"/>
        <x:v>2455.0500000000002</x:v>
      </x:c>
      <x:c r="F24" s="88" t="n">
        <x:f>SUM(F12,F14,F18)</x:f>
        <x:v>50550</x:v>
      </x:c>
      <x:c r="G24" s="88" t="n">
        <x:f>SUM(G12,G14,G18)</x:f>
        <x:v>134100</x:v>
      </x:c>
      <x:c r="H24" s="88" t="n">
        <x:f>SUM(H12,H14,H18)</x:f>
        <x:v>168125</x:v>
      </x:c>
      <x:c r="I24" s="89">
        <x:f t="shared" si="1"/>
        <x:v>352775</x:v>
      </x:c>
      <x:c r="J24" s="88" t="n">
        <x:f>SUM(J12,J14,J18)</x:f>
        <x:v>331020.00000000006</x:v>
      </x:c>
      <x:c r="K24" s="88" t="n">
        <x:f>SUM(K12,K14,K18)</x:f>
        <x:v>507904</x:v>
      </x:c>
      <x:c r="L24" s="88" t="n">
        <x:f>SUM(L12,L14,L18)</x:f>
        <x:v>417675</x:v>
      </x:c>
      <x:c r="M24" s="89">
        <x:f t="shared" si="2"/>
        <x:v>1256599</x:v>
      </x:c>
      <x:c r="N24" s="88" t="n">
        <x:f>SUM(N12,N14,N18)</x:f>
        <x:v>3615120.000000001</x:v>
      </x:c>
      <x:c r="O24" s="88" t="n">
        <x:f>SUM(O12,O14,O18)</x:f>
        <x:v>3248977.920000001</x:v>
      </x:c>
      <x:c r="P24" s="88" t="n">
        <x:f>SUM(P12,P14,P18)</x:f>
        <x:v>1730235.0000000002</x:v>
      </x:c>
      <x:c r="Q24" s="89">
        <x:f t="shared" si="3"/>
        <x:v>8594332.9200000018</x:v>
      </x:c>
      <x:c r="R24" s="88" t="n">
        <x:f>SUM(R12,R14,R18)</x:f>
        <x:v>9217908.000000004</x:v>
      </x:c>
      <x:c r="S24" s="88" t="n">
        <x:f>SUM(S12,S14,S18)</x:f>
        <x:v>5416650.24</x:v>
      </x:c>
      <x:c r="T24" s="88" t="n">
        <x:f>SUM(T12,T14,T18)</x:f>
        <x:v>2240933.4375000005</x:v>
      </x:c>
      <x:c r="U24" s="89">
        <x:f t="shared" si="4"/>
        <x:v>16875491.677500002</x:v>
      </x:c>
    </x:row>
    <x:row r="25" ht="15.949999809265137" customHeight="1">
      <x:c r="A25" s="22" t="s">
        <x:v>328</x:v>
      </x:c>
      <x:c r="B25" s="88" t="n">
        <x:f t="shared" ref="B25:U25" si="5">B24-B23</x:f>
        <x:v>134.36999999999998</x:v>
      </x:c>
      <x:c r="C25" s="88">
        <x:f t="shared" si="5"/>
        <x:v>691.2</x:v>
      </x:c>
      <x:c r="D25" s="88">
        <x:f t="shared" si="5"/>
        <x:v>1092.0000000000002</x:v>
      </x:c>
      <x:c r="E25" s="89">
        <x:f t="shared" si="5"/>
        <x:v>1917.5700000000002</x:v>
      </x:c>
      <x:c r="F25" s="88">
        <x:f t="shared" si="5"/>
        <x:v>48990</x:v>
      </x:c>
      <x:c r="G25" s="88">
        <x:f t="shared" si="5"/>
        <x:v>123300</x:v>
      </x:c>
      <x:c r="H25" s="88">
        <x:f t="shared" si="5"/>
        <x:v>119375</x:v>
      </x:c>
      <x:c r="I25" s="89">
        <x:f t="shared" si="5"/>
        <x:v>291665</x:v>
      </x:c>
      <x:c r="J25" s="88">
        <x:f t="shared" si="5"/>
        <x:v>321660.00000000006</x:v>
      </x:c>
      <x:c r="K25" s="88">
        <x:f t="shared" si="5"/>
        <x:v>469504</x:v>
      </x:c>
      <x:c r="L25" s="88">
        <x:f t="shared" si="5"/>
        <x:v>300675</x:v>
      </x:c>
      <x:c r="M25" s="89">
        <x:f t="shared" si="5"/>
        <x:v>1091839</x:v>
      </x:c>
      <x:c r="N25" s="88">
        <x:f t="shared" si="5"/>
        <x:v>3521520.0000000009</x:v>
      </x:c>
      <x:c r="O25" s="88">
        <x:f t="shared" si="5"/>
        <x:v>3018577.9200000009</x:v>
      </x:c>
      <x:c r="P25" s="88">
        <x:f t="shared" si="5"/>
        <x:v>1262235.0000000002</x:v>
      </x:c>
      <x:c r="Q25" s="89">
        <x:f t="shared" si="5"/>
        <x:v>7802332.9200000018</x:v>
      </x:c>
      <x:c r="R25" s="88">
        <x:f t="shared" si="5"/>
        <x:v>8999508.0000000037</x:v>
      </x:c>
      <x:c r="S25" s="88">
        <x:f t="shared" si="5"/>
        <x:v>5056650.24</x:v>
      </x:c>
      <x:c r="T25" s="88">
        <x:f t="shared" si="5"/>
        <x:v>1655933.4375</x:v>
      </x:c>
      <x:c r="U25" s="89">
        <x:f t="shared" si="5"/>
        <x:v>15712091.677500002</x:v>
      </x:c>
    </x:row>
    <x:row r="26" ht="15.949999809265137" customHeight="1">
      <x:c r="A26" s="12" t="s">
        <x:v>329</x:v>
      </x:c>
      <x:c r="B26" s="82" t="n">
        <x:f t="shared" ref="B26:U26" si="6">IF(B24=0,0,B25/B24)</x:f>
        <x:v>0.9663430420711974</x:v>
      </x:c>
      <x:c r="C26" s="82">
        <x:f t="shared" si="6"/>
        <x:v>0.91428571428571437</x:v>
      </x:c>
      <x:c r="D26" s="82">
        <x:f t="shared" si="6"/>
        <x:v>0.70000000000000007</x:v>
      </x:c>
      <x:c r="E26" s="84">
        <x:f t="shared" si="6"/>
        <x:v>0.78107166860145416</x:v>
      </x:c>
      <x:c r="F26" s="82">
        <x:f t="shared" si="6"/>
        <x:v>0.96913946587537092</x:v>
      </x:c>
      <x:c r="G26" s="82">
        <x:f t="shared" si="6"/>
        <x:v>0.91946308724832215</x:v>
      </x:c>
      <x:c r="H26" s="82">
        <x:f t="shared" si="6"/>
        <x:v>0.71003717472118955</x:v>
      </x:c>
      <x:c r="I26" s="84">
        <x:f t="shared" si="6"/>
        <x:v>0.82677343916093826</x:v>
      </x:c>
      <x:c r="J26" s="82">
        <x:f t="shared" si="6"/>
        <x:v>0.97172376291462748</x:v>
      </x:c>
      <x:c r="K26" s="82">
        <x:f t="shared" si="6"/>
        <x:v>0.92439516129032262</x:v>
      </x:c>
      <x:c r="L26" s="82">
        <x:f t="shared" si="6"/>
        <x:v>0.71987789549290715</x:v>
      </x:c>
      <x:c r="M26" s="84">
        <x:f t="shared" si="6"/>
        <x:v>0.86888418660209021</x:v>
      </x:c>
      <x:c r="N26" s="82">
        <x:f t="shared" si="6"/>
        <x:v>0.97410874327823138</x:v>
      </x:c>
      <x:c r="O26" s="82">
        <x:f t="shared" si="6"/>
        <x:v>0.92908539064494478</x:v>
      </x:c>
      <x:c r="P26" s="82">
        <x:f t="shared" si="6"/>
        <x:v>0.72951651076298885</x:v>
      </x:c>
      <x:c r="Q26" s="84">
        <x:f t="shared" si="6"/>
        <x:v>0.90784625085247461</x:v>
      </x:c>
      <x:c r="R26" s="82">
        <x:f t="shared" si="6"/>
        <x:v>0.97630698852711484</x:v>
      </x:c>
      <x:c r="S26" s="82">
        <x:f t="shared" si="6"/>
        <x:v>0.93353825998556628</x:v>
      </x:c>
      <x:c r="T26" s="82">
        <x:f t="shared" si="6"/>
        <x:v>0.73894806949168923</x:v>
      </x:c>
      <x:c r="U26" s="84">
        <x:f t="shared" si="6"/>
        <x:v>0.93105978645047982</x:v>
      </x:c>
    </x:row>
    <x:row r="27" ht="15.949999809265137" customHeight="1">
      <x:c r="A27" s="12" t="str">
        <x:v>Tier mix sums check</x:v>
      </x:c>
      <x:c r="B27" s="68"/>
      <x:c r="C27" s="68"/>
      <x:c r="D27" s="68"/>
      <x:c r="E27" s="86" t="str">
        <x:f>IF(ABS(E4-1)&lt;0.0001,"OK","CHECK MIX")</x:f>
        <x:v>OK</x:v>
      </x:c>
      <x:c r="F27" s="68"/>
      <x:c r="G27" s="68"/>
      <x:c r="H27" s="68"/>
      <x:c r="I27" s="86" t="str">
        <x:f>IF(ABS(I4-1)&lt;0.0001,"OK","CHECK MIX")</x:f>
        <x:v>OK</x:v>
      </x:c>
      <x:c r="J27" s="68"/>
      <x:c r="K27" s="68"/>
      <x:c r="L27" s="68"/>
      <x:c r="M27" s="86" t="str">
        <x:f>IF(ABS(M4-1)&lt;0.0001,"OK","CHECK MIX")</x:f>
        <x:v>OK</x:v>
      </x:c>
      <x:c r="N27" s="68"/>
      <x:c r="O27" s="68"/>
      <x:c r="P27" s="68"/>
      <x:c r="Q27" s="86" t="str">
        <x:f>IF(ABS(Q4-1)&lt;0.0001,"OK","CHECK MIX")</x:f>
        <x:v>OK</x:v>
      </x:c>
      <x:c r="R27" s="68"/>
      <x:c r="S27" s="68"/>
      <x:c r="T27" s="68"/>
      <x:c r="U27" s="86" t="str">
        <x:f>IF(ABS(U4-1)&lt;0.0001,"OK","CHECK MIX")</x:f>
        <x:v>OK</x:v>
      </x:c>
    </x:row>
    <x:row r="28" ht="3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</x:row>
    <x:row r="29" ht="3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</x:row>
    <x:row r="30" ht="3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</x:row>
    <x:row r="31" ht="12" customHeight="1"/>
    <x:row r="32" ht="21" customHeight="1">
      <x:c r="A32" s="179" t="s">
        <x:v>330</x:v>
      </x:c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 t="s">
        <x:v>255</x:v>
      </x:c>
      <x:c r="R32" s="179"/>
      <x:c r="S32" s="179"/>
      <x:c r="T32" s="179"/>
      <x:c r="U32" s="179"/>
    </x:row>
    <x:row r="33" ht="30" customHeight="1">
      <x:c r="A33" s="195" t="s">
        <x:v>331</x:v>
      </x:c>
      <x:c r="B33" s="183"/>
      <x:c r="C33" s="183"/>
      <x:c r="D33" s="183"/>
      <x:c r="E33" s="183"/>
      <x:c r="F33" s="183"/>
      <x:c r="G33" s="183"/>
      <x:c r="H33" s="183"/>
      <x:c r="I33" s="183"/>
      <x:c r="J33" s="183"/>
      <x:c r="K33" s="183"/>
      <x:c r="L33" s="183"/>
      <x:c r="M33" s="183"/>
      <x:c r="N33" s="183"/>
      <x:c r="O33" s="183"/>
      <x:c r="P33" s="183"/>
      <x:c r="Q33" s="194" t="s">
        <x:v>332</x:v>
      </x:c>
      <x:c r="R33" s="183"/>
      <x:c r="S33" s="183"/>
      <x:c r="T33" s="183"/>
      <x:c r="U33" s="183"/>
    </x:row>
    <x:row r="34" ht="30" customHeight="1">
      <x:c r="A34" s="195" t="s">
        <x:v>333</x:v>
      </x:c>
      <x:c r="B34" s="183"/>
      <x:c r="C34" s="183"/>
      <x:c r="D34" s="183"/>
      <x:c r="E34" s="183"/>
      <x:c r="F34" s="183"/>
      <x:c r="G34" s="183"/>
      <x:c r="H34" s="183"/>
      <x:c r="I34" s="183"/>
      <x:c r="J34" s="183"/>
      <x:c r="K34" s="183"/>
      <x:c r="L34" s="183"/>
      <x:c r="M34" s="183"/>
      <x:c r="N34" s="183"/>
      <x:c r="O34" s="183"/>
      <x:c r="P34" s="183"/>
      <x:c r="Q34" s="194" t="s">
        <x:v>334</x:v>
      </x:c>
      <x:c r="R34" s="183"/>
      <x:c r="S34" s="183"/>
      <x:c r="T34" s="183"/>
      <x:c r="U34" s="183"/>
    </x:row>
    <x:row r="35" ht="30" customHeight="1">
      <x:c r="A35" s="195" t="s">
        <x:v>335</x:v>
      </x:c>
      <x:c r="B35" s="183"/>
      <x:c r="C35" s="183"/>
      <x:c r="D35" s="183"/>
      <x:c r="E35" s="183"/>
      <x:c r="F35" s="183"/>
      <x:c r="G35" s="183"/>
      <x:c r="H35" s="183"/>
      <x:c r="I35" s="183"/>
      <x:c r="J35" s="183"/>
      <x:c r="K35" s="183"/>
      <x:c r="L35" s="183"/>
      <x:c r="M35" s="183"/>
      <x:c r="N35" s="183"/>
      <x:c r="O35" s="183"/>
      <x:c r="P35" s="183"/>
      <x:c r="Q35" s="194" t="s">
        <x:v>336</x:v>
      </x:c>
      <x:c r="R35" s="183"/>
      <x:c r="S35" s="183"/>
      <x:c r="T35" s="183"/>
      <x:c r="U35" s="183"/>
    </x:row>
  </x:sheetData>
  <x:mergeCells>
    <x:mergeCell ref="A34:P34"/>
    <x:mergeCell ref="Q34:U34"/>
    <x:mergeCell ref="A35:P35"/>
    <x:mergeCell ref="Q35:U35"/>
    <x:mergeCell ref="A1:M1"/>
    <x:mergeCell ref="A32:P32"/>
    <x:mergeCell ref="Q32:U32"/>
    <x:mergeCell ref="A33:P33"/>
    <x:mergeCell ref="Q33:U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6F4E"/>
  </x:sheetPr>
  <x:sheetViews>
    <x:sheetView showGridLines="0" workbookViewId="0"/>
  </x:sheetViews>
  <x:sheetFormatPr defaultColWidth="8.5703125" defaultRowHeight="12.75"/>
  <x:cols>
    <x:col min="1" max="1" width="46" customWidth="1"/>
    <x:col min="2" max="6" width="15" customWidth="1"/>
    <x:col min="7" max="7" width="66" customWidth="1"/>
  </x:cols>
  <x:sheetData>
    <x:row r="1" ht="27.950000762939453" customHeight="1">
      <x:c r="A1" s="197" t="str">
        <x:v>Revenue and operating-risk support</x:v>
      </x:c>
      <x:c r="B1" s="199"/>
      <x:c r="C1" s="199"/>
      <x:c r="D1" s="199"/>
      <x:c r="E1" s="199"/>
      <x:c r="F1" s="2"/>
      <x:c r="G1" s="2"/>
    </x:row>
    <x:row r="2" ht="18" customHeight="1">
      <x:c r="A2" s="205" t="str">
        <x:v>Calculation support only. The P&amp;L presents three revenue categories and consolidated security / resilience costs.</x:v>
      </x:c>
      <x:c r="B2" s="205"/>
      <x:c r="C2" s="205"/>
      <x:c r="D2" s="205"/>
      <x:c r="E2" s="205"/>
      <x:c r="F2" s="207"/>
      <x:c r="G2" s="207"/>
    </x:row>
    <x:row r="3" ht="21.950000762939453" customHeight="1">
      <x:c r="A3" s="10" t="s">
        <x:v>337</x:v>
      </x:c>
      <x:c r="B3" s="9" t="s">
        <x:v>203</x:v>
      </x:c>
      <x:c r="C3" s="9" t="s">
        <x:v>204</x:v>
      </x:c>
      <x:c r="D3" s="9" t="s">
        <x:v>205</x:v>
      </x:c>
      <x:c r="E3" s="9" t="s">
        <x:v>206</x:v>
      </x:c>
      <x:c r="F3" s="9" t="s">
        <x:v>207</x:v>
      </x:c>
      <x:c r="G3" s="10" t="s">
        <x:v>338</x:v>
      </x:c>
    </x:row>
    <x:row r="4" ht="20.100000381469727" customHeight="1">
      <x:c r="A4" s="5" t="str">
        <x:v>ANCILLARY REVENUE — SUPPORTING DETAIL</x:v>
      </x:c>
      <x:c r="B4" s="5"/>
      <x:c r="C4" s="5"/>
      <x:c r="D4" s="5"/>
      <x:c r="E4" s="5"/>
      <x:c r="F4" s="5"/>
      <x:c r="G4" s="5"/>
    </x:row>
    <x:row r="5" ht="15.949999809265137" customHeight="1">
      <x:c r="A5" s="211" t="str">
        <x:v>Less: launch discounts and credits</x:v>
      </x:c>
      <x:c r="B5" s="219" t="n">
        <x:f>IFERROR(ROUND(-'P&amp;L 5yr'!C70*('P&amp;L 5yr'!C14/'P&amp;L 5yr'!C7)*Assumptions!$F$112,0),0)</x:f>
        <x:v>-302</x:v>
      </x:c>
      <x:c r="C5" s="219" t="n">
        <x:f>IFERROR(ROUND(-MAX(0,'P&amp;L 5yr'!D70-'P&amp;L 5yr'!C70)*('P&amp;L 5yr'!D14/'P&amp;L 5yr'!D7)*Assumptions!$F$112,0),0)</x:f>
        <x:v>-33936</x:v>
      </x:c>
      <x:c r="D5" s="219" t="n">
        <x:f>IFERROR(ROUND(-MAX(0,'P&amp;L 5yr'!E70-'P&amp;L 5yr'!D70)*('P&amp;L 5yr'!E14/'P&amp;L 5yr'!E7)*Assumptions!$F$112,0),0)</x:f>
        <x:v>-53255</x:v>
      </x:c>
      <x:c r="E5" s="219" t="n">
        <x:f>IFERROR(ROUND(-MAX(0,'P&amp;L 5yr'!F70-'P&amp;L 5yr'!E70)*('P&amp;L 5yr'!F14/'P&amp;L 5yr'!F7)*Assumptions!$F$112,0),0)</x:f>
        <x:v>-376441</x:v>
      </x:c>
      <x:c r="F5" s="219" t="n">
        <x:f>IFERROR(ROUND(-MAX(0,'P&amp;L 5yr'!G70-'P&amp;L 5yr'!F70)*('P&amp;L 5yr'!G14/'P&amp;L 5yr'!G7)*Assumptions!$F$112,0),0)</x:f>
        <x:v>-278278</x:v>
      </x:c>
      <x:c r="G5" s="213" t="str">
        <x:v>Contra-revenue shown separately in the P&amp;L.</x:v>
      </x:c>
    </x:row>
    <x:row r="6" ht="15.949999809265137" customHeight="1">
      <x:c r="A6" s="211" t="str">
        <x:v>Document and exception services</x:v>
      </x:c>
      <x:c r="B6" s="219" t="n">
        <x:f>(ROUND('Tier Economics'!C5*Assumptions!$F$113*Assumptions!$F$115+'Tier Economics'!D5*Assumptions!$F$114*Assumptions!$F$116,0))+(ROUND('P&amp;L 5yr'!C11*Assumptions!$F$117,0))+(ROUND('Tier Economics'!D19*Assumptions!$F$118,0))+(ROUND('Tier Economics'!D5*Assumptions!$F$119,0))+(ROUND('P&amp;L 5yr'!C12*Assumptions!$F$121*Assumptions!$F$120,0))+(ROUND('P&amp;L 5yr'!C7*Assumptions!$F$124,0))</x:f>
        <x:v>296</x:v>
      </x:c>
      <x:c r="C6" s="219" t="n">
        <x:f>(ROUND('Tier Economics'!G5*Assumptions!$F$113*Assumptions!$F$115+'Tier Economics'!H5*Assumptions!$F$114*Assumptions!$F$116,0))+(ROUND('P&amp;L 5yr'!D11*Assumptions!$F$117,0))+(ROUND('Tier Economics'!H19*Assumptions!$F$118,0))+(ROUND('Tier Economics'!H5*Assumptions!$F$119,0))+(ROUND('P&amp;L 5yr'!D12*Assumptions!$F$121*Assumptions!$F$120,0))+(ROUND('P&amp;L 5yr'!D7*Assumptions!$F$124,0))</x:f>
        <x:v>36210</x:v>
      </x:c>
      <x:c r="D6" s="219" t="n">
        <x:f>(ROUND('Tier Economics'!K5*Assumptions!$F$113*Assumptions!$F$115+'Tier Economics'!L5*Assumptions!$F$114*Assumptions!$F$116,0))+(ROUND('P&amp;L 5yr'!E11*Assumptions!$F$117,0))+(ROUND('Tier Economics'!L19*Assumptions!$F$118,0))+(ROUND('Tier Economics'!L5*Assumptions!$F$119,0))+(ROUND('P&amp;L 5yr'!E12*Assumptions!$F$121*Assumptions!$F$120,0))+(ROUND('P&amp;L 5yr'!E7*Assumptions!$F$124,0))</x:f>
        <x:v>108060</x:v>
      </x:c>
      <x:c r="E6" s="219" t="n">
        <x:f>(ROUND('Tier Economics'!O5*Assumptions!$F$113*Assumptions!$F$115+'Tier Economics'!P5*Assumptions!$F$114*Assumptions!$F$116,0))+(ROUND('P&amp;L 5yr'!F11*Assumptions!$F$117,0))+(ROUND('Tier Economics'!P19*Assumptions!$F$118,0))+(ROUND('Tier Economics'!P5*Assumptions!$F$119,0))+(ROUND('P&amp;L 5yr'!F12*Assumptions!$F$121*Assumptions!$F$120,0))+(ROUND('P&amp;L 5yr'!F7*Assumptions!$F$124,0))</x:f>
        <x:v>604800</x:v>
      </x:c>
      <x:c r="F6" s="219" t="n">
        <x:f>(ROUND('Tier Economics'!S5*Assumptions!$F$113*Assumptions!$F$115+'Tier Economics'!T5*Assumptions!$F$114*Assumptions!$F$116,0))+(ROUND('P&amp;L 5yr'!G11*Assumptions!$F$117,0))+(ROUND('Tier Economics'!T19*Assumptions!$F$118,0))+(ROUND('Tier Economics'!T5*Assumptions!$F$119,0))+(ROUND('P&amp;L 5yr'!G12*Assumptions!$F$121*Assumptions!$F$120,0))+(ROUND('P&amp;L 5yr'!G7*Assumptions!$F$124,0))</x:f>
        <x:v>1013400</x:v>
      </x:c>
      <x:c r="G6" s="213" t="str">
        <x:v>Expedited review, onboarding, pass-through, cure / waiver and archive fees.</x:v>
      </x:c>
    </x:row>
    <x:row r="7" ht="15.949999809265137" customHeight="1">
      <x:c r="A7" s="211" t="str">
        <x:v>Partner / API services</x:v>
      </x:c>
      <x:c r="B7" s="219" t="n">
        <x:f>(ROUND(0,0))+(ROUND(0,0))</x:f>
        <x:v>0</x:v>
      </x:c>
      <x:c r="C7" s="219" t="n">
        <x:f>(ROUND(Assumptions!$F$14*Assumptions!$F$122,0))+(ROUND(Assumptions!$F$14*Assumptions!$F$123*12,0))</x:f>
        <x:v>49500</x:v>
      </x:c>
      <x:c r="D7" s="219" t="n">
        <x:f>(ROUND(MAX(0,Assumptions!$F$110-Assumptions!$F$14)*Assumptions!$F$122,0))+(ROUND(Assumptions!$F$110*Assumptions!$F$123*12,0))</x:f>
        <x:v>76500</x:v>
      </x:c>
      <x:c r="E7" s="219" t="n">
        <x:f>(ROUND(MAX(0,Assumptions!$F$155-Assumptions!$F$110)*Assumptions!$F$122,0))+(ROUND(Assumptions!$F$155*Assumptions!$F$123*12,0))</x:f>
        <x:v>120000</x:v>
      </x:c>
      <x:c r="F7" s="219" t="n">
        <x:f>(ROUND(MAX(0,Assumptions!$F$156-Assumptions!$F$155)*Assumptions!$F$122,0))+(ROUND(Assumptions!$F$156*Assumptions!$F$123*12,0))</x:f>
        <x:v>222000</x:v>
      </x:c>
      <x:c r="G7" s="213" t="str">
        <x:v>Partner setup and committed-volume fees.</x:v>
      </x:c>
    </x:row>
    <x:row r="8" ht="15.949999809265137" customHeight="1">
      <x:c r="A8" s="231" t="str">
        <x:v>Net ancillary revenue</x:v>
      </x:c>
      <x:c r="B8" s="232" t="n">
        <x:f>SUM(B5:B7)</x:f>
        <x:v>-6</x:v>
      </x:c>
      <x:c r="C8" s="232" t="n">
        <x:f>SUM(C5:C7)</x:f>
        <x:v>51774</x:v>
      </x:c>
      <x:c r="D8" s="232" t="n">
        <x:f>SUM(D5:D7)</x:f>
        <x:v>131305</x:v>
      </x:c>
      <x:c r="E8" s="232" t="n">
        <x:f>SUM(E5:E7)</x:f>
        <x:v>348359</x:v>
      </x:c>
      <x:c r="F8" s="232" t="n">
        <x:f>SUM(F5:F7)</x:f>
        <x:v>957122</x:v>
      </x:c>
      <x:c r="G8" s="233" t="str">
        <x:v>Supporting components consolidated into the P&amp;L revenue presentation.</x:v>
      </x:c>
    </x:row>
    <x:row r="9" ht="6" customHeight="1">
      <x:c r="A9"/>
      <x:c r="B9" s="221"/>
      <x:c r="C9" s="221"/>
      <x:c r="D9" s="221"/>
      <x:c r="E9" s="221"/>
      <x:c r="F9" s="221"/>
      <x:c r="G9"/>
    </x:row>
    <x:row r="10" ht="15.949999809265137" customHeight="1">
      <x:c r="A10" s="12" t="str">
        <x:v>EXCEPTION &amp; OPERATING-RISK COSTS — SUPPORTING DETAIL</x:v>
      </x:c>
      <x:c r="B10" s="220"/>
      <x:c r="C10" s="220"/>
      <x:c r="D10" s="220"/>
      <x:c r="E10" s="220"/>
      <x:c r="F10" s="220"/>
      <x:c r="G10" s="32"/>
    </x:row>
    <x:row r="11" ht="15.949999809265137" customHeight="1">
      <x:c r="A11" s="211" t="str">
        <x:v>Enhanced review and external disputes</x:v>
      </x:c>
      <x:c r="B11" s="219" t="n">
        <x:f>(ROUND('P&amp;L 5yr'!C12*Assumptions!$F$131*Assumptions!$F$132+'P&amp;L 5yr'!C7*Assumptions!$F$176*Assumptions!$F$181,0))+(ROUND('P&amp;L 5yr'!C12*Assumptions!$F$133*Assumptions!$F$134,0))</x:f>
        <x:v>112</x:v>
      </x:c>
      <x:c r="C11" s="219" t="n">
        <x:f>(ROUND('P&amp;L 5yr'!D12*Assumptions!$F$131*Assumptions!$F$132+'P&amp;L 5yr'!D7*Assumptions!$F$177*Assumptions!$F$181,0))+(ROUND('P&amp;L 5yr'!D12*Assumptions!$F$133*Assumptions!$F$134,0))</x:f>
        <x:v>19795</x:v>
      </x:c>
      <x:c r="D11" s="219" t="n">
        <x:f>(ROUND('P&amp;L 5yr'!E12*Assumptions!$F$131*Assumptions!$F$132+'P&amp;L 5yr'!E7*Assumptions!$F$178*Assumptions!$F$181,0))+(ROUND('P&amp;L 5yr'!E12*Assumptions!$F$133*Assumptions!$F$134,0))</x:f>
        <x:v>92945</x:v>
      </x:c>
      <x:c r="E11" s="219" t="n">
        <x:f>(ROUND('P&amp;L 5yr'!F12*Assumptions!$F$131*Assumptions!$F$132+'P&amp;L 5yr'!F7*Assumptions!$F$179*Assumptions!$F$181,0))+(ROUND('P&amp;L 5yr'!F12*Assumptions!$F$133*Assumptions!$F$134,0))</x:f>
        <x:v>810684</x:v>
      </x:c>
      <x:c r="F11" s="219" t="n">
        <x:f>(ROUND('P&amp;L 5yr'!G12*Assumptions!$F$131*Assumptions!$F$132+'P&amp;L 5yr'!G7*Assumptions!$F$180*Assumptions!$F$181,0))+(ROUND('P&amp;L 5yr'!G12*Assumptions!$F$133*Assumptions!$F$134,0))</x:f>
        <x:v>1896822</x:v>
      </x:c>
      <x:c r="G11" s="213" t="str">
        <x:v>QA, mandatory review above £50k and external dispute-forum costs.</x:v>
      </x:c>
    </x:row>
    <x:row r="12" ht="15.949999809265137" customHeight="1">
      <x:c r="A12" s="211" t="str">
        <x:v>Operational loss and continuity allowances</x:v>
      </x:c>
      <x:c r="B12" s="219" t="n">
        <x:f>(ROUND('P&amp;L 5yr'!C18*Assumptions!$F$135,0))+(ROUND(((ROUND('P&amp;L 5yr'!C11*Assumptions!$F$117,0))+(ROUND('P&amp;L 5yr'!C12*Assumptions!$F$121*Assumptions!$F$120,0))+(ROUND(0,0)))*Assumptions!$F$140,0))+(ROUND('Tier Economics'!C5*Assumptions!$F$141*Assumptions!$F$142,0))</x:f>
        <x:v>28</x:v>
      </x:c>
      <x:c r="C12" s="219" t="n">
        <x:f>(ROUND('P&amp;L 5yr'!D18*Assumptions!$F$135,0))+(ROUND(((ROUND('P&amp;L 5yr'!D11*Assumptions!$F$117,0))+(ROUND('P&amp;L 5yr'!D12*Assumptions!$F$121*Assumptions!$F$120,0))+(ROUND(Assumptions!$F$14*Assumptions!$F$123*12,0)))*Assumptions!$F$140,0))+(ROUND('Tier Economics'!G5*Assumptions!$F$141*Assumptions!$F$142,0))</x:f>
        <x:v>4928</x:v>
      </x:c>
      <x:c r="D12" s="219" t="n">
        <x:f>(ROUND('P&amp;L 5yr'!E18*Assumptions!$F$135,0))+(ROUND(((ROUND('P&amp;L 5yr'!E11*Assumptions!$F$117,0))+(ROUND('P&amp;L 5yr'!E12*Assumptions!$F$121*Assumptions!$F$120,0))+(ROUND(Assumptions!$F$110*Assumptions!$F$123*12,0)))*Assumptions!$F$140,0))+(ROUND('Tier Economics'!K5*Assumptions!$F$141*Assumptions!$F$142,0))</x:f>
        <x:v>16625</x:v>
      </x:c>
      <x:c r="E12" s="219" t="n">
        <x:f>(ROUND('P&amp;L 5yr'!F18*Assumptions!$F$135,0))+(ROUND(((ROUND('P&amp;L 5yr'!F11*Assumptions!$F$117,0))+(ROUND('P&amp;L 5yr'!F12*Assumptions!$F$121*Assumptions!$F$120,0))+(ROUND(Assumptions!$F$155*Assumptions!$F$123*12,0)))*Assumptions!$F$140,0))+(ROUND('Tier Economics'!O5*Assumptions!$F$141*Assumptions!$F$142,0))</x:f>
        <x:v>104025</x:v>
      </x:c>
      <x:c r="F12" s="219" t="n">
        <x:f>(ROUND('P&amp;L 5yr'!G18*Assumptions!$F$135,0))+(ROUND(((ROUND('P&amp;L 5yr'!G11*Assumptions!$F$117,0))+(ROUND('P&amp;L 5yr'!G12*Assumptions!$F$121*Assumptions!$F$120,0))+(ROUND(Assumptions!$F$156*Assumptions!$F$123*12,0)))*Assumptions!$F$140,0))+(ROUND('Tier Economics'!S5*Assumptions!$F$141*Assumptions!$F$142,0))</x:f>
        <x:v>202455</x:v>
      </x:c>
      <x:c r="G12" s="213" t="str">
        <x:v>Wrongful-release, fee leakage and API fallback allowances.</x:v>
      </x:c>
    </x:row>
    <x:row r="13" ht="15.949999809265137" customHeight="1">
      <x:c r="A13" s="211" t="str">
        <x:v>Partner / channel commissions</x:v>
      </x:c>
      <x:c r="B13" s="219"/>
      <x:c r="C13" s="219" t="n">
        <x:f>ROUND('P&amp;L 5yr'!D18*Assumptions!$F$159*Assumptions!$F$139,0)</x:f>
        <x:v>6068</x:v>
      </x:c>
      <x:c r="D13" s="219" t="n">
        <x:f>ROUND('P&amp;L 5yr'!E18*Assumptions!$F$159*Assumptions!$F$139,0)</x:f>
        <x:v>20819</x:v>
      </x:c>
      <x:c r="E13" s="219" t="n">
        <x:f>ROUND('P&amp;L 5yr'!F18*Assumptions!$F$159*Assumptions!$F$139,0)</x:f>
        <x:v>134140</x:v>
      </x:c>
      <x:c r="F13" s="219" t="n">
        <x:f>ROUND('P&amp;L 5yr'!G18*Assumptions!$F$159*Assumptions!$F$139,0)</x:f>
        <x:v>267489</x:v>
      </x:c>
      <x:c r="G13" s="213" t="str">
        <x:v>Applied only to the modelled partner-sourced revenue share.</x:v>
      </x:c>
    </x:row>
    <x:row r="14" ht="15.949999809265137" customHeight="1">
      <x:c r="A14" s="231" t="str">
        <x:v>Total exception and operating-risk costs</x:v>
      </x:c>
      <x:c r="B14" s="232" t="n">
        <x:f>SUM(B11:B13)</x:f>
        <x:v>140</x:v>
      </x:c>
      <x:c r="C14" s="232" t="n">
        <x:f>SUM(C11:C13)</x:f>
        <x:v>30791</x:v>
      </x:c>
      <x:c r="D14" s="232" t="n">
        <x:f>SUM(D11:D13)</x:f>
        <x:v>130389</x:v>
      </x:c>
      <x:c r="E14" s="232" t="n">
        <x:f>SUM(E11:E13)</x:f>
        <x:v>1048849</x:v>
      </x:c>
      <x:c r="F14" s="232" t="n">
        <x:f>SUM(F11:F13)</x:f>
        <x:v>2366766</x:v>
      </x:c>
      <x:c r="G14" s="233" t="str">
        <x:v>Scenario calculations remain formula-driven in Scenario Engine.</x:v>
      </x:c>
    </x:row>
    <x:row r="15" ht="6" customHeight="1">
      <x:c r="A15"/>
      <x:c r="B15" s="221"/>
      <x:c r="C15" s="221"/>
      <x:c r="D15" s="221"/>
      <x:c r="E15" s="221"/>
      <x:c r="F15" s="221"/>
      <x:c r="G15"/>
    </x:row>
    <x:row r="16" ht="9" customHeight="1">
      <x:c r="A16" s="42" t="str">
        <x:v>SECURITY &amp; OPERATIONAL RESILIENCE — SUPPORTING DETAIL</x:v>
      </x:c>
      <x:c r="B16" s="223"/>
      <x:c r="C16" s="223"/>
      <x:c r="D16" s="223"/>
      <x:c r="E16" s="223"/>
      <x:c r="F16" s="223"/>
      <x:c r="G16" s="62"/>
    </x:row>
    <x:row r="17" ht="20.100000381469727" customHeight="1">
      <x:c r="A17" s="216" t="str">
        <x:v>Integration and specialist partners</x:v>
      </x:c>
      <x:c r="B17" s="224" t="n">
        <x:f>(ROUND(Assumptions!$F$127*1,0))+(ROUND(Assumptions!$F$128*1,0))</x:f>
        <x:v>35000</x:v>
      </x:c>
      <x:c r="C17" s="224" t="n">
        <x:f>(ROUND(Assumptions!$F$127*1.25,0))+(ROUND(Assumptions!$F$128*1.25,0))</x:f>
        <x:v>43750</x:v>
      </x:c>
      <x:c r="D17" s="224" t="n">
        <x:f>(ROUND(Assumptions!$F$127*1.5,0))+(ROUND(Assumptions!$F$128*1.5,0))</x:f>
        <x:v>52500</x:v>
      </x:c>
      <x:c r="E17" s="224" t="n">
        <x:f>(ROUND(Assumptions!$F$127*1.75,0))+(ROUND(Assumptions!$F$128*1.75,0))</x:f>
        <x:v>61250</x:v>
      </x:c>
      <x:c r="F17" s="224" t="n">
        <x:f>(ROUND(Assumptions!$F$127*2,0))+(ROUND(Assumptions!$F$128*2,0))</x:f>
        <x:v>70000</x:v>
      </x:c>
      <x:c r="G17" s="218" t="str">
        <x:v>Carrier / API / eBL integration allowance plus external specialist retainer.</x:v>
      </x:c>
    </x:row>
    <x:row r="18" ht="15.949999809265137" customHeight="1">
      <x:c r="A18" s="211" t="str">
        <x:v>Fraud screening and data governance</x:v>
      </x:c>
      <x:c r="B18" s="219" t="n">
        <x:f>ROUND(Assumptions!$F$129+Assumptions!$F$130,0)</x:f>
        <x:v>55000</x:v>
      </x:c>
      <x:c r="C18" s="219" t="n">
        <x:f>ROUND(Assumptions!$F$130,0)</x:f>
        <x:v>15000</x:v>
      </x:c>
      <x:c r="D18" s="219" t="n">
        <x:f>ROUND(Assumptions!$F$130,0)</x:f>
        <x:v>15000</x:v>
      </x:c>
      <x:c r="E18" s="219" t="n">
        <x:f>ROUND(Assumptions!$F$130,0)</x:f>
        <x:v>15000</x:v>
      </x:c>
      <x:c r="F18" s="219" t="n">
        <x:f>ROUND(Assumptions!$F$130,0)</x:f>
        <x:v>15000</x:v>
      </x:c>
      <x:c r="G18" s="213" t="str">
        <x:v>Fraud-marker and data-governance allowance; physical forensics remain outsourced.</x:v>
      </x:c>
    </x:row>
    <x:row r="19" ht="15.949999809265137" customHeight="1">
      <x:c r="A19" s="211" t="str">
        <x:v>Security operations and incident resilience</x:v>
      </x:c>
      <x:c r="B19" s="219" t="n">
        <x:f>(ROUND(Assumptions!$F$137*1,0))+(ROUND(Assumptions!$F$136,0))+(ROUND(Assumptions!$F$143*1,0))</x:f>
        <x:v>57000</x:v>
      </x:c>
      <x:c r="C19" s="219" t="n">
        <x:f>(ROUND(Assumptions!$F$137*1.25,0))+(ROUND(Assumptions!$F$136,0))+(ROUND(Assumptions!$F$143*1,0))</x:f>
        <x:v>60000</x:v>
      </x:c>
      <x:c r="D19" s="219" t="n">
        <x:f>(ROUND(Assumptions!$F$137*1.5,0))+(ROUND(Assumptions!$F$136,0))+(ROUND(Assumptions!$F$143*1,0))</x:f>
        <x:v>63000</x:v>
      </x:c>
      <x:c r="E19" s="219" t="n">
        <x:f>(ROUND(Assumptions!$F$137*1.75,0))+(ROUND(Assumptions!$F$136,0))+(ROUND(Assumptions!$F$143*1.25,0))</x:f>
        <x:v>73500</x:v>
      </x:c>
      <x:c r="F19" s="219" t="n">
        <x:f>(ROUND(Assumptions!$F$137*2,0))+(ROUND(Assumptions!$F$136,0))+(ROUND(Assumptions!$F$143*1.5,0))</x:f>
        <x:v>84000</x:v>
      </x:c>
      <x:c r="G19" s="213" t="str">
        <x:v>KMS / multisig, insurance deductible and smart-contract incident allowances.</x:v>
      </x:c>
    </x:row>
    <x:row r="20" ht="15.949999809265137" customHeight="1">
      <x:c r="A20" s="211" t="str">
        <x:v>Regulatory reporting and legal review</x:v>
      </x:c>
      <x:c r="B20" s="219" t="n">
        <x:f>(ROUND(Assumptions!$F$138*1,0))+(ROUND(Assumptions!$F$144,0))+(ROUND(Assumptions!$F$145,0))</x:f>
        <x:v>33000</x:v>
      </x:c>
      <x:c r="C20" s="219" t="n">
        <x:f>(ROUND(Assumptions!$F$138*1.25,0))+(ROUND(0,0))+(0)</x:f>
        <x:v>22500</x:v>
      </x:c>
      <x:c r="D20" s="219" t="n">
        <x:f>(ROUND(Assumptions!$F$138*1.5,0))+(0)+(0)</x:f>
        <x:v>27000</x:v>
      </x:c>
      <x:c r="E20" s="219" t="n">
        <x:f>(ROUND(Assumptions!$F$138*1.75,0))+(0)+(0)</x:f>
        <x:v>31500</x:v>
      </x:c>
      <x:c r="F20" s="219" t="n">
        <x:f>(ROUND(Assumptions!$F$138*2,0))+(0)+(0)</x:f>
        <x:v>36000</x:v>
      </x:c>
      <x:c r="G20" s="213" t="str">
        <x:v>Ongoing reporting plus Year 1 legal boundary reviews.</x:v>
      </x:c>
    </x:row>
    <x:row r="21" ht="15.949999809265137" customHeight="1">
      <x:c r="A21" s="231" t="str">
        <x:v>Total security and operational-resilience costs</x:v>
      </x:c>
      <x:c r="B21" s="232" t="n">
        <x:f>SUM(B17:B20)</x:f>
        <x:v>180000</x:v>
      </x:c>
      <x:c r="C21" s="232" t="n">
        <x:f>SUM(C17:C20)</x:f>
        <x:v>141250</x:v>
      </x:c>
      <x:c r="D21" s="232" t="n">
        <x:f>SUM(D17:D20)</x:f>
        <x:v>157500</x:v>
      </x:c>
      <x:c r="E21" s="232" t="n">
        <x:f>SUM(E17:E20)</x:f>
        <x:v>181250</x:v>
      </x:c>
      <x:c r="F21" s="232" t="n">
        <x:f>SUM(F17:F20)</x:f>
        <x:v>205000</x:v>
      </x:c>
      <x:c r="G21" s="233" t="str">
        <x:v>Consolidated into the P&amp;L compliance and resilience line.</x:v>
      </x:c>
    </x:row>
    <x:row r="22" ht="3" customHeight="1">
      <x:c r="A22"/>
      <x:c r="B22"/>
      <x:c r="C22"/>
      <x:c r="D22"/>
      <x:c r="E22"/>
      <x:c r="F22"/>
      <x:c r="G22"/>
    </x:row>
    <x:row r="23" ht="3" customHeight="1">
      <x:c r="A23"/>
      <x:c r="B23"/>
      <x:c r="C23"/>
      <x:c r="D23"/>
      <x:c r="E23"/>
      <x:c r="F23"/>
      <x:c r="G23"/>
    </x:row>
    <x:row r="24" ht="3" customHeight="1">
      <x:c r="A24"/>
      <x:c r="B24"/>
      <x:c r="C24"/>
      <x:c r="D24"/>
      <x:c r="E24"/>
      <x:c r="F24"/>
      <x:c r="G24"/>
    </x:row>
    <x:row r="25" ht="3" customHeight="1">
      <x:c r="A25"/>
      <x:c r="B25"/>
      <x:c r="C25"/>
      <x:c r="D25"/>
      <x:c r="E25"/>
      <x:c r="F25"/>
      <x:c r="G25"/>
    </x:row>
    <x:row r="26" ht="3" customHeight="1">
      <x:c r="A26"/>
      <x:c r="B26"/>
      <x:c r="C26"/>
      <x:c r="D26"/>
      <x:c r="E26"/>
      <x:c r="F26"/>
      <x:c r="G26"/>
    </x:row>
    <x:row r="27" ht="3" customHeight="1">
      <x:c r="A27"/>
      <x:c r="B27"/>
      <x:c r="C27"/>
      <x:c r="D27"/>
      <x:c r="E27"/>
      <x:c r="F27"/>
      <x:c r="G27"/>
    </x:row>
    <x:row r="28" ht="3" customHeight="1">
      <x:c r="A28"/>
      <x:c r="B28"/>
      <x:c r="C28"/>
      <x:c r="D28"/>
      <x:c r="E28"/>
      <x:c r="F28"/>
      <x:c r="G28"/>
    </x:row>
    <x:row r="29" ht="3" customHeight="1">
      <x:c r="A29"/>
      <x:c r="B29"/>
      <x:c r="C29"/>
      <x:c r="D29"/>
      <x:c r="E29"/>
      <x:c r="F29"/>
      <x:c r="G29"/>
    </x:row>
    <x:row r="30" ht="3" customHeight="1">
      <x:c r="A30"/>
      <x:c r="B30"/>
      <x:c r="C30"/>
      <x:c r="D30"/>
      <x:c r="E30"/>
      <x:c r="F30"/>
      <x:c r="G30"/>
    </x:row>
    <x:row r="31" ht="3" customHeight="1">
      <x:c r="A31"/>
      <x:c r="B31"/>
      <x:c r="C31"/>
      <x:c r="D31"/>
      <x:c r="E31"/>
      <x:c r="F31"/>
      <x:c r="G31"/>
    </x:row>
    <x:row r="32" ht="3" customHeight="1">
      <x:c r="A32"/>
      <x:c r="B32"/>
      <x:c r="C32"/>
      <x:c r="D32"/>
      <x:c r="E32"/>
      <x:c r="F32"/>
      <x:c r="G32"/>
    </x:row>
    <x:row r="33" ht="3" customHeight="1">
      <x:c r="A33"/>
      <x:c r="B33"/>
      <x:c r="C33"/>
      <x:c r="D33"/>
      <x:c r="E33"/>
      <x:c r="F33"/>
      <x:c r="G33"/>
    </x:row>
    <x:row r="34" ht="3" customHeight="1">
      <x:c r="A34"/>
      <x:c r="B34"/>
      <x:c r="C34" t="n">
        <x:f t="shared" ref="C34:F35" si="0">ROUND(0,0)</x:f>
        <x:v>0</x:v>
      </x:c>
      <x:c r="D34">
        <x:f t="shared" si="0"/>
      </x:c>
      <x:c r="E34">
        <x:f t="shared" si="0"/>
      </x:c>
      <x:c r="F34">
        <x:f t="shared" si="0"/>
      </x:c>
      <x:c r="G34"/>
    </x:row>
    <x:row r="35" ht="3" customHeight="1">
      <x:c r="A35"/>
      <x:c r="B35"/>
      <x:c r="C35">
        <x:f t="shared" si="0"/>
      </x:c>
      <x:c r="D35">
        <x:f t="shared" si="0"/>
      </x:c>
      <x:c r="E35">
        <x:f t="shared" si="0"/>
      </x:c>
      <x:c r="F35">
        <x:f t="shared" si="0"/>
      </x:c>
      <x:c r="G35"/>
    </x:row>
    <x:row r="36" ht="3" customHeight="1">
      <x:c r="A36"/>
      <x:c r="B36"/>
      <x:c r="C36"/>
      <x:c r="D36"/>
      <x:c r="E36"/>
      <x:c r="F36"/>
      <x:c r="G36"/>
    </x:row>
    <x:row r="37" ht="9" hidden="1" customHeight="1"/>
    <x:row r="38" ht="9" hidden="1" customHeight="1"/>
    <x:row r="39" ht="9" hidden="1" customHeight="1"/>
    <x:row r="40" ht="9" hidden="1" customHeight="1"/>
    <x:row r="41" ht="9" hidden="1" customHeight="1"/>
    <x:row r="42" ht="9" hidden="1" customHeight="1"/>
    <x:row r="43" ht="20.100000381469727" hidden="1" customHeight="1"/>
    <x:row r="44" ht="15.949999809265137" hidden="1" customHeight="1"/>
    <x:row r="45" ht="15.949999809265137" hidden="1" customHeight="1"/>
    <x:row r="46" ht="15.949999809265137" hidden="1" customHeight="1"/>
    <x:row r="47" ht="15.949999809265137" hidden="1" customHeight="1"/>
    <x:row r="48" ht="15.949999809265137" hidden="1" customHeight="1"/>
  </x:sheetData>
  <x:mergeCells>
    <x:mergeCell ref="A1:E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A6491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6" customWidth="1"/>
    <x:col min="3" max="7" width="16" customWidth="1"/>
    <x:col min="8" max="8" width="62" customWidth="1"/>
  </x:cols>
  <x:sheetData>
    <x:row r="2" ht="30" customHeight="1">
      <x:c r="B2" s="3" t="s">
        <x:v>339</x:v>
      </x:c>
    </x:row>
    <x:row r="3" ht="15.949999809265137" customHeight="1">
      <x:c r="B3" s="4" t="s">
        <x:v>340</x:v>
      </x:c>
    </x:row>
    <x:row r="4" ht="9.949999809265137" customHeight="1"/>
    <x:row r="5" ht="21.950000762939453" customHeight="1">
      <x:c r="B5" s="10" t="s">
        <x:v>337</x:v>
      </x:c>
      <x:c r="C5" s="9" t="s">
        <x:v>203</x:v>
      </x:c>
      <x:c r="D5" s="9" t="s">
        <x:v>204</x:v>
      </x:c>
      <x:c r="E5" s="9" t="s">
        <x:v>205</x:v>
      </x:c>
      <x:c r="F5" s="9" t="s">
        <x:v>206</x:v>
      </x:c>
      <x:c r="G5" s="9" t="s">
        <x:v>207</x:v>
      </x:c>
      <x:c r="H5" s="10" t="s">
        <x:v>341</x:v>
      </x:c>
    </x:row>
    <x:row r="6" ht="20.100000381469727" customHeight="1">
      <x:c r="B6" s="5" t="s">
        <x:v>342</x:v>
      </x:c>
      <x:c r="C6" s="5"/>
      <x:c r="D6" s="5"/>
      <x:c r="E6" s="5"/>
      <x:c r="F6" s="5"/>
      <x:c r="G6" s="5"/>
      <x:c r="H6" s="5"/>
    </x:row>
    <x:row r="7" ht="15.949999809265137" customHeight="1">
      <x:c r="B7" s="12" t="s">
        <x:v>343</x:v>
      </x:c>
      <x:c r="C7" s="68" t="n">
        <x:f>ROUND(Assumptions!$F$10*'Launch Readiness'!$B$28,0)</x:f>
        <x:v>3</x:v>
      </x:c>
      <x:c r="D7" s="68" t="n">
        <x:f>ROUND(Assumptions!$F$11*'Launch Readiness'!$C$28,0)</x:f>
        <x:v>500</x:v>
      </x:c>
      <x:c r="E7" s="68" t="n">
        <x:f>ROUND(Assumptions!$F$12*'Launch Readiness'!$D$28,0)</x:f>
        <x:v>2000</x:v>
      </x:c>
      <x:c r="F7" s="68" t="n">
        <x:f>ROUND(Assumptions!$F$147*'Launch Readiness'!$E$28,0)</x:f>
        <x:v>15000</x:v>
      </x:c>
      <x:c r="G7" s="68" t="n">
        <x:f>ROUND(Assumptions!$F$148*'Launch Readiness'!$F$28,0)</x:f>
        <x:v>30000</x:v>
      </x:c>
      <x:c r="H7" s="32" t="s">
        <x:v>344</x:v>
      </x:c>
    </x:row>
    <x:row r="8" ht="15.949999809265137" customHeight="1">
      <x:c r="B8" s="12" t="s">
        <x:v>345</x:v>
      </x:c>
      <x:c r="C8" s="56" t="n">
        <x:f>IF(C7=0,0,C9/C7)</x:f>
        <x:v>30750</x:v>
      </x:c>
      <x:c r="D8" s="56" t="n">
        <x:f>IF(D7=0,0,D9/D7)</x:f>
        <x:v>34005</x:v>
      </x:c>
      <x:c r="E8" s="56" t="n">
        <x:f>IF(E7=0,0,E9/E7)</x:f>
        <x:v>38015.55</x:v>
      </x:c>
      <x:c r="F8" s="56" t="n">
        <x:f>IF(F7=0,0,F9/F7)</x:f>
        <x:v>42822.535200000006</x:v>
      </x:c>
      <x:c r="G8" s="56" t="n">
        <x:f>IF(G7=0,0,G9/G7)</x:f>
        <x:v>47897.37657500001</x:v>
      </x:c>
      <x:c r="H8" s="32" t="s">
        <x:v>346</x:v>
      </x:c>
    </x:row>
    <x:row r="9" ht="15.949999809265137" customHeight="1">
      <x:c r="B9" s="12" t="s">
        <x:v>347</x:v>
      </x:c>
      <x:c r="C9" s="67" t="n">
        <x:f>'Tier Economics'!E9</x:f>
        <x:v>92250</x:v>
      </x:c>
      <x:c r="D9" s="67" t="n">
        <x:f>'Tier Economics'!I9</x:f>
        <x:v>17002500</x:v>
      </x:c>
      <x:c r="E9" s="67" t="n">
        <x:f>'Tier Economics'!M9</x:f>
        <x:v>76031100</x:v>
      </x:c>
      <x:c r="F9" s="67" t="n">
        <x:f>'Tier Economics'!Q9</x:f>
        <x:v>642338028.0000001</x:v>
      </x:c>
      <x:c r="G9" s="67" t="n">
        <x:f>'Tier Economics'!U9</x:f>
        <x:v>1436921297.2500002</x:v>
      </x:c>
      <x:c r="H9" s="32" t="s">
        <x:v>348</x:v>
      </x:c>
    </x:row>
    <x:row r="10" ht="15.949999809265137" customHeight="1">
      <x:c r="B10" s="12" t="s">
        <x:v>310</x:v>
      </x:c>
      <x:c r="C10" s="68" t="n">
        <x:f>'Tier Economics'!E7</x:f>
        <x:v>20.25</x:v>
      </x:c>
      <x:c r="D10" s="68" t="n">
        <x:f>'Tier Economics'!I7</x:f>
        <x:v>2925</x:v>
      </x:c>
      <x:c r="E10" s="68" t="n">
        <x:f>'Tier Economics'!M7</x:f>
        <x:v>10200</x:v>
      </x:c>
      <x:c r="F10" s="68" t="n">
        <x:f>'Tier Economics'!Q7</x:f>
        <x:v>66600</x:v>
      </x:c>
      <x:c r="G10" s="68" t="n">
        <x:f>'Tier Economics'!U7</x:f>
        <x:v>121500</x:v>
      </x:c>
      <x:c r="H10" s="32" t="s">
        <x:v>349</x:v>
      </x:c>
    </x:row>
    <x:row r="11" ht="15.949999809265137" customHeight="1">
      <x:c r="B11" s="12" t="s">
        <x:v>350</x:v>
      </x:c>
      <x:c r="C11" s="68" t="n">
        <x:f>C7*Assumptions!$F$13*Assumptions!$F$59</x:f>
        <x:v>3</x:v>
      </x:c>
      <x:c r="D11" s="68" t="n">
        <x:f>D7*Assumptions!$F$13*Assumptions!$F$59</x:f>
        <x:v>500</x:v>
      </x:c>
      <x:c r="E11" s="68" t="n">
        <x:f>E7*Assumptions!$F$13*Assumptions!$F$59</x:f>
        <x:v>2000</x:v>
      </x:c>
      <x:c r="F11" s="68" t="n">
        <x:f>F7*Assumptions!$F$13*Assumptions!$F$59</x:f>
        <x:v>15000</x:v>
      </x:c>
      <x:c r="G11" s="68" t="n">
        <x:f>G7*Assumptions!$F$13*Assumptions!$F$59</x:f>
        <x:v>30000</x:v>
      </x:c>
      <x:c r="H11" s="32" t="s">
        <x:v>351</x:v>
      </x:c>
    </x:row>
    <x:row r="12" ht="15.949999809265137" customHeight="1">
      <x:c r="B12" s="12" t="s">
        <x:v>352</x:v>
      </x:c>
      <x:c r="C12" s="68" t="n">
        <x:f>'Tier Economics'!E16</x:f>
        <x:v>0.393</x:v>
      </x:c>
      <x:c r="D12" s="68" t="n">
        <x:f>'Tier Economics'!I16</x:f>
        <x:v>53.5</x:v>
      </x:c>
      <x:c r="E12" s="68" t="n">
        <x:f>'Tier Economics'!M16</x:f>
        <x:v>176</x:v>
      </x:c>
      <x:c r="F12" s="68" t="n">
        <x:f>'Tier Economics'!Q16</x:f>
        <x:v>1080</x:v>
      </x:c>
      <x:c r="G12" s="68" t="n">
        <x:f>'Tier Economics'!U16</x:f>
        <x:v>1890</x:v>
      </x:c>
      <x:c r="H12" s="32" t="s">
        <x:v>353</x:v>
      </x:c>
    </x:row>
    <x:row r="13" ht="20.100000381469727" customHeight="1">
      <x:c r="B13" s="5" t="s">
        <x:v>354</x:v>
      </x:c>
      <x:c r="C13" s="5"/>
      <x:c r="D13" s="5"/>
      <x:c r="E13" s="5"/>
      <x:c r="F13" s="5"/>
      <x:c r="G13" s="5"/>
      <x:c r="H13" s="5"/>
    </x:row>
    <x:row r="14" ht="15.949999809265137" customHeight="1">
      <x:c r="B14" s="12" t="str">
        <x:v>Escrow transaction fees</x:v>
      </x:c>
      <x:c r="C14" s="67" t="n">
        <x:f>'Tier Economics'!E12</x:f>
        <x:v>1813.5000000000002</x:v>
      </x:c>
      <x:c r="D14" s="67" t="n">
        <x:f>'Tier Economics'!I12</x:f>
        <x:v>273675</x:v>
      </x:c>
      <x:c r="E14" s="67" t="n">
        <x:f>'Tier Economics'!M12</x:f>
        <x:v>1022499</x:v>
      </x:c>
      <x:c r="F14" s="67" t="n">
        <x:f>'Tier Economics'!Q12</x:f>
        <x:v>7325332.920000002</x:v>
      </x:c>
      <x:c r="G14" s="67" t="n">
        <x:f>'Tier Economics'!U12</x:f>
        <x:v>14841491.677500004</x:v>
      </x:c>
      <x:c r="H14" s="32" t="str">
        <x:v>Tiered percentage fee by A / B / C mix.</x:v>
      </x:c>
    </x:row>
    <x:row r="15" ht="15.949999809265137" customHeight="1">
      <x:c r="B15" s="12" t="str">
        <x:v>Less: launch discounts and credits</x:v>
      </x:c>
      <x:c r="C15" s="67" t="n">
        <x:f>'Revenue Risk Add-Ons'!B5</x:f>
        <x:v>-302</x:v>
      </x:c>
      <x:c r="D15" s="67" t="n">
        <x:f>'Revenue Risk Add-Ons'!C5</x:f>
        <x:v>-33936</x:v>
      </x:c>
      <x:c r="E15" s="67" t="n">
        <x:f>'Revenue Risk Add-Ons'!D5</x:f>
        <x:v>-53255</x:v>
      </x:c>
      <x:c r="F15" s="67" t="n">
        <x:f>'Revenue Risk Add-Ons'!E5</x:f>
        <x:v>-376441</x:v>
      </x:c>
      <x:c r="G15" s="67" t="n">
        <x:f>'Revenue Risk Add-Ons'!F5</x:f>
        <x:v>-278278</x:v>
      </x:c>
      <x:c r="H15" s="32" t="str">
        <x:v>Introductory discounts shown as contra-revenue.</x:v>
      </x:c>
    </x:row>
    <x:row r="16" ht="15.949999809265137" customHeight="1">
      <x:c r="B16" s="12" t="str">
        <x:v>Document review and exception-handling fees</x:v>
      </x:c>
      <x:c r="C16" s="67" t="n">
        <x:f>'Tier Economics'!E14+'Tier Economics'!E18</x:f>
        <x:v>641.5500000000001</x:v>
      </x:c>
      <x:c r="D16" s="67" t="n">
        <x:f>'Tier Economics'!I14+'Tier Economics'!I18</x:f>
        <x:v>79100</x:v>
      </x:c>
      <x:c r="E16" s="67" t="n">
        <x:f>'Tier Economics'!M14+'Tier Economics'!M18</x:f>
        <x:v>234100</x:v>
      </x:c>
      <x:c r="F16" s="67" t="n">
        <x:f>'Tier Economics'!Q14+'Tier Economics'!Q18</x:f>
        <x:v>1269000</x:v>
      </x:c>
      <x:c r="G16" s="67" t="n">
        <x:f>'Tier Economics'!U14+'Tier Economics'!U18</x:f>
        <x:v>2034000</x:v>
      </x:c>
      <x:c r="H16" s="32" t="str">
        <x:v>Document review plus dispute / amendment fees.</x:v>
      </x:c>
    </x:row>
    <x:row r="17" ht="15.949999809265137" customHeight="1">
      <x:c r="B17" s="12" t="str">
        <x:v>Partner / API and ancillary services</x:v>
      </x:c>
      <x:c r="C17" s="67" t="n">
        <x:f>'Revenue Risk Add-Ons'!B8-'Revenue Risk Add-Ons'!B5</x:f>
        <x:v>296</x:v>
      </x:c>
      <x:c r="D17" s="67" t="n">
        <x:f>'Revenue Risk Add-Ons'!C8-'Revenue Risk Add-Ons'!C5</x:f>
        <x:v>85710</x:v>
      </x:c>
      <x:c r="E17" s="67" t="n">
        <x:f>'Revenue Risk Add-Ons'!D8-'Revenue Risk Add-Ons'!D5</x:f>
        <x:v>184560</x:v>
      </x:c>
      <x:c r="F17" s="67" t="n">
        <x:f>'Revenue Risk Add-Ons'!E8-'Revenue Risk Add-Ons'!E5</x:f>
        <x:v>724800</x:v>
      </x:c>
      <x:c r="G17" s="67" t="n">
        <x:f>'Revenue Risk Add-Ons'!F8-'Revenue Risk Add-Ons'!F5</x:f>
        <x:v>1235400</x:v>
      </x:c>
      <x:c r="H17" s="32" t="str">
        <x:v>Partner services and other ancillary operating revenue.</x:v>
      </x:c>
    </x:row>
    <x:row r="18" ht="15.949999809265137" customHeight="1">
      <x:c r="B18" s="24" t="s">
        <x:v>355</x:v>
      </x:c>
      <x:c r="C18" s="92" t="n">
        <x:f>SUM(C14:C17)</x:f>
        <x:v>2449.05</x:v>
      </x:c>
      <x:c r="D18" s="92" t="n">
        <x:f>SUM(D14:D17)</x:f>
        <x:v>404549</x:v>
      </x:c>
      <x:c r="E18" s="92" t="n">
        <x:f>SUM(E14:E17)</x:f>
        <x:v>1387904</x:v>
      </x:c>
      <x:c r="F18" s="92" t="n">
        <x:f>SUM(F14:F17)</x:f>
        <x:v>8942691.920000002</x:v>
      </x:c>
      <x:c r="G18" s="92" t="n">
        <x:f>SUM(G14:G17)</x:f>
        <x:v>17832613.677500002</x:v>
      </x:c>
      <x:c r="H18" s="93" t="s">
        <x:v>356</x:v>
      </x:c>
    </x:row>
    <x:row r="19" ht="20.100000381469727" customHeight="1">
      <x:c r="B19" s="5" t="s">
        <x:v>357</x:v>
      </x:c>
      <x:c r="C19" s="5"/>
      <x:c r="D19" s="5"/>
      <x:c r="E19" s="5"/>
      <x:c r="F19" s="5"/>
      <x:c r="G19" s="5"/>
      <x:c r="H19" s="5"/>
    </x:row>
    <x:row r="20" ht="15.949999809265137" customHeight="1">
      <x:c r="B20" s="12" t="s">
        <x:v>358</x:v>
      </x:c>
      <x:c r="C20" s="67" t="n">
        <x:f>C10*Assumptions!$F$23/Assumptions!$F$8</x:f>
        <x:v>4.74609375</x:v>
      </x:c>
      <x:c r="D20" s="67" t="n">
        <x:f>D10*Assumptions!$F$23/Assumptions!$F$8</x:f>
        <x:v>685.546875</x:v>
      </x:c>
      <x:c r="E20" s="67" t="n">
        <x:f>E10*Assumptions!$F$23/Assumptions!$F$8</x:f>
        <x:v>2390.625</x:v>
      </x:c>
      <x:c r="F20" s="67" t="n">
        <x:f>F10*Assumptions!$F$23/Assumptions!$F$8</x:f>
        <x:v>15609.375</x:v>
      </x:c>
      <x:c r="G20" s="67" t="n">
        <x:f>G10*Assumptions!$F$23/Assumptions!$F$8</x:f>
        <x:v>28476.5625</x:v>
      </x:c>
      <x:c r="H20" s="32" t="s">
        <x:v>359</x:v>
      </x:c>
    </x:row>
    <x:row r="21" ht="15.949999809265137" customHeight="1">
      <x:c r="B21" s="12" t="s">
        <x:v>360</x:v>
      </x:c>
      <x:c r="C21" s="67" t="n">
        <x:f>C11*Assumptions!$F$24/Assumptions!$F$8</x:f>
        <x:v>8.203125</x:v>
      </x:c>
      <x:c r="D21" s="67" t="n">
        <x:f>D11*Assumptions!$F$24/Assumptions!$F$8</x:f>
        <x:v>1367.1875</x:v>
      </x:c>
      <x:c r="E21" s="67" t="n">
        <x:f>E11*Assumptions!$F$24/Assumptions!$F$8</x:f>
        <x:v>5468.75</x:v>
      </x:c>
      <x:c r="F21" s="67" t="n">
        <x:f>F11*Assumptions!$F$24/Assumptions!$F$8</x:f>
        <x:v>41015.625</x:v>
      </x:c>
      <x:c r="G21" s="67" t="n">
        <x:f>G11*Assumptions!$F$24/Assumptions!$F$8</x:f>
        <x:v>82031.25</x:v>
      </x:c>
      <x:c r="H21" s="32" t="s">
        <x:v>361</x:v>
      </x:c>
    </x:row>
    <x:row r="22" ht="15.949999809265137" customHeight="1">
      <x:c r="B22" s="12" t="s">
        <x:v>362</x:v>
      </x:c>
      <x:c r="C22" s="67" t="n">
        <x:f>C11*Assumptions!$F$25/Assumptions!$F$8</x:f>
        <x:v>3.1640625000000004</x:v>
      </x:c>
      <x:c r="D22" s="67" t="n">
        <x:f>D11*Assumptions!$F$25/Assumptions!$F$8</x:f>
        <x:v>527.34375</x:v>
      </x:c>
      <x:c r="E22" s="67" t="n">
        <x:f>E11*Assumptions!$F$25/Assumptions!$F$8</x:f>
        <x:v>2109.375</x:v>
      </x:c>
      <x:c r="F22" s="67" t="n">
        <x:f>F11*Assumptions!$F$25/Assumptions!$F$8</x:f>
        <x:v>15820.3125</x:v>
      </x:c>
      <x:c r="G22" s="67" t="n">
        <x:f>G11*Assumptions!$F$25/Assumptions!$F$8</x:f>
        <x:v>31640.625</x:v>
      </x:c>
      <x:c r="H22" s="32" t="s">
        <x:v>363</x:v>
      </x:c>
    </x:row>
    <x:row r="23" ht="15.949999809265137" customHeight="1">
      <x:c r="B23" s="12" t="s">
        <x:v>364</x:v>
      </x:c>
      <x:c r="C23" s="67" t="n">
        <x:f>CHOOSE(Assumptions!$C$4,'Scenario Engine'!B36,'Scenario Engine'!H36,'Scenario Engine'!N36)</x:f>
        <x:v>403.20000000000005</x:v>
      </x:c>
      <x:c r="D23" s="67" t="n">
        <x:f>CHOOSE(Assumptions!$C$4,'Scenario Engine'!C36,'Scenario Engine'!I36,'Scenario Engine'!O36)</x:f>
        <x:v>45150</x:v>
      </x:c>
      <x:c r="E23" s="67" t="n">
        <x:f>CHOOSE(Assumptions!$C$4,'Scenario Engine'!D36,'Scenario Engine'!J36,'Scenario Engine'!P36)</x:f>
        <x:v>119400</x:v>
      </x:c>
      <x:c r="F23" s="67" t="n">
        <x:f>CHOOSE(Assumptions!$C$4,'Scenario Engine'!E36,'Scenario Engine'!K36,'Scenario Engine'!Q36)</x:f>
        <x:v>558000</x:v>
      </x:c>
      <x:c r="G23" s="67" t="n">
        <x:f>CHOOSE(Assumptions!$C$4,'Scenario Engine'!F36,'Scenario Engine'!L36,'Scenario Engine'!R36)</x:f>
        <x:v>801000</x:v>
      </x:c>
      <x:c r="H23" s="32" t="s">
        <x:v>365</x:v>
      </x:c>
    </x:row>
    <x:row r="24" ht="15.949999809265137" customHeight="1">
      <x:c r="B24" s="12" t="s">
        <x:v>366</x:v>
      </x:c>
      <x:c r="C24" s="67" t="n">
        <x:f>C7*Assumptions!$F$26/Assumptions!$F$8</x:f>
        <x:v>0.46875000000000006</x:v>
      </x:c>
      <x:c r="D24" s="67" t="n">
        <x:f>D7*Assumptions!$F$26/Assumptions!$F$8</x:f>
        <x:v>78.125</x:v>
      </x:c>
      <x:c r="E24" s="67" t="n">
        <x:f>E7*Assumptions!$F$26/Assumptions!$F$8</x:f>
        <x:v>312.5</x:v>
      </x:c>
      <x:c r="F24" s="67" t="n">
        <x:f>F7*Assumptions!$F$26/Assumptions!$F$8</x:f>
        <x:v>2343.75</x:v>
      </x:c>
      <x:c r="G24" s="67" t="n">
        <x:f>G7*Assumptions!$F$26/Assumptions!$F$8</x:f>
        <x:v>4687.5</x:v>
      </x:c>
      <x:c r="H24" s="32" t="s">
        <x:v>367</x:v>
      </x:c>
    </x:row>
    <x:row r="25" ht="15.949999809265137" customHeight="1">
      <x:c r="B25" s="12" t="s">
        <x:v>368</x:v>
      </x:c>
      <x:c r="C25" s="67" t="n">
        <x:f>C7*Assumptions!$F$27/Assumptions!$F$8</x:f>
        <x:v>0.0234375</x:v>
      </x:c>
      <x:c r="D25" s="67" t="n">
        <x:f>D7*Assumptions!$F$27/Assumptions!$F$8</x:f>
        <x:v>3.90625</x:v>
      </x:c>
      <x:c r="E25" s="67" t="n">
        <x:f>E7*Assumptions!$F$27/Assumptions!$F$8</x:f>
        <x:v>15.625</x:v>
      </x:c>
      <x:c r="F25" s="67" t="n">
        <x:f>F7*Assumptions!$F$27/Assumptions!$F$8</x:f>
        <x:v>117.1875</x:v>
      </x:c>
      <x:c r="G25" s="67" t="n">
        <x:f>G7*Assumptions!$F$27/Assumptions!$F$8</x:f>
        <x:v>234.375</x:v>
      </x:c>
      <x:c r="H25" s="32" t="s">
        <x:v>369</x:v>
      </x:c>
    </x:row>
    <x:row r="26" ht="15.949999809265137" customHeight="1">
      <x:c r="B26" s="12" t="s">
        <x:v>370</x:v>
      </x:c>
      <x:c r="C26" s="67" t="n">
        <x:f>C7*Assumptions!$F$28/Assumptions!$F$8</x:f>
        <x:v>0.0703125</x:v>
      </x:c>
      <x:c r="D26" s="67" t="n">
        <x:f>D7*Assumptions!$F$28/Assumptions!$F$8</x:f>
        <x:v>11.71875</x:v>
      </x:c>
      <x:c r="E26" s="67" t="n">
        <x:f>E7*Assumptions!$F$28/Assumptions!$F$8</x:f>
        <x:v>46.875</x:v>
      </x:c>
      <x:c r="F26" s="67" t="n">
        <x:f>F7*Assumptions!$F$28/Assumptions!$F$8</x:f>
        <x:v>351.5625</x:v>
      </x:c>
      <x:c r="G26" s="67" t="n">
        <x:f>G7*Assumptions!$F$28/Assumptions!$F$8</x:f>
        <x:v>703.125</x:v>
      </x:c>
      <x:c r="H26" s="32" t="s">
        <x:v>371</x:v>
      </x:c>
    </x:row>
    <x:row r="27" ht="15.949999809265137" customHeight="1">
      <x:c r="B27" s="12" t="s">
        <x:v>372</x:v>
      </x:c>
      <x:c r="C27" s="67" t="n">
        <x:f>CHOOSE(Assumptions!$C$4,'Scenario Engine'!B40,'Scenario Engine'!H40,'Scenario Engine'!N40)</x:f>
        <x:v>33</x:v>
      </x:c>
      <x:c r="D27" s="67" t="n">
        <x:f>CHOOSE(Assumptions!$C$4,'Scenario Engine'!C40,'Scenario Engine'!I40,'Scenario Engine'!O40)</x:f>
        <x:v>4150</x:v>
      </x:c>
      <x:c r="E27" s="67" t="n">
        <x:f>CHOOSE(Assumptions!$C$4,'Scenario Engine'!D40,'Scenario Engine'!J40,'Scenario Engine'!P40)</x:f>
        <x:v>12600.000000000002</x:v>
      </x:c>
      <x:c r="F27" s="67" t="n">
        <x:f>CHOOSE(Assumptions!$C$4,'Scenario Engine'!E40,'Scenario Engine'!K40,'Scenario Engine'!Q40)</x:f>
        <x:v>70800.00000000001</x:v>
      </x:c>
      <x:c r="G27" s="67" t="n">
        <x:f>CHOOSE(Assumptions!$C$4,'Scenario Engine'!F40,'Scenario Engine'!L40,'Scenario Engine'!R40)</x:f>
        <x:v>117000</x:v>
      </x:c>
      <x:c r="H27" s="32" t="s">
        <x:v>373</x:v>
      </x:c>
    </x:row>
    <x:row r="28" ht="15.949999809265137" customHeight="1">
      <x:c r="B28" s="12" t="str">
        <x:v>Exception handling and operational-risk costs</x:v>
      </x:c>
      <x:c r="C28" s="67" t="n">
        <x:f>CHOOSE(Assumptions!$C$4,SUM('Scenario Engine'!B41:B42),SUM('Scenario Engine'!H41:H42),SUM('Scenario Engine'!N41:N42))</x:f>
        <x:v>254.28000000000003</x:v>
      </x:c>
      <x:c r="D28" s="67" t="n">
        <x:f>CHOOSE(Assumptions!$C$4,SUM('Scenario Engine'!C41:C42),SUM('Scenario Engine'!I41:I42),SUM('Scenario Engine'!O41:O42))</x:f>
        <x:v>44744</x:v>
      </x:c>
      <x:c r="E28" s="67" t="n">
        <x:f>CHOOSE(Assumptions!$C$4,SUM('Scenario Engine'!D41:D42),SUM('Scenario Engine'!J41:J42),SUM('Scenario Engine'!P41:P42))</x:f>
        <x:v>171904</x:v>
      </x:c>
      <x:c r="F28" s="67" t="n">
        <x:f>CHOOSE(Assumptions!$C$4,SUM('Scenario Engine'!E41:E42),SUM('Scenario Engine'!K41:K42),SUM('Scenario Engine'!Q41:Q42))</x:f>
        <x:v>1278865</x:v>
      </x:c>
      <x:c r="G28" s="67" t="n">
        <x:f>CHOOSE(Assumptions!$C$4,SUM('Scenario Engine'!F41:F42),SUM('Scenario Engine'!L41:L42),SUM('Scenario Engine'!R41:R42))</x:f>
        <x:v>2747094</x:v>
      </x:c>
      <x:c r="H28" s="32" t="str">
        <x:v>Disputes, enhanced review, continuity allowances and partner commissions.</x:v>
      </x:c>
    </x:row>
    <x:row r="29" ht="15.949999809265137" customHeight="1">
      <x:c r="B29" s="24" t="s">
        <x:v>374</x:v>
      </x:c>
      <x:c r="C29" s="92" t="n">
        <x:f>SUM(C20:C28)</x:f>
        <x:v>707.15578125</x:v>
      </x:c>
      <x:c r="D29" s="92" t="n">
        <x:f>SUM(D20:D28)</x:f>
        <x:v>96717.828125</x:v>
      </x:c>
      <x:c r="E29" s="92" t="n">
        <x:f>SUM(E20:E28)</x:f>
        <x:v>314247.75</x:v>
      </x:c>
      <x:c r="F29" s="92" t="n">
        <x:f>SUM(F20:F28)</x:f>
        <x:v>1982922.8125</x:v>
      </x:c>
      <x:c r="G29" s="92" t="n">
        <x:f>SUM(G20:G28)</x:f>
        <x:v>3812867.4375</x:v>
      </x:c>
      <x:c r="H29" s="93" t="s">
        <x:v>375</x:v>
      </x:c>
    </x:row>
    <x:row r="30" ht="15.949999809265137" customHeight="1">
      <x:c r="B30" s="24" t="s">
        <x:v>376</x:v>
      </x:c>
      <x:c r="C30" s="92" t="n">
        <x:f>C18-C29</x:f>
        <x:v>1741.8942187500002</x:v>
      </x:c>
      <x:c r="D30" s="92" t="n">
        <x:f>D18-D29</x:f>
        <x:v>307831.171875</x:v>
      </x:c>
      <x:c r="E30" s="92" t="n">
        <x:f>E18-E29</x:f>
        <x:v>1073656.25</x:v>
      </x:c>
      <x:c r="F30" s="92" t="n">
        <x:f>F18-F29</x:f>
        <x:v>6959769.107500002</x:v>
      </x:c>
      <x:c r="G30" s="92" t="n">
        <x:f>G18-G29</x:f>
        <x:v>14019746.240000002</x:v>
      </x:c>
      <x:c r="H30" s="93" t="s">
        <x:v>377</x:v>
      </x:c>
    </x:row>
    <x:row r="31" ht="15.949999809265137" customHeight="1">
      <x:c r="B31" s="12" t="s">
        <x:v>378</x:v>
      </x:c>
      <x:c r="C31" s="82" t="n">
        <x:f>IF(C18=0,0,C30/C18)</x:f>
        <x:v>0.7112530241318062</x:v>
      </x:c>
      <x:c r="D31" s="82" t="n">
        <x:f>IF(D18=0,0,D30/D18)</x:f>
        <x:v>0.7609243178823826</x:v>
      </x:c>
      <x:c r="E31" s="82" t="n">
        <x:f>IF(E18=0,0,E30/E18)</x:f>
        <x:v>0.7735810618025454</x:v>
      </x:c>
      <x:c r="F31" s="82" t="n">
        <x:f>IF(F18=0,0,F30/F18)</x:f>
        <x:v>0.7782633204588804</x:v>
      </x:c>
      <x:c r="G31" s="82" t="n">
        <x:f>IF(G18=0,0,G30/G18)</x:f>
        <x:v>0.7861857209237465</x:v>
      </x:c>
      <x:c r="H31" s="32" t="s">
        <x:v>379</x:v>
      </x:c>
    </x:row>
    <x:row r="32" ht="20.100000381469727" customHeight="1">
      <x:c r="B32" s="5" t="s">
        <x:v>380</x:v>
      </x:c>
      <x:c r="C32" s="5"/>
      <x:c r="D32" s="5"/>
      <x:c r="E32" s="5"/>
      <x:c r="F32" s="5"/>
      <x:c r="G32" s="5"/>
      <x:c r="H32" s="5"/>
    </x:row>
    <x:row r="33" ht="15.949999809265137" customHeight="1">
      <x:c r="B33" s="12" t="s">
        <x:v>381</x:v>
      </x:c>
      <x:c r="C33" s="68" t="n">
        <x:f>Assumptions!$F$43*'Launch Readiness'!$D$38</x:f>
        <x:v>4</x:v>
      </x:c>
      <x:c r="D33" s="68" t="n">
        <x:f>Assumptions!$F$43*'Launch Readiness'!$E$38</x:f>
        <x:v>4</x:v>
      </x:c>
      <x:c r="E33" s="68" t="n">
        <x:f>Assumptions!$F$43*'Launch Readiness'!$F$38</x:f>
        <x:v>4</x:v>
      </x:c>
      <x:c r="F33" s="68" t="n">
        <x:f>Assumptions!$F$43*'Launch Readiness'!$G$38</x:f>
        <x:v>4</x:v>
      </x:c>
      <x:c r="G33" s="68" t="n">
        <x:f>Assumptions!$F$43*'Launch Readiness'!$H$38</x:f>
        <x:v>4</x:v>
      </x:c>
      <x:c r="H33" s="32" t="s">
        <x:v>382</x:v>
      </x:c>
    </x:row>
    <x:row r="34" ht="15.949999809265137" customHeight="1">
      <x:c r="B34" s="12" t="s">
        <x:v>383</x:v>
      </x:c>
      <x:c r="C34" s="68" t="n">
        <x:f>(Assumptions!$F$44+0)*'Launch Readiness'!$D$39</x:f>
        <x:v>1.3333333333333333</x:v>
      </x:c>
      <x:c r="D34" s="68" t="n">
        <x:f>(Assumptions!$F$44+1)*'Launch Readiness'!$E$39</x:f>
        <x:v>3</x:v>
      </x:c>
      <x:c r="E34" s="68" t="n">
        <x:f>(Assumptions!$F$44+2)*'Launch Readiness'!$F$39</x:f>
        <x:v>4</x:v>
      </x:c>
      <x:c r="F34" s="68" t="n">
        <x:f>(Assumptions!$F$44+3)*'Launch Readiness'!$G$39</x:f>
        <x:v>5</x:v>
      </x:c>
      <x:c r="G34" s="68" t="n">
        <x:f>(Assumptions!$F$44+4)*'Launch Readiness'!$H$39</x:f>
        <x:v>6</x:v>
      </x:c>
      <x:c r="H34" s="32" t="s">
        <x:v>384</x:v>
      </x:c>
    </x:row>
    <x:row r="35" ht="15.949999809265137" customHeight="1">
      <x:c r="B35" s="12" t="s">
        <x:v>385</x:v>
      </x:c>
      <x:c r="C35" s="68" t="n">
        <x:f>(Assumptions!$F$45+0)*'Launch Readiness'!$D$40</x:f>
        <x:v>2</x:v>
      </x:c>
      <x:c r="D35" s="68" t="n">
        <x:f>(Assumptions!$F$45+1)*'Launch Readiness'!$E$40</x:f>
        <x:v>3</x:v>
      </x:c>
      <x:c r="E35" s="68" t="n">
        <x:f>(Assumptions!$F$45+2)*'Launch Readiness'!$F$40</x:f>
        <x:v>4</x:v>
      </x:c>
      <x:c r="F35" s="68" t="n">
        <x:f>(Assumptions!$F$45+3)*'Launch Readiness'!$G$40</x:f>
        <x:v>5</x:v>
      </x:c>
      <x:c r="G35" s="68" t="n">
        <x:f>(Assumptions!$F$45+4)*'Launch Readiness'!$H$40</x:f>
        <x:v>6</x:v>
      </x:c>
      <x:c r="H35" s="32" t="s">
        <x:v>386</x:v>
      </x:c>
    </x:row>
    <x:row r="36" ht="15.949999809265137" customHeight="1">
      <x:c r="B36" s="12" t="s">
        <x:v>387</x:v>
      </x:c>
      <x:c r="C36" s="68" t="n">
        <x:f>Assumptions!C$183*'Launch Readiness'!D$41</x:f>
        <x:v>0.3333333333333333</x:v>
      </x:c>
      <x:c r="D36" s="68" t="n">
        <x:f>Assumptions!D$183*'Launch Readiness'!E$41</x:f>
        <x:v>2</x:v>
      </x:c>
      <x:c r="E36" s="68" t="n">
        <x:f>Assumptions!E$183*'Launch Readiness'!F$41</x:f>
        <x:v>3</x:v>
      </x:c>
      <x:c r="F36" s="68" t="n">
        <x:f>Assumptions!F$183*'Launch Readiness'!G$41</x:f>
        <x:v>7</x:v>
      </x:c>
      <x:c r="G36" s="68" t="n">
        <x:f>Assumptions!G$183*'Launch Readiness'!H$41</x:f>
        <x:v>8</x:v>
      </x:c>
      <x:c r="H36" s="32" t="s">
        <x:v>388</x:v>
      </x:c>
    </x:row>
    <x:row r="37" ht="15.949999809265137" customHeight="1">
      <x:c r="B37" s="24" t="s">
        <x:v>389</x:v>
      </x:c>
      <x:c r="C37" s="94" t="n">
        <x:f>C33+C34+C35+C36</x:f>
        <x:v>7.666666666666666</x:v>
      </x:c>
      <x:c r="D37" s="94" t="n">
        <x:f>D33+D34+D35+D36</x:f>
        <x:v>12</x:v>
      </x:c>
      <x:c r="E37" s="94" t="n">
        <x:f>E33+E34+E35+E36</x:f>
        <x:v>15</x:v>
      </x:c>
      <x:c r="F37" s="94" t="n">
        <x:f>F33+F34+F35+F36</x:f>
        <x:v>21</x:v>
      </x:c>
      <x:c r="G37" s="94" t="n">
        <x:f>G33+G34+G35+G36</x:f>
        <x:v>24</x:v>
      </x:c>
      <x:c r="H37" s="93" t="s">
        <x:v>390</x:v>
      </x:c>
    </x:row>
    <x:row r="38" ht="15.949999809265137" customHeight="1">
      <x:c r="B38" s="12" t="s">
        <x:v>391</x:v>
      </x:c>
      <x:c r="C38" s="67" t="n">
        <x:f>C33*Assumptions!$F$48+C34*Assumptions!$F$49+C35*Assumptions!$F$50+C36*Assumptions!$F$51</x:f>
        <x:v>410000</x:v>
      </x:c>
      <x:c r="D38" s="67" t="n">
        <x:f>D33*Assumptions!$F$48+D34*Assumptions!$F$49+D35*Assumptions!$F$50+D36*Assumptions!$F$51</x:f>
        <x:v>670000</x:v>
      </x:c>
      <x:c r="E38" s="67" t="n">
        <x:f>E33*Assumptions!$F$48+E34*Assumptions!$F$49+E35*Assumptions!$F$50+E36*Assumptions!$F$51</x:f>
        <x:v>850000</x:v>
      </x:c>
      <x:c r="F38" s="67" t="n">
        <x:f>F33*Assumptions!$F$48+F34*Assumptions!$F$49+F35*Assumptions!$F$50+F36*Assumptions!$F$51</x:f>
        <x:v>1180000</x:v>
      </x:c>
      <x:c r="G38" s="67" t="n">
        <x:f>G33*Assumptions!$F$48+G34*Assumptions!$F$49+G35*Assumptions!$F$50+G36*Assumptions!$F$51</x:f>
        <x:v>1360000</x:v>
      </x:c>
      <x:c r="H38" s="32" t="s">
        <x:v>392</x:v>
      </x:c>
    </x:row>
    <x:row r="39" ht="15.949999809265137" customHeight="1">
      <x:c r="B39" s="12" t="s">
        <x:v>393</x:v>
      </x:c>
      <x:c r="C39" s="67" t="n">
        <x:f>MAX(0,(C38-Assumptions!$F$53*C37)*Assumptions!$F$52-Assumptions!$F$57)</x:f>
        <x:v>45250</x:v>
      </x:c>
      <x:c r="D39" s="67" t="n">
        <x:f>MAX(0,(D38-Assumptions!$F$53*D37)*Assumptions!$F$52-Assumptions!$F$57)</x:f>
        <x:v>81000</x:v>
      </x:c>
      <x:c r="E39" s="67" t="n">
        <x:f>MAX(0,(E38-Assumptions!$F$53*E37)*Assumptions!$F$52-Assumptions!$F$57)</x:f>
        <x:v>105750</x:v>
      </x:c>
      <x:c r="F39" s="67" t="n">
        <x:f>MAX(0,(F38-Assumptions!$F$53*F37)*Assumptions!$F$52-Assumptions!$F$57)</x:f>
        <x:v>150750</x:v>
      </x:c>
      <x:c r="G39" s="67" t="n">
        <x:f>MAX(0,(G38-Assumptions!$F$53*G37)*Assumptions!$F$52-Assumptions!$F$57)</x:f>
        <x:v>175500</x:v>
      </x:c>
      <x:c r="H39" s="32" t="s">
        <x:v>394</x:v>
      </x:c>
    </x:row>
    <x:row r="40" ht="15.949999809265137" customHeight="1">
      <x:c r="B40" s="12" t="s">
        <x:v>395</x:v>
      </x:c>
      <x:c r="C40" s="67" t="n">
        <x:f>C38*Assumptions!$F$54</x:f>
        <x:v>16400</x:v>
      </x:c>
      <x:c r="D40" s="67" t="n">
        <x:f>D38*Assumptions!$F$54</x:f>
        <x:v>26800</x:v>
      </x:c>
      <x:c r="E40" s="67" t="n">
        <x:f>E38*Assumptions!$F$54</x:f>
        <x:v>34000</x:v>
      </x:c>
      <x:c r="F40" s="67" t="n">
        <x:f>F38*Assumptions!$F$54</x:f>
        <x:v>47200</x:v>
      </x:c>
      <x:c r="G40" s="67" t="n">
        <x:f>G38*Assumptions!$F$54</x:f>
        <x:v>54400</x:v>
      </x:c>
      <x:c r="H40" s="32" t="s">
        <x:v>396</x:v>
      </x:c>
    </x:row>
    <x:row r="41" ht="15.949999809265137" customHeight="1">
      <x:c r="B41" s="12" t="s">
        <x:v>397</x:v>
      </x:c>
      <x:c r="C41" s="67" t="n">
        <x:f>C38*Assumptions!$F$55</x:f>
        <x:v>12300</x:v>
      </x:c>
      <x:c r="D41" s="67" t="n">
        <x:f>D38*Assumptions!$F$55</x:f>
        <x:v>20100</x:v>
      </x:c>
      <x:c r="E41" s="67" t="n">
        <x:f>E38*Assumptions!$F$55</x:f>
        <x:v>25500</x:v>
      </x:c>
      <x:c r="F41" s="67" t="n">
        <x:f>F38*Assumptions!$F$55</x:f>
        <x:v>35400</x:v>
      </x:c>
      <x:c r="G41" s="67" t="n">
        <x:f>G38*Assumptions!$F$55</x:f>
        <x:v>40800</x:v>
      </x:c>
      <x:c r="H41" s="32" t="s">
        <x:v>398</x:v>
      </x:c>
    </x:row>
    <x:row r="42" ht="15.949999809265137" customHeight="1">
      <x:c r="B42" s="24" t="s">
        <x:v>399</x:v>
      </x:c>
      <x:c r="C42" s="92" t="n">
        <x:f>C38+C39+C40+C41</x:f>
        <x:v>483950</x:v>
      </x:c>
      <x:c r="D42" s="92" t="n">
        <x:f>D38+D39+D40+D41</x:f>
        <x:v>797900</x:v>
      </x:c>
      <x:c r="E42" s="92" t="n">
        <x:f>E38+E39+E40+E41</x:f>
        <x:v>1015250</x:v>
      </x:c>
      <x:c r="F42" s="92" t="n">
        <x:f>F38+F39+F40+F41</x:f>
        <x:v>1413350</x:v>
      </x:c>
      <x:c r="G42" s="92" t="n">
        <x:f>G38+G39+G40+G41</x:f>
        <x:v>1630700</x:v>
      </x:c>
      <x:c r="H42" s="93" t="s">
        <x:v>400</x:v>
      </x:c>
    </x:row>
    <x:row r="43" ht="20.100000381469727" customHeight="1">
      <x:c r="B43" s="5" t="s">
        <x:v>401</x:v>
      </x:c>
      <x:c r="C43" s="5"/>
      <x:c r="D43" s="5"/>
      <x:c r="E43" s="5"/>
      <x:c r="F43" s="5"/>
      <x:c r="G43" s="5"/>
      <x:c r="H43" s="5"/>
    </x:row>
    <x:row r="44" ht="15.949999809265137" customHeight="1">
      <x:c r="B44" s="12" t="s">
        <x:v>402</x:v>
      </x:c>
      <x:c r="C44" s="67" t="n">
        <x:f>Assumptions!$F$30*12*1</x:f>
        <x:v>4200</x:v>
      </x:c>
      <x:c r="D44" s="67" t="n">
        <x:f>Assumptions!$F$30*12*1.5</x:f>
        <x:v>6300</x:v>
      </x:c>
      <x:c r="E44" s="67" t="n">
        <x:f>Assumptions!$F$30*12*2.5</x:f>
        <x:v>10500</x:v>
      </x:c>
      <x:c r="F44" s="67" t="n">
        <x:f>Assumptions!$F$30*12*4</x:f>
        <x:v>16800</x:v>
      </x:c>
      <x:c r="G44" s="67" t="n">
        <x:f>Assumptions!$F$30*12*6</x:f>
        <x:v>25200</x:v>
      </x:c>
      <x:c r="H44" s="32" t="s">
        <x:v>403</x:v>
      </x:c>
    </x:row>
    <x:row r="45" ht="15.949999809265137" customHeight="1">
      <x:c r="B45" s="12" t="s">
        <x:v>404</x:v>
      </x:c>
      <x:c r="C45" s="67" t="n">
        <x:f>Assumptions!$F$31*12*1</x:f>
        <x:v>2640</x:v>
      </x:c>
      <x:c r="D45" s="67" t="n">
        <x:f>Assumptions!$F$31*12*1.5</x:f>
        <x:v>3960</x:v>
      </x:c>
      <x:c r="E45" s="67" t="n">
        <x:f>Assumptions!$F$31*12*2.5</x:f>
        <x:v>6600</x:v>
      </x:c>
      <x:c r="F45" s="67" t="n">
        <x:f>Assumptions!$F$31*12*4</x:f>
        <x:v>10560</x:v>
      </x:c>
      <x:c r="G45" s="67" t="n">
        <x:f>Assumptions!$F$31*12*6</x:f>
        <x:v>15840</x:v>
      </x:c>
      <x:c r="H45" s="32" t="s">
        <x:v>403</x:v>
      </x:c>
    </x:row>
    <x:row r="46" ht="15.949999809265137" customHeight="1">
      <x:c r="B46" s="12" t="s">
        <x:v>405</x:v>
      </x:c>
      <x:c r="C46" s="67" t="n">
        <x:f>Assumptions!$F$32*12*1</x:f>
        <x:v>3000</x:v>
      </x:c>
      <x:c r="D46" s="67" t="n">
        <x:f>Assumptions!$F$32*12*1.5</x:f>
        <x:v>4500</x:v>
      </x:c>
      <x:c r="E46" s="67" t="n">
        <x:f>Assumptions!$F$32*12*2.5</x:f>
        <x:v>7500</x:v>
      </x:c>
      <x:c r="F46" s="67" t="n">
        <x:f>Assumptions!$F$32*12*4</x:f>
        <x:v>12000</x:v>
      </x:c>
      <x:c r="G46" s="67" t="n">
        <x:f>Assumptions!$F$32*12*6</x:f>
        <x:v>18000</x:v>
      </x:c>
      <x:c r="H46" s="32" t="s">
        <x:v>403</x:v>
      </x:c>
    </x:row>
    <x:row r="47" ht="15.949999809265137" customHeight="1">
      <x:c r="B47" s="12" t="s">
        <x:v>406</x:v>
      </x:c>
      <x:c r="C47" s="67" t="n">
        <x:f>Assumptions!$F$33*12*C37/6</x:f>
        <x:v>920</x:v>
      </x:c>
      <x:c r="D47" s="67" t="n">
        <x:f>Assumptions!$F$33*12*D37/6</x:f>
        <x:v>1440</x:v>
      </x:c>
      <x:c r="E47" s="67" t="n">
        <x:f>Assumptions!$F$33*12*E37/6</x:f>
        <x:v>1800</x:v>
      </x:c>
      <x:c r="F47" s="67" t="n">
        <x:f>Assumptions!$F$33*12*F37/6</x:f>
        <x:v>2520</x:v>
      </x:c>
      <x:c r="G47" s="67" t="n">
        <x:f>Assumptions!$F$33*12*G37/6</x:f>
        <x:v>2880</x:v>
      </x:c>
      <x:c r="H47" s="32" t="s">
        <x:v>407</x:v>
      </x:c>
    </x:row>
    <x:row r="48" ht="15.949999809265137" customHeight="1">
      <x:c r="B48" s="12" t="s">
        <x:v>408</x:v>
      </x:c>
      <x:c r="C48" s="67" t="n">
        <x:f>Assumptions!$F$34*12*C37/6</x:f>
        <x:v>1380</x:v>
      </x:c>
      <x:c r="D48" s="67" t="n">
        <x:f>Assumptions!$F$34*12*D37/6</x:f>
        <x:v>2160</x:v>
      </x:c>
      <x:c r="E48" s="67" t="n">
        <x:f>Assumptions!$F$34*12*E37/6</x:f>
        <x:v>2700</x:v>
      </x:c>
      <x:c r="F48" s="67" t="n">
        <x:f>Assumptions!$F$34*12*F37/6</x:f>
        <x:v>3780</x:v>
      </x:c>
      <x:c r="G48" s="67" t="n">
        <x:f>Assumptions!$F$34*12*G37/6</x:f>
        <x:v>4320</x:v>
      </x:c>
      <x:c r="H48" s="32" t="s">
        <x:v>407</x:v>
      </x:c>
    </x:row>
    <x:row r="49" ht="15.949999809265137" customHeight="1">
      <x:c r="B49" s="12" t="s">
        <x:v>409</x:v>
      </x:c>
      <x:c r="C49" s="67" t="n">
        <x:f>Assumptions!$F$35*12*MAX(1,C36)</x:f>
        <x:v>960</x:v>
      </x:c>
      <x:c r="D49" s="67" t="n">
        <x:f>Assumptions!$F$35*12*MAX(1,D36)</x:f>
        <x:v>1920</x:v>
      </x:c>
      <x:c r="E49" s="67" t="n">
        <x:f>Assumptions!$F$35*12*MAX(1,E36)</x:f>
        <x:v>2880</x:v>
      </x:c>
      <x:c r="F49" s="67" t="n">
        <x:f>Assumptions!$F$35*12*MAX(1,F36)</x:f>
        <x:v>6720</x:v>
      </x:c>
      <x:c r="G49" s="67" t="n">
        <x:f>Assumptions!$F$35*12*MAX(1,G36)</x:f>
        <x:v>7680</x:v>
      </x:c>
      <x:c r="H49" s="32" t="s">
        <x:v>410</x:v>
      </x:c>
    </x:row>
    <x:row r="50" ht="15.949999809265137" customHeight="1">
      <x:c r="B50" s="12" t="s">
        <x:v>411</x:v>
      </x:c>
      <x:c r="C50" s="67" t="n">
        <x:f>Assumptions!$F$36*12*1</x:f>
        <x:v>4200</x:v>
      </x:c>
      <x:c r="D50" s="67" t="n">
        <x:f>Assumptions!$F$36*12*1.25</x:f>
        <x:v>5250</x:v>
      </x:c>
      <x:c r="E50" s="67" t="n">
        <x:f>Assumptions!$F$36*12*1.5</x:f>
        <x:v>6300</x:v>
      </x:c>
      <x:c r="F50" s="67" t="n">
        <x:f>Assumptions!$F$36*12*1.75</x:f>
        <x:v>7350</x:v>
      </x:c>
      <x:c r="G50" s="67" t="n">
        <x:f>Assumptions!$F$36*12*2</x:f>
        <x:v>8400</x:v>
      </x:c>
      <x:c r="H50" s="32" t="s">
        <x:v>403</x:v>
      </x:c>
    </x:row>
    <x:row r="51" ht="15.949999809265137" customHeight="1">
      <x:c r="B51" s="12" t="s">
        <x:v>412</x:v>
      </x:c>
      <x:c r="C51" s="67" t="n">
        <x:f>Assumptions!$F$37*12*1</x:f>
        <x:v>7200</x:v>
      </x:c>
      <x:c r="D51" s="67" t="n">
        <x:f>Assumptions!$F$37*12*1.5</x:f>
        <x:v>10800</x:v>
      </x:c>
      <x:c r="E51" s="67" t="n">
        <x:f>Assumptions!$F$37*12*2</x:f>
        <x:v>14400</x:v>
      </x:c>
      <x:c r="F51" s="67" t="n">
        <x:f>Assumptions!$F$37*12*2.5</x:f>
        <x:v>18000</x:v>
      </x:c>
      <x:c r="G51" s="67" t="n">
        <x:f>Assumptions!$F$37*12*3</x:f>
        <x:v>21600</x:v>
      </x:c>
      <x:c r="H51" s="32" t="s">
        <x:v>413</x:v>
      </x:c>
    </x:row>
    <x:row r="52" ht="15.949999809265137" customHeight="1">
      <x:c r="B52" s="12" t="str">
        <x:v>Compliance, regulation and operational resilience</x:v>
      </x:c>
      <x:c r="C52" s="67" t="n">
        <x:f>(Assumptions!$F$38*12*1+'Revenue Risk Add-Ons'!B21)+'Launch Readiness'!$E$9*'Launch Readiness'!$B$34+'Launch Readiness'!$E$9*'Launch Readiness'!$B$10*'Launch Readiness'!$B$30+'Launch Readiness'!$E$16*'Launch Readiness'!$B$32</x:f>
        <x:v>221479.1666666667</x:v>
      </x:c>
      <x:c r="D52" s="67" t="n">
        <x:f>(Assumptions!$F$38*12*1.5+'Revenue Risk Add-Ons'!C21)+'Launch Readiness'!$E$9*'Launch Readiness'!$C$34+'Launch Readiness'!$E$9*'Launch Readiness'!$B$10*'Launch Readiness'!$C$30+'Launch Readiness'!$E$16*'Launch Readiness'!$C$32</x:f>
        <x:v>250330.8333333333</x:v>
      </x:c>
      <x:c r="E52" s="67" t="n">
        <x:f>(Assumptions!$F$38*12*2+'Revenue Risk Add-Ons'!D21)+'Launch Readiness'!$E$9*'Launch Readiness'!$D$34+'Launch Readiness'!$E$9*'Launch Readiness'!$B$10*'Launch Readiness'!$D$30+'Launch Readiness'!$E$16*'Launch Readiness'!$D$32</x:f>
        <x:v>288410</x:v>
      </x:c>
      <x:c r="F52" s="67" t="n">
        <x:f>(Assumptions!$F$38*12*2.5+'Revenue Risk Add-Ons'!E21)+'Launch Readiness'!$E$9*'Launch Readiness'!$E$34+'Launch Readiness'!$E$9*'Launch Readiness'!$B$10*'Launch Readiness'!$E$30+'Launch Readiness'!$E$16*'Launch Readiness'!$E$32</x:f>
        <x:v>319360</x:v>
      </x:c>
      <x:c r="G52" s="67" t="n">
        <x:f>(Assumptions!$F$38*12*3+'Revenue Risk Add-Ons'!F21)+'Launch Readiness'!$E$9*'Launch Readiness'!$F$34+'Launch Readiness'!$E$9*'Launch Readiness'!$B$10*'Launch Readiness'!$F$30+'Launch Readiness'!$E$16*'Launch Readiness'!$F$32</x:f>
        <x:v>350310</x:v>
      </x:c>
      <x:c r="H52" s="32" t="str">
        <x:v>MLRO support, security / resilience allowances, partner-pilot fees and later VARA supervision.</x:v>
      </x:c>
    </x:row>
    <x:row r="53" ht="15.949999809265137" customHeight="1">
      <x:c r="B53" s="12" t="s">
        <x:v>414</x:v>
      </x:c>
      <x:c r="C53" s="67" t="n">
        <x:f>Assumptions!$F$39*12*1</x:f>
        <x:v>30000</x:v>
      </x:c>
      <x:c r="D53" s="67" t="n">
        <x:f>Assumptions!$F$39*12*2</x:f>
        <x:v>60000</x:v>
      </x:c>
      <x:c r="E53" s="67" t="n">
        <x:f>Assumptions!$F$39*12*3</x:f>
        <x:v>90000</x:v>
      </x:c>
      <x:c r="F53" s="67" t="n">
        <x:f>Assumptions!$F$39*12*4</x:f>
        <x:v>120000</x:v>
      </x:c>
      <x:c r="G53" s="67" t="n">
        <x:f>Assumptions!$F$39*12*5</x:f>
        <x:v>150000</x:v>
      </x:c>
      <x:c r="H53" s="32" t="s">
        <x:v>410</x:v>
      </x:c>
    </x:row>
    <x:row r="54" ht="15.949999809265137" customHeight="1">
      <x:c r="B54" s="12" t="s">
        <x:v>415</x:v>
      </x:c>
      <x:c r="C54" s="67" t="n">
        <x:f>Assumptions!$F$40*12*C37/6</x:f>
        <x:v>6133.333333333333</x:v>
      </x:c>
      <x:c r="D54" s="67" t="n">
        <x:f>Assumptions!$F$40*12*D37/6</x:f>
        <x:v>9600</x:v>
      </x:c>
      <x:c r="E54" s="67" t="n">
        <x:f>Assumptions!$F$40*12*E37/6</x:f>
        <x:v>12000</x:v>
      </x:c>
      <x:c r="F54" s="67" t="n">
        <x:f>Assumptions!$F$40*12*F37/6</x:f>
        <x:v>16800</x:v>
      </x:c>
      <x:c r="G54" s="67" t="n">
        <x:f>Assumptions!$F$40*12*G37/6</x:f>
        <x:v>19200</x:v>
      </x:c>
      <x:c r="H54" s="32" t="s">
        <x:v>407</x:v>
      </x:c>
    </x:row>
    <x:row r="55" ht="15.949999809265137" customHeight="1">
      <x:c r="B55" s="12" t="s">
        <x:v>416</x:v>
      </x:c>
      <x:c r="C55" s="56" t="n">
        <x:f>0</x:f>
        <x:v>0</x:v>
      </x:c>
      <x:c r="D55" s="67" t="n">
        <x:f>Assumptions!$F$41*12*1</x:f>
        <x:v>8400</x:v>
      </x:c>
      <x:c r="E55" s="67" t="n">
        <x:f>Assumptions!$F$41*12*1</x:f>
        <x:v>8400</x:v>
      </x:c>
      <x:c r="F55" s="67" t="n">
        <x:f>Assumptions!$F$41*12*1.25</x:f>
        <x:v>10500</x:v>
      </x:c>
      <x:c r="G55" s="67" t="n">
        <x:f>Assumptions!$F$41*12*1.5</x:f>
        <x:v>12600</x:v>
      </x:c>
      <x:c r="H55" s="32" t="s">
        <x:v>417</x:v>
      </x:c>
    </x:row>
    <x:row r="56" ht="15.949999809265137" customHeight="1">
      <x:c r="B56" s="24" t="s">
        <x:v>418</x:v>
      </x:c>
      <x:c r="C56" s="92" t="n">
        <x:f>SUM(C44:C55)</x:f>
        <x:v>282112.5</x:v>
      </x:c>
      <x:c r="D56" s="92" t="n">
        <x:f>SUM(D44:D55)</x:f>
        <x:v>364660.8333333333</x:v>
      </x:c>
      <x:c r="E56" s="92" t="n">
        <x:f>SUM(E44:E55)</x:f>
        <x:v>451490</x:v>
      </x:c>
      <x:c r="F56" s="92" t="n">
        <x:f>SUM(F44:F55)</x:f>
        <x:v>544390</x:v>
      </x:c>
      <x:c r="G56" s="92" t="n">
        <x:f>SUM(G44:G55)</x:f>
        <x:v>636030</x:v>
      </x:c>
      <x:c r="H56" s="93" t="s">
        <x:v>419</x:v>
      </x:c>
    </x:row>
    <x:row r="57" ht="20.100000381469727" customHeight="1">
      <x:c r="B57" s="5" t="s">
        <x:v>420</x:v>
      </x:c>
      <x:c r="C57" s="5"/>
      <x:c r="D57" s="5"/>
      <x:c r="E57" s="5"/>
      <x:c r="F57" s="5"/>
      <x:c r="G57" s="5"/>
      <x:c r="H57" s="5"/>
    </x:row>
    <x:row r="58" ht="15.949999809265137" customHeight="1">
      <x:c r="B58" s="12" t="s">
        <x:v>421</x:v>
      </x:c>
      <x:c r="C58" s="67" t="n">
        <x:f>IF(COLUMN()-2=1,'Startup 6mo'!$F$44,0)+'Launch Readiness'!$E$8*'Launch Readiness'!B$27/MAX(1,'Launch Readiness'!$E$7)+'Launch Readiness'!$E$15*'Launch Readiness'!B$33</x:f>
        <x:v>345958.45</x:v>
      </x:c>
      <x:c r="D58" s="67" t="n">
        <x:f>IF(COLUMN()-2=1,'Startup 6mo'!$F$44,0)+'Launch Readiness'!$E$8*'Launch Readiness'!C$27/MAX(1,'Launch Readiness'!$E$7)+'Launch Readiness'!$E$15*'Launch Readiness'!C$33</x:f>
        <x:v>0</x:v>
      </x:c>
      <x:c r="E58" s="67" t="n">
        <x:f>IF(COLUMN()-2=1,'Startup 6mo'!$F$44,0)+'Launch Readiness'!$E$8*'Launch Readiness'!D$27/MAX(1,'Launch Readiness'!$E$7)+'Launch Readiness'!$E$15*'Launch Readiness'!D$33</x:f>
        <x:v>0</x:v>
      </x:c>
      <x:c r="F58" s="67" t="n">
        <x:f>IF(COLUMN()-2=1,'Startup 6mo'!$F$44,0)+'Launch Readiness'!$E$8*'Launch Readiness'!E$27/MAX(1,'Launch Readiness'!$E$7)+'Launch Readiness'!$E$15*'Launch Readiness'!E$33</x:f>
        <x:v>0</x:v>
      </x:c>
      <x:c r="G58" s="67" t="n">
        <x:f>IF(COLUMN()-2=1,'Startup 6mo'!$F$44,0)+'Launch Readiness'!$E$8*'Launch Readiness'!F$27/MAX(1,'Launch Readiness'!$E$7)+'Launch Readiness'!$E$15*'Launch Readiness'!F$33</x:f>
        <x:v>0</x:v>
      </x:c>
      <x:c r="H58" s="32" t="s">
        <x:v>422</x:v>
      </x:c>
    </x:row>
    <x:row r="59" ht="20.100000381469727" customHeight="1">
      <x:c r="B59" s="5" t="s">
        <x:v>423</x:v>
      </x:c>
      <x:c r="C59" s="5"/>
      <x:c r="D59" s="5"/>
      <x:c r="E59" s="5"/>
      <x:c r="F59" s="5"/>
      <x:c r="G59" s="5"/>
      <x:c r="H59" s="5"/>
    </x:row>
    <x:row r="60" ht="15.949999809265137" customHeight="1">
      <x:c r="B60" s="24" t="s">
        <x:v>424</x:v>
      </x:c>
      <x:c r="C60" s="92" t="n">
        <x:f>C42+C56+C58</x:f>
        <x:v>1112020.95</x:v>
      </x:c>
      <x:c r="D60" s="92" t="n">
        <x:f>D42+D56+D58</x:f>
        <x:v>1162560.8333333333</x:v>
      </x:c>
      <x:c r="E60" s="92" t="n">
        <x:f>E42+E56+E58</x:f>
        <x:v>1466740</x:v>
      </x:c>
      <x:c r="F60" s="92" t="n">
        <x:f>F42+F56+F58</x:f>
        <x:v>1957740</x:v>
      </x:c>
      <x:c r="G60" s="92" t="n">
        <x:f>G42+G56+G58</x:f>
        <x:v>2266730</x:v>
      </x:c>
      <x:c r="H60" s="93" t="s">
        <x:v>425</x:v>
      </x:c>
    </x:row>
    <x:row r="61" ht="15.949999809265137" customHeight="1">
      <x:c r="B61" s="24" t="s">
        <x:v>426</x:v>
      </x:c>
      <x:c r="C61" s="92" t="n">
        <x:f>C30-C42-C56</x:f>
        <x:v>-764320.6057812499</x:v>
      </x:c>
      <x:c r="D61" s="92" t="n">
        <x:f>D30-D42-D56</x:f>
        <x:v>-854729.6614583333</x:v>
      </x:c>
      <x:c r="E61" s="92" t="n">
        <x:f>E30-E42-E56</x:f>
        <x:v>-393083.75</x:v>
      </x:c>
      <x:c r="F61" s="92" t="n">
        <x:f>F30-F42-F56</x:f>
        <x:v>5002029.107500002</x:v>
      </x:c>
      <x:c r="G61" s="92" t="n">
        <x:f>G30-G42-G56</x:f>
        <x:v>11753016.240000002</x:v>
      </x:c>
      <x:c r="H61" s="93" t="s">
        <x:v>427</x:v>
      </x:c>
    </x:row>
    <x:row r="62" ht="15.949999809265137" customHeight="1">
      <x:c r="B62" s="26" t="s">
        <x:v>428</x:v>
      </x:c>
      <x:c r="C62" s="95" t="n">
        <x:f>C30-C60</x:f>
        <x:v>-1110279.05578125</x:v>
      </x:c>
      <x:c r="D62" s="95" t="n">
        <x:f>D30-D60</x:f>
        <x:v>-854729.6614583333</x:v>
      </x:c>
      <x:c r="E62" s="95" t="n">
        <x:f>E30-E60</x:f>
        <x:v>-393083.75</x:v>
      </x:c>
      <x:c r="F62" s="95" t="n">
        <x:f>F30-F60</x:f>
        <x:v>5002029.107500002</x:v>
      </x:c>
      <x:c r="G62" s="95" t="n">
        <x:f>G30-G60</x:f>
        <x:v>11753016.240000002</x:v>
      </x:c>
      <x:c r="H62" s="93" t="s">
        <x:v>429</x:v>
      </x:c>
    </x:row>
    <x:row r="63" ht="15.949999809265137" customHeight="1">
      <x:c r="B63" s="26" t="s">
        <x:v>430</x:v>
      </x:c>
      <x:c r="C63" s="95" t="n">
        <x:f>C62</x:f>
        <x:v>-1110279.05578125</x:v>
      </x:c>
      <x:c r="D63" s="95" t="n">
        <x:f>C63+D62</x:f>
        <x:v>-1965008.7172395831</x:v>
      </x:c>
      <x:c r="E63" s="95" t="n">
        <x:f>D63+E62</x:f>
        <x:v>-2358092.467239583</x:v>
      </x:c>
      <x:c r="F63" s="95" t="n">
        <x:f>E63+F62</x:f>
        <x:v>2643936.640260419</x:v>
      </x:c>
      <x:c r="G63" s="95" t="n">
        <x:f>F63+G62</x:f>
        <x:v>14396952.880260421</x:v>
      </x:c>
      <x:c r="H63" s="93" t="s">
        <x:v>431</x:v>
      </x:c>
    </x:row>
    <x:row r="64" ht="15.949999809265137" customHeight="1">
      <x:c r="B64" s="12" t="s">
        <x:v>432</x:v>
      </x:c>
      <x:c r="C64" s="67" t="n">
        <x:f>-MIN(0,'Cash Flow Statement'!$B$38:$M$38)</x:f>
        <x:v>1068227</x:v>
      </x:c>
      <x:c r="D64" s="67" t="n">
        <x:f>-MIN(0,'Cash Flow Statement'!$B$38:$Y$38)</x:f>
        <x:v>1976300</x:v>
      </x:c>
      <x:c r="E64" s="67" t="n">
        <x:f>-MIN(0,'Cash Flow Statement'!$B$38:$AK$38)</x:f>
        <x:v>2436689</x:v>
      </x:c>
      <x:c r="F64" s="67" t="n">
        <x:f>-MIN(0,'Cash Flow Statement'!$B$38:$AW$38)</x:f>
        <x:v>2649419</x:v>
      </x:c>
      <x:c r="G64" s="67" t="n">
        <x:f>-MIN(0,'Cash Flow Statement'!$B$38:$BI$38)</x:f>
        <x:v>2649419</x:v>
      </x:c>
      <x:c r="H64" s="32" t="s">
        <x:v>433</x:v>
      </x:c>
    </x:row>
    <x:row r="65" ht="15.949999809265137" customHeight="1">
      <x:c r="B65" s="12" t="s">
        <x:v>434</x:v>
      </x:c>
      <x:c r="C65" s="67" t="n">
        <x:f>ROUND('Launch Readiness'!$B$6*(INDEX($C$42:$G$42,1,MIN(5,ROUNDUP('Launch Readiness'!$E$6/12,0)))+INDEX($C$56:$G$56,1,MIN(5,ROUNDUP('Launch Readiness'!$E$6/12,0))))/12,0)</x:f>
        <x:v>191516</x:v>
      </x:c>
      <x:c r="D65" s="67" t="n">
        <x:f>ROUND('Launch Readiness'!$B$6*(INDEX($C$42:$G$42,1,MIN(5,ROUNDUP('Launch Readiness'!$E$6/12,0)))+INDEX($C$56:$G$56,1,MIN(5,ROUNDUP('Launch Readiness'!$E$6/12,0))))/12,0)</x:f>
        <x:v>191516</x:v>
      </x:c>
      <x:c r="E65" s="67" t="n">
        <x:f>ROUND('Launch Readiness'!$B$6*(INDEX($C$42:$G$42,1,MIN(5,ROUNDUP('Launch Readiness'!$E$6/12,0)))+INDEX($C$56:$G$56,1,MIN(5,ROUNDUP('Launch Readiness'!$E$6/12,0))))/12,0)</x:f>
        <x:v>191516</x:v>
      </x:c>
      <x:c r="F65" s="67" t="n">
        <x:f>ROUND('Launch Readiness'!$B$6*(INDEX($C$42:$G$42,1,MIN(5,ROUNDUP('Launch Readiness'!$E$6/12,0)))+INDEX($C$56:$G$56,1,MIN(5,ROUNDUP('Launch Readiness'!$E$6/12,0))))/12,0)</x:f>
        <x:v>191516</x:v>
      </x:c>
      <x:c r="G65" s="67" t="n">
        <x:f>ROUND('Launch Readiness'!$B$6*(INDEX($C$42:$G$42,1,MIN(5,ROUNDUP('Launch Readiness'!$E$6/12,0)))+INDEX($C$56:$G$56,1,MIN(5,ROUNDUP('Launch Readiness'!$E$6/12,0))))/12,0)</x:f>
        <x:v>191516</x:v>
      </x:c>
      <x:c r="H65" s="32" t="s">
        <x:v>435</x:v>
      </x:c>
    </x:row>
    <x:row r="66" ht="15.949999809265137" customHeight="1">
      <x:c r="B66" s="26" t="s">
        <x:v>436</x:v>
      </x:c>
      <x:c r="C66" s="95" t="n">
        <x:f>ROUND(C64+C65,0)</x:f>
        <x:v>1259743</x:v>
      </x:c>
      <x:c r="D66" s="95" t="n">
        <x:f>ROUND(D64+D65,0)</x:f>
        <x:v>2167816</x:v>
      </x:c>
      <x:c r="E66" s="95" t="n">
        <x:f>ROUND(E64+E65,0)</x:f>
        <x:v>2628205</x:v>
      </x:c>
      <x:c r="F66" s="95" t="n">
        <x:f>ROUND(F64+F65,0)</x:f>
        <x:v>2840935</x:v>
      </x:c>
      <x:c r="G66" s="95" t="n">
        <x:f>ROUND(G64+G65,0)</x:f>
        <x:v>2840935</x:v>
      </x:c>
      <x:c r="H66" s="93" t="s">
        <x:v>437</x:v>
      </x:c>
    </x:row>
    <x:row r="67" ht="20.100000381469727" customHeight="1">
      <x:c r="B67" s="5" t="s">
        <x:v>438</x:v>
      </x:c>
      <x:c r="C67" s="5"/>
      <x:c r="D67" s="5"/>
      <x:c r="E67" s="5"/>
      <x:c r="F67" s="5"/>
      <x:c r="G67" s="5"/>
      <x:c r="H67" s="5"/>
    </x:row>
    <x:row r="68" ht="21.950000762939453" customHeight="1">
      <x:c r="B68" s="10" t="s">
        <x:v>337</x:v>
      </x:c>
      <x:c r="C68" s="9" t="s">
        <x:v>203</x:v>
      </x:c>
      <x:c r="D68" s="9" t="s">
        <x:v>204</x:v>
      </x:c>
      <x:c r="E68" s="9" t="s">
        <x:v>205</x:v>
      </x:c>
      <x:c r="F68" s="9" t="s">
        <x:v>206</x:v>
      </x:c>
      <x:c r="G68" s="9" t="s">
        <x:v>207</x:v>
      </x:c>
      <x:c r="H68" s="10" t="s">
        <x:v>341</x:v>
      </x:c>
    </x:row>
    <x:row r="69" ht="15.949999809265137" customHeight="1">
      <x:c r="B69" s="12" t="s">
        <x:v>439</x:v>
      </x:c>
      <x:c r="C69" s="68" t="n">
        <x:f>Assumptions!$F$107</x:f>
        <x:v>3</x:v>
      </x:c>
      <x:c r="D69" s="68" t="n">
        <x:f>Assumptions!$F$108</x:f>
        <x:v>4</x:v>
      </x:c>
      <x:c r="E69" s="68" t="n">
        <x:f>Assumptions!$F$109</x:f>
        <x:v>6</x:v>
      </x:c>
      <x:c r="F69" s="68" t="n">
        <x:f>Assumptions!$F$157</x:f>
        <x:v>8</x:v>
      </x:c>
      <x:c r="G69" s="68" t="n">
        <x:f>Assumptions!$F$158</x:f>
        <x:v>10</x:v>
      </x:c>
      <x:c r="H69" s="32" t="s">
        <x:v>440</x:v>
      </x:c>
    </x:row>
    <x:row r="70" ht="15.949999809265137" customHeight="1">
      <x:c r="B70" s="12" t="s">
        <x:v>441</x:v>
      </x:c>
      <x:c r="C70" s="57" t="n">
        <x:f>IF(C69=0,0,C7/C69)</x:f>
        <x:v>1</x:v>
      </x:c>
      <x:c r="D70" s="57" t="n">
        <x:f>IF(D69=0,0,D7/D69)</x:f>
        <x:v>125</x:v>
      </x:c>
      <x:c r="E70" s="57" t="n">
        <x:f>IF(E69=0,0,E7/E69)</x:f>
        <x:v>333.3333333333333</x:v>
      </x:c>
      <x:c r="F70" s="57" t="n">
        <x:f>IF(F69=0,0,F7/F69)</x:f>
        <x:v>1875</x:v>
      </x:c>
      <x:c r="G70" s="57" t="n">
        <x:f>IF(G69=0,0,G7/G69)</x:f>
        <x:v>3000</x:v>
      </x:c>
      <x:c r="H70" s="32" t="s">
        <x:v>442</x:v>
      </x:c>
    </x:row>
    <x:row r="71" ht="15.949999809265137" customHeight="1">
      <x:c r="B71" s="12" t="s">
        <x:v>443</x:v>
      </x:c>
      <x:c r="C71" s="56" t="n">
        <x:f>IF(C7=0,0,C18/C7)</x:f>
        <x:v>816.35</x:v>
      </x:c>
      <x:c r="D71" s="56" t="n">
        <x:f>IF(D7=0,0,D18/D7)</x:f>
        <x:v>809.098</x:v>
      </x:c>
      <x:c r="E71" s="56" t="n">
        <x:f>IF(E7=0,0,E18/E7)</x:f>
        <x:v>693.952</x:v>
      </x:c>
      <x:c r="F71" s="56" t="n">
        <x:f>IF(F7=0,0,F18/F7)</x:f>
        <x:v>596.1794613333335</x:v>
      </x:c>
      <x:c r="G71" s="56" t="n">
        <x:f>IF(G7=0,0,G18/G7)</x:f>
        <x:v>594.4204559166667</x:v>
      </x:c>
      <x:c r="H71" s="32" t="s">
        <x:v>444</x:v>
      </x:c>
    </x:row>
    <x:row r="72" ht="15.949999809265137" customHeight="1">
      <x:c r="B72" s="12" t="s">
        <x:v>445</x:v>
      </x:c>
      <x:c r="C72" s="56" t="n">
        <x:f>IF(C70=0,0,C18/C70)</x:f>
        <x:v>2449.05</x:v>
      </x:c>
      <x:c r="D72" s="56" t="n">
        <x:f>IF(D70=0,0,D18/D70)</x:f>
        <x:v>3236.392</x:v>
      </x:c>
      <x:c r="E72" s="56" t="n">
        <x:f>IF(E70=0,0,E18/E70)</x:f>
        <x:v>4163.712</x:v>
      </x:c>
      <x:c r="F72" s="56" t="n">
        <x:f>IF(F70=0,0,F18/F70)</x:f>
        <x:v>4769.435690666668</x:v>
      </x:c>
      <x:c r="G72" s="56" t="n">
        <x:f>IF(G70=0,0,G18/G70)</x:f>
        <x:v>5944.204559166667</x:v>
      </x:c>
      <x:c r="H72" s="32" t="s">
        <x:v>446</x:v>
      </x:c>
    </x:row>
    <x:row r="73" ht="15.949999809265137" customHeight="1">
      <x:c r="B73" s="12" t="s">
        <x:v>447</x:v>
      </x:c>
      <x:c r="C73" s="20" t="str">
        <x:f>IF(C18&gt;Assumptions!$F$58,"Register / confirm VAT treatment","Below threshold")</x:f>
        <x:v>Below threshold</x:v>
      </x:c>
      <x:c r="D73" s="20" t="str">
        <x:f>IF(D18&gt;Assumptions!$F$58,"Register / confirm VAT treatment","Below threshold")</x:f>
        <x:v>Register / confirm VAT treatment</x:v>
      </x:c>
      <x:c r="E73" s="20" t="str">
        <x:f>IF(E18&gt;Assumptions!$F$58,"Register / confirm VAT treatment","Below threshold")</x:f>
        <x:v>Register / confirm VAT treatment</x:v>
      </x:c>
      <x:c r="F73" s="20" t="str">
        <x:f>IF(F18&gt;Assumptions!$F$58,"Register / confirm VAT treatment","Below threshold")</x:f>
        <x:v>Register / confirm VAT treatment</x:v>
      </x:c>
      <x:c r="G73" s="20" t="str">
        <x:f>IF(G18&gt;Assumptions!$F$58,"Register / confirm VAT treatment","Below threshold")</x:f>
        <x:v>Register / confirm VAT treatment</x:v>
      </x:c>
      <x:c r="H73" s="32" t="s">
        <x:v>448</x:v>
      </x:c>
    </x:row>
    <x:row r="74" ht="15.949999809265137" customHeight="1">
      <x:c r="B74" s="12" t="s">
        <x:v>449</x:v>
      </x:c>
      <x:c r="C74" s="18" t="str">
        <x:f>IF(AND(C31&gt;0.9,C23&gt;0),"Review COGS: margin may be optimistic","OK")</x:f>
        <x:v>OK</x:v>
      </x:c>
      <x:c r="D74" s="18" t="str">
        <x:f>IF(AND(D31&gt;0.9,D23&gt;0),"Review COGS: margin may be optimistic","OK")</x:f>
        <x:v>OK</x:v>
      </x:c>
      <x:c r="E74" s="18" t="str">
        <x:f>IF(AND(E31&gt;0.9,E23&gt;0),"Review COGS: margin may be optimistic","OK")</x:f>
        <x:v>OK</x:v>
      </x:c>
      <x:c r="F74" s="18" t="str">
        <x:f>IF(AND(F31&gt;0.9,F23&gt;0),"Review COGS: margin may be optimistic","OK")</x:f>
        <x:v>OK</x:v>
      </x:c>
      <x:c r="G74" s="18" t="str">
        <x:f>IF(AND(G31&gt;0.9,G23&gt;0),"Review COGS: margin may be optimistic","OK")</x:f>
        <x:v>OK</x:v>
      </x:c>
      <x:c r="H74" s="32" t="s">
        <x:v>450</x:v>
      </x:c>
    </x:row>
    <x:row r="75" ht="15.949999809265137" customHeight="1">
      <x:c r="B75" s="12" t="s">
        <x:v>451</x:v>
      </x:c>
      <x:c r="C75" s="76" t="n">
        <x:f>IF(C36=0,0,C83/C36)</x:f>
        <x:v>3</x:v>
      </x:c>
      <x:c r="D75" s="76" t="n">
        <x:f>IF(D36=0,0,D83/D36)</x:f>
        <x:v>62.05</x:v>
      </x:c>
      <x:c r="E75" s="76" t="n">
        <x:f>IF(E36=0,0,E83/E36)</x:f>
        <x:v>73.6111111111111</x:v>
      </x:c>
      <x:c r="F75" s="76" t="n">
        <x:f>IF(F36=0,0,F83/F36)</x:f>
        <x:v>225</x:v>
      </x:c>
      <x:c r="G75" s="76" t="n">
        <x:f>IF(G36=0,0,G83/G36)</x:f>
        <x:v>164.0625</x:v>
      </x:c>
      <x:c r="H75" s="32" t="str">
        <x:v>Capacity warning above Assumptions!F182; target volumes still drive revenue.</x:v>
      </x:c>
    </x:row>
    <x:row r="76" ht="20.100000381469727" customHeight="1">
      <x:c r="B76" s="5" t="s">
        <x:v>452</x:v>
      </x:c>
      <x:c r="C76" s="5"/>
      <x:c r="D76" s="5"/>
      <x:c r="E76" s="5"/>
      <x:c r="F76" s="5"/>
      <x:c r="G76" s="5"/>
      <x:c r="H76" s="5"/>
    </x:row>
    <x:row r="77" ht="21.950000762939453" customHeight="1">
      <x:c r="B77" s="10" t="s">
        <x:v>337</x:v>
      </x:c>
      <x:c r="C77" s="9" t="s">
        <x:v>203</x:v>
      </x:c>
      <x:c r="D77" s="9" t="s">
        <x:v>204</x:v>
      </x:c>
      <x:c r="E77" s="9" t="s">
        <x:v>205</x:v>
      </x:c>
      <x:c r="F77" s="9" t="s">
        <x:v>206</x:v>
      </x:c>
      <x:c r="G77" s="9" t="s">
        <x:v>207</x:v>
      </x:c>
      <x:c r="H77" s="10" t="s">
        <x:v>341</x:v>
      </x:c>
    </x:row>
    <x:row r="78" ht="15.949999809265137" customHeight="1">
      <x:c r="B78" s="12" t="s">
        <x:v>453</x:v>
      </x:c>
      <x:c r="C78" s="57" t="n">
        <x:f>C70</x:f>
        <x:v>1</x:v>
      </x:c>
      <x:c r="D78" s="57" t="n">
        <x:f>D70</x:f>
        <x:v>125</x:v>
      </x:c>
      <x:c r="E78" s="57" t="n">
        <x:f>E70</x:f>
        <x:v>333.3333333333333</x:v>
      </x:c>
      <x:c r="F78" s="57" t="n">
        <x:f>F70</x:f>
        <x:v>1875</x:v>
      </x:c>
      <x:c r="G78" s="57" t="n">
        <x:f>G70</x:f>
        <x:v>3000</x:v>
      </x:c>
      <x:c r="H78" s="32" t="s">
        <x:v>454</x:v>
      </x:c>
    </x:row>
    <x:row r="79" ht="15.949999809265137" customHeight="1">
      <x:c r="B79" s="12" t="s">
        <x:v>455</x:v>
      </x:c>
      <x:c r="C79" s="57" t="n">
        <x:f>0</x:f>
        <x:v>0</x:v>
      </x:c>
      <x:c r="D79" s="57" t="n">
        <x:f>C84</x:f>
        <x:v>1</x:v>
      </x:c>
      <x:c r="E79" s="57" t="n">
        <x:f>D84</x:f>
        <x:v>125</x:v>
      </x:c>
      <x:c r="F79" s="57" t="n">
        <x:f>E84</x:f>
        <x:v>333.3333333333333</x:v>
      </x:c>
      <x:c r="G79" s="57" t="n">
        <x:f>F84</x:f>
        <x:v>1875</x:v>
      </x:c>
      <x:c r="H79" s="32" t="s">
        <x:v>456</x:v>
      </x:c>
    </x:row>
    <x:row r="80" ht="15.949999809265137" customHeight="1">
      <x:c r="B80" s="12" t="s">
        <x:v>457</x:v>
      </x:c>
      <x:c r="C80" s="80" t="n">
        <x:f>0</x:f>
        <x:v>0</x:v>
      </x:c>
      <x:c r="D80" s="96" t="n">
        <x:f>Assumptions!$F$170</x:f>
        <x:v>0.1</x:v>
      </x:c>
      <x:c r="E80" s="96" t="n">
        <x:f>Assumptions!$F$170</x:f>
        <x:v>0.1</x:v>
      </x:c>
      <x:c r="F80" s="96" t="n">
        <x:f>Assumptions!$F$170</x:f>
        <x:v>0.1</x:v>
      </x:c>
      <x:c r="G80" s="96" t="n">
        <x:f>Assumptions!$F$170</x:f>
        <x:v>0.1</x:v>
      </x:c>
      <x:c r="H80" s="32" t="s">
        <x:v>458</x:v>
      </x:c>
    </x:row>
    <x:row r="81" ht="15.949999809265137" customHeight="1">
      <x:c r="B81" s="12" t="s">
        <x:v>459</x:v>
      </x:c>
      <x:c r="C81" s="57" t="n">
        <x:f>C79*C80</x:f>
        <x:v>0</x:v>
      </x:c>
      <x:c r="D81" s="57" t="n">
        <x:f>D79*D80</x:f>
        <x:v>0.1</x:v>
      </x:c>
      <x:c r="E81" s="57" t="n">
        <x:f>E79*E80</x:f>
        <x:v>12.5</x:v>
      </x:c>
      <x:c r="F81" s="57" t="n">
        <x:f>F79*F80</x:f>
        <x:v>33.333333333333336</x:v>
      </x:c>
      <x:c r="G81" s="57" t="n">
        <x:f>G79*G80</x:f>
        <x:v>187.5</x:v>
      </x:c>
      <x:c r="H81" s="32" t="s">
        <x:v>460</x:v>
      </x:c>
    </x:row>
    <x:row r="82" ht="15.949999809265137" customHeight="1">
      <x:c r="B82" s="12" t="s">
        <x:v>461</x:v>
      </x:c>
      <x:c r="C82" s="57" t="n">
        <x:f>C79-C81</x:f>
        <x:v>0</x:v>
      </x:c>
      <x:c r="D82" s="57" t="n">
        <x:f>D79-D81</x:f>
        <x:v>0.9</x:v>
      </x:c>
      <x:c r="E82" s="57" t="n">
        <x:f>E79-E81</x:f>
        <x:v>112.5</x:v>
      </x:c>
      <x:c r="F82" s="57" t="n">
        <x:f>F79-F81</x:f>
        <x:v>300</x:v>
      </x:c>
      <x:c r="G82" s="57" t="n">
        <x:f>G79-G81</x:f>
        <x:v>1687.5</x:v>
      </x:c>
      <x:c r="H82" s="32" t="s">
        <x:v>462</x:v>
      </x:c>
    </x:row>
    <x:row r="83" ht="15.949999809265137" customHeight="1">
      <x:c r="B83" s="12" t="s">
        <x:v>463</x:v>
      </x:c>
      <x:c r="C83" s="57" t="n">
        <x:f>MAX(0,C78-C82)</x:f>
        <x:v>1</x:v>
      </x:c>
      <x:c r="D83" s="57" t="n">
        <x:f>MAX(0,D78-D82)</x:f>
        <x:v>124.1</x:v>
      </x:c>
      <x:c r="E83" s="57" t="n">
        <x:f>MAX(0,E78-E82)</x:f>
        <x:v>220.83333333333331</x:v>
      </x:c>
      <x:c r="F83" s="57" t="n">
        <x:f>MAX(0,F78-F82)</x:f>
        <x:v>1575</x:v>
      </x:c>
      <x:c r="G83" s="57" t="n">
        <x:f>MAX(0,G78-G82)</x:f>
        <x:v>1312.5</x:v>
      </x:c>
      <x:c r="H83" s="32" t="s">
        <x:v>464</x:v>
      </x:c>
    </x:row>
    <x:row r="84" ht="15.949999809265137" customHeight="1">
      <x:c r="B84" s="12" t="s">
        <x:v>465</x:v>
      </x:c>
      <x:c r="C84" s="57" t="n">
        <x:f>C82+C83</x:f>
        <x:v>1</x:v>
      </x:c>
      <x:c r="D84" s="57" t="n">
        <x:f>D82+D83</x:f>
        <x:v>125</x:v>
      </x:c>
      <x:c r="E84" s="57" t="n">
        <x:f>E82+E83</x:f>
        <x:v>333.3333333333333</x:v>
      </x:c>
      <x:c r="F84" s="57" t="n">
        <x:f>F82+F83</x:f>
        <x:v>1875</x:v>
      </x:c>
      <x:c r="G84" s="57" t="n">
        <x:f>G82+G83</x:f>
        <x:v>3000</x:v>
      </x:c>
      <x:c r="H84" s="32" t="s">
        <x:v>466</x:v>
      </x:c>
    </x:row>
    <x:row r="85" ht="15.949999809265137" customHeight="1">
      <x:c r="B85" s="12" t="s">
        <x:v>467</x:v>
      </x:c>
      <x:c r="C85" s="57" t="n">
        <x:f>C84-C78</x:f>
        <x:v>0</x:v>
      </x:c>
      <x:c r="D85" s="57" t="n">
        <x:f>D84-D78</x:f>
        <x:v>0</x:v>
      </x:c>
      <x:c r="E85" s="57" t="n">
        <x:f>E84-E78</x:f>
        <x:v>0</x:v>
      </x:c>
      <x:c r="F85" s="57" t="n">
        <x:f>F84-F78</x:f>
        <x:v>0</x:v>
      </x:c>
      <x:c r="G85" s="57" t="n">
        <x:f>G84-G78</x:f>
        <x:v>0</x:v>
      </x:c>
      <x:c r="H85" s="32" t="s">
        <x:v>468</x:v>
      </x:c>
    </x:row>
    <x:row r="86" ht="9.949999809265137" customHeight="1"/>
    <x:row r="87" ht="9.949999809265137" customHeight="1"/>
    <x:row r="88" ht="20.100000381469727" customHeight="1">
      <x:c r="B88" s="5" t="s">
        <x:v>469</x:v>
      </x:c>
      <x:c r="C88" s="5"/>
      <x:c r="D88" s="5"/>
      <x:c r="E88" s="5"/>
      <x:c r="F88" s="5"/>
      <x:c r="G88" s="5"/>
      <x:c r="H88" s="5"/>
    </x:row>
    <x:row r="89" ht="21.950000762939453" customHeight="1">
      <x:c r="B89" s="10" t="s">
        <x:v>67</x:v>
      </x:c>
      <x:c r="C89" s="9">
        <x:v>3</x:v>
      </x:c>
      <x:c r="D89" s="9">
        <x:v>6</x:v>
      </x:c>
      <x:c r="E89" s="9">
        <x:v>9</x:v>
      </x:c>
      <x:c r="F89" s="9"/>
      <x:c r="G89" s="9"/>
      <x:c r="H89" s="10" t="s">
        <x:v>470</x:v>
      </x:c>
    </x:row>
    <x:row r="90" ht="15.949999809265137" customHeight="1">
      <x:c r="B90" s="12" t="s">
        <x:v>170</x:v>
      </x:c>
      <x:c r="C90" s="97" t="str">
        <x:f>"£"&amp;ROUND(ROUND(C$89*(INDEX($C$42:$G$42,1,MIN(5,ROUNDUP('Launch Readiness'!$E$6/12,0)))+INDEX($C$56:$G$56,1,MIN(5,ROUNDUP('Launch Readiness'!$E$6/12,0))))/12,0)/1000000,1)&amp;"m"</x:f>
        <x:v>£0.2m</x:v>
      </x:c>
      <x:c r="D90" s="97" t="str">
        <x:f>"£"&amp;ROUND(ROUND(D$89*(INDEX($C$42:$G$42,1,MIN(5,ROUNDUP('Launch Readiness'!$E$6/12,0)))+INDEX($C$56:$G$56,1,MIN(5,ROUNDUP('Launch Readiness'!$E$6/12,0))))/12,0)/1000000,1)&amp;"m"</x:f>
        <x:v>£0.4m</x:v>
      </x:c>
      <x:c r="E90" s="97" t="str">
        <x:f>"£"&amp;ROUND(ROUND(E$89*(INDEX($C$42:$G$42,1,MIN(5,ROUNDUP('Launch Readiness'!$E$6/12,0)))+INDEX($C$56:$G$56,1,MIN(5,ROUNDUP('Launch Readiness'!$E$6/12,0))))/12,0)/1000000,1)&amp;"m"</x:f>
        <x:v>£0.6m</x:v>
      </x:c>
      <x:c r="F90" s="15"/>
      <x:c r="G90" s="15"/>
      <x:c r="H90" s="32" t="s">
        <x:v>471</x:v>
      </x:c>
    </x:row>
    <x:row r="91" ht="15.949999809265137" customHeight="1">
      <x:c r="B91" s="12" t="s">
        <x:v>472</x:v>
      </x:c>
      <x:c r="C91" s="97" t="str">
        <x:f>"£"&amp;ROUND((MAX($C$64:$G$64)+ROUND(C$89*(INDEX($C$42:$G$42,1,MIN(5,ROUNDUP('Launch Readiness'!$E$6/12,0)))+INDEX($C$56:$G$56,1,MIN(5,ROUNDUP('Launch Readiness'!$E$6/12,0))))/12,0)+'Launch Readiness'!$E$10)/1000000,1)&amp;"m"</x:f>
        <x:v>£2.8m</x:v>
      </x:c>
      <x:c r="D91" s="97" t="str">
        <x:f>"£"&amp;ROUND((MAX($C$64:$G$64)+ROUND(D$89*(INDEX($C$42:$G$42,1,MIN(5,ROUNDUP('Launch Readiness'!$E$6/12,0)))+INDEX($C$56:$G$56,1,MIN(5,ROUNDUP('Launch Readiness'!$E$6/12,0))))/12,0)+'Launch Readiness'!$E$10)/1000000,1)&amp;"m"</x:f>
        <x:v>£3m</x:v>
      </x:c>
      <x:c r="E91" s="97" t="str">
        <x:f>"£"&amp;ROUND((MAX($C$64:$G$64)+ROUND(E$89*(INDEX($C$42:$G$42,1,MIN(5,ROUNDUP('Launch Readiness'!$E$6/12,0)))+INDEX($C$56:$G$56,1,MIN(5,ROUNDUP('Launch Readiness'!$E$6/12,0))))/12,0)+'Launch Readiness'!$E$10)/1000000,1)&amp;"m"</x:f>
        <x:v>£3.2m</x:v>
      </x:c>
      <x:c r="F91" s="15"/>
      <x:c r="G91" s="15"/>
      <x:c r="H91" s="32" t="s">
        <x:v>473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A6491"/>
  </x:sheetPr>
  <x:sheetViews>
    <x:sheetView showGridLines="0" workbookViewId="0"/>
  </x:sheetViews>
  <x:sheetFormatPr defaultColWidth="8.5703125" defaultRowHeight="12.75"/>
  <x:cols>
    <x:col min="1" max="1" width="40" customWidth="1"/>
    <x:col min="2" max="61" width="11.42578125" customWidth="1"/>
    <x:col min="62" max="62" width="2.42578125" customWidth="1"/>
    <x:col min="63" max="63" width="60" customWidth="1"/>
  </x:cols>
  <x:sheetData>
    <x:row r="1" ht="27.950000762939453" customHeight="1">
      <x:c r="A1" s="197" t="s">
        <x:v>474</x:v>
      </x:c>
      <x:c r="B1" s="199"/>
      <x:c r="C1" s="199"/>
      <x:c r="D1" s="199"/>
      <x:c r="E1" s="199"/>
      <x:c r="F1" s="199"/>
      <x:c r="G1" s="199"/>
      <x:c r="H1" s="199"/>
      <x:c r="I1" s="199"/>
      <x:c r="J1" s="199"/>
      <x:c r="K1" s="199"/>
      <x:c r="L1" s="199"/>
      <x:c r="M1" s="199"/>
      <x:c r="N1" s="199"/>
    </x:row>
    <x:row r="2" ht="18" customHeight="1">
      <x:c r="A2" s="180" t="s">
        <x:v>475</x:v>
      </x:c>
      <x:c r="B2" s="180"/>
      <x:c r="C2" s="180"/>
      <x:c r="D2" s="180"/>
      <x:c r="E2" s="180"/>
      <x:c r="F2" s="180"/>
      <x:c r="G2" s="180"/>
      <x:c r="H2" s="180"/>
      <x:c r="I2" s="180"/>
      <x:c r="J2" s="180"/>
      <x:c r="K2" s="180"/>
      <x:c r="L2" s="180"/>
      <x:c r="M2" s="180"/>
      <x:c r="N2" s="180"/>
    </x:row>
    <x:row r="3" ht="18" customHeight="1">
      <x:c r="G3" s="98" t="s">
        <x:v>476</x:v>
      </x:c>
      <x:c r="H3" s="98"/>
      <x:c r="I3" s="98"/>
      <x:c r="J3" s="98" t="s">
        <x:v>477</x:v>
      </x:c>
      <x:c r="K3" s="98"/>
      <x:c r="L3" s="98"/>
    </x:row>
    <x:row r="4" ht="20.100000381469727" customHeight="1">
      <x:c r="A4" s="14" t="s">
        <x:v>478</x:v>
      </x:c>
      <x:c r="B4" s="28" t="str">
        <x:f>Assumptions!$D$4</x:f>
        <x:v>BASE</x:v>
      </x:c>
      <x:c r="D4" s="14" t="s">
        <x:v>479</x:v>
      </x:c>
      <x:c r="E4" s="28" t="str">
        <x:f>IF(MAX(B38:BI38)&lt;0,"Beyond Month 60",INDEX($B$9:$BI$9,1,MATCH("Reached",B58:BI58,0)))</x:f>
        <x:v>Y4 M8</x:v>
      </x:c>
      <x:c r="H4" s="75" t="n">
        <x:f>ROUND(-MIN(0,B38:BI38),0)</x:f>
        <x:v>2649419</x:v>
      </x:c>
      <x:c r="K4" s="75" t="n">
        <x:f>ROUND(BI38,0)</x:f>
        <x:v>12947943</x:v>
      </x:c>
    </x:row>
    <x:row r="5" ht="9.949999809265137" customHeight="1"/>
    <x:row r="6" ht="14.100000381469727" customHeight="1">
      <x:c r="A6" s="10" t="s">
        <x:v>480</x:v>
      </x:c>
      <x:c r="B6" s="99">
        <x:v>1</x:v>
      </x:c>
      <x:c r="C6" s="99">
        <x:v>2</x:v>
      </x:c>
      <x:c r="D6" s="99">
        <x:v>3</x:v>
      </x:c>
      <x:c r="E6" s="99">
        <x:v>4</x:v>
      </x:c>
      <x:c r="F6" s="99">
        <x:v>5</x:v>
      </x:c>
      <x:c r="G6" s="99">
        <x:v>6</x:v>
      </x:c>
      <x:c r="H6" s="99">
        <x:v>7</x:v>
      </x:c>
      <x:c r="I6" s="99">
        <x:v>8</x:v>
      </x:c>
      <x:c r="J6" s="99">
        <x:v>9</x:v>
      </x:c>
      <x:c r="K6" s="99">
        <x:v>10</x:v>
      </x:c>
      <x:c r="L6" s="99">
        <x:v>11</x:v>
      </x:c>
      <x:c r="M6" s="99">
        <x:v>12</x:v>
      </x:c>
      <x:c r="N6" s="99">
        <x:v>13</x:v>
      </x:c>
      <x:c r="O6" s="99">
        <x:v>14</x:v>
      </x:c>
      <x:c r="P6" s="99">
        <x:v>15</x:v>
      </x:c>
      <x:c r="Q6" s="99">
        <x:v>16</x:v>
      </x:c>
      <x:c r="R6" s="99">
        <x:v>17</x:v>
      </x:c>
      <x:c r="S6" s="99">
        <x:v>18</x:v>
      </x:c>
      <x:c r="T6" s="99">
        <x:v>19</x:v>
      </x:c>
      <x:c r="U6" s="99">
        <x:v>20</x:v>
      </x:c>
      <x:c r="V6" s="99">
        <x:v>21</x:v>
      </x:c>
      <x:c r="W6" s="99">
        <x:v>22</x:v>
      </x:c>
      <x:c r="X6" s="99">
        <x:v>23</x:v>
      </x:c>
      <x:c r="Y6" s="99">
        <x:v>24</x:v>
      </x:c>
      <x:c r="Z6" s="99">
        <x:v>25</x:v>
      </x:c>
      <x:c r="AA6" s="99">
        <x:v>26</x:v>
      </x:c>
      <x:c r="AB6" s="99">
        <x:v>27</x:v>
      </x:c>
      <x:c r="AC6" s="99">
        <x:v>28</x:v>
      </x:c>
      <x:c r="AD6" s="99">
        <x:v>29</x:v>
      </x:c>
      <x:c r="AE6" s="99">
        <x:v>30</x:v>
      </x:c>
      <x:c r="AF6" s="99">
        <x:v>31</x:v>
      </x:c>
      <x:c r="AG6" s="99">
        <x:v>32</x:v>
      </x:c>
      <x:c r="AH6" s="99">
        <x:v>33</x:v>
      </x:c>
      <x:c r="AI6" s="99">
        <x:v>34</x:v>
      </x:c>
      <x:c r="AJ6" s="99">
        <x:v>35</x:v>
      </x:c>
      <x:c r="AK6" s="99">
        <x:v>36</x:v>
      </x:c>
      <x:c r="AL6" s="99">
        <x:v>37</x:v>
      </x:c>
      <x:c r="AM6" s="99">
        <x:v>38</x:v>
      </x:c>
      <x:c r="AN6" s="99">
        <x:v>39</x:v>
      </x:c>
      <x:c r="AO6" s="99">
        <x:v>40</x:v>
      </x:c>
      <x:c r="AP6" s="99">
        <x:v>41</x:v>
      </x:c>
      <x:c r="AQ6" s="99">
        <x:v>42</x:v>
      </x:c>
      <x:c r="AR6" s="99">
        <x:v>43</x:v>
      </x:c>
      <x:c r="AS6" s="99">
        <x:v>44</x:v>
      </x:c>
      <x:c r="AT6" s="99">
        <x:v>45</x:v>
      </x:c>
      <x:c r="AU6" s="99">
        <x:v>46</x:v>
      </x:c>
      <x:c r="AV6" s="99">
        <x:v>47</x:v>
      </x:c>
      <x:c r="AW6" s="99">
        <x:v>48</x:v>
      </x:c>
      <x:c r="AX6" s="99">
        <x:v>49</x:v>
      </x:c>
      <x:c r="AY6" s="99">
        <x:v>50</x:v>
      </x:c>
      <x:c r="AZ6" s="99">
        <x:v>51</x:v>
      </x:c>
      <x:c r="BA6" s="99">
        <x:v>52</x:v>
      </x:c>
      <x:c r="BB6" s="99">
        <x:v>53</x:v>
      </x:c>
      <x:c r="BC6" s="99">
        <x:v>54</x:v>
      </x:c>
      <x:c r="BD6" s="99">
        <x:v>55</x:v>
      </x:c>
      <x:c r="BE6" s="99">
        <x:v>56</x:v>
      </x:c>
      <x:c r="BF6" s="99">
        <x:v>57</x:v>
      </x:c>
      <x:c r="BG6" s="99">
        <x:v>58</x:v>
      </x:c>
      <x:c r="BH6" s="99">
        <x:v>59</x:v>
      </x:c>
      <x:c r="BI6" s="99">
        <x:v>60</x:v>
      </x:c>
      <x:c r="BK6" s="10" t="s">
        <x:v>338</x:v>
      </x:c>
    </x:row>
    <x:row r="7" ht="14.100000381469727" customHeight="1">
      <x:c r="A7" s="101" t="s">
        <x:v>481</x:v>
      </x:c>
      <x:c r="B7" s="100" t="n">
        <x:f t="shared" ref="B7:AG7" si="0">ROUNDUP(B$6/12,0)</x:f>
        <x:v>1</x:v>
      </x:c>
      <x:c r="C7" s="100">
        <x:f t="shared" si="0"/>
        <x:v>1</x:v>
      </x:c>
      <x:c r="D7" s="100">
        <x:f t="shared" si="0"/>
        <x:v>1</x:v>
      </x:c>
      <x:c r="E7" s="100">
        <x:f t="shared" si="0"/>
        <x:v>1</x:v>
      </x:c>
      <x:c r="F7" s="100">
        <x:f t="shared" si="0"/>
        <x:v>1</x:v>
      </x:c>
      <x:c r="G7" s="100">
        <x:f t="shared" si="0"/>
        <x:v>1</x:v>
      </x:c>
      <x:c r="H7" s="100">
        <x:f t="shared" si="0"/>
        <x:v>1</x:v>
      </x:c>
      <x:c r="I7" s="100">
        <x:f t="shared" si="0"/>
        <x:v>1</x:v>
      </x:c>
      <x:c r="J7" s="100">
        <x:f t="shared" si="0"/>
        <x:v>1</x:v>
      </x:c>
      <x:c r="K7" s="100">
        <x:f t="shared" si="0"/>
        <x:v>1</x:v>
      </x:c>
      <x:c r="L7" s="100">
        <x:f t="shared" si="0"/>
        <x:v>1</x:v>
      </x:c>
      <x:c r="M7" s="100">
        <x:f t="shared" si="0"/>
        <x:v>1</x:v>
      </x:c>
      <x:c r="N7" s="100">
        <x:f t="shared" si="0"/>
        <x:v>2</x:v>
      </x:c>
      <x:c r="O7" s="100">
        <x:f t="shared" si="0"/>
        <x:v>2</x:v>
      </x:c>
      <x:c r="P7" s="100">
        <x:f t="shared" si="0"/>
        <x:v>2</x:v>
      </x:c>
      <x:c r="Q7" s="100">
        <x:f t="shared" si="0"/>
        <x:v>2</x:v>
      </x:c>
      <x:c r="R7" s="100">
        <x:f t="shared" si="0"/>
        <x:v>2</x:v>
      </x:c>
      <x:c r="S7" s="100">
        <x:f t="shared" si="0"/>
        <x:v>2</x:v>
      </x:c>
      <x:c r="T7" s="100">
        <x:f t="shared" si="0"/>
        <x:v>2</x:v>
      </x:c>
      <x:c r="U7" s="100">
        <x:f t="shared" si="0"/>
        <x:v>2</x:v>
      </x:c>
      <x:c r="V7" s="100">
        <x:f t="shared" si="0"/>
        <x:v>2</x:v>
      </x:c>
      <x:c r="W7" s="100">
        <x:f t="shared" si="0"/>
        <x:v>2</x:v>
      </x:c>
      <x:c r="X7" s="100">
        <x:f t="shared" si="0"/>
        <x:v>2</x:v>
      </x:c>
      <x:c r="Y7" s="100">
        <x:f t="shared" si="0"/>
        <x:v>2</x:v>
      </x:c>
      <x:c r="Z7" s="100">
        <x:f t="shared" si="0"/>
        <x:v>3</x:v>
      </x:c>
      <x:c r="AA7" s="100">
        <x:f t="shared" si="0"/>
        <x:v>3</x:v>
      </x:c>
      <x:c r="AB7" s="100">
        <x:f t="shared" si="0"/>
        <x:v>3</x:v>
      </x:c>
      <x:c r="AC7" s="100">
        <x:f t="shared" si="0"/>
        <x:v>3</x:v>
      </x:c>
      <x:c r="AD7" s="100">
        <x:f t="shared" si="0"/>
        <x:v>3</x:v>
      </x:c>
      <x:c r="AE7" s="100">
        <x:f t="shared" si="0"/>
        <x:v>3</x:v>
      </x:c>
      <x:c r="AF7" s="100">
        <x:f t="shared" si="0"/>
        <x:v>3</x:v>
      </x:c>
      <x:c r="AG7" s="100">
        <x:f t="shared" si="0"/>
        <x:v>3</x:v>
      </x:c>
      <x:c r="AH7" s="100" t="n">
        <x:f t="shared" ref="AH7:BI7" si="1">ROUNDUP(AH$6/12,0)</x:f>
        <x:v>3</x:v>
      </x:c>
      <x:c r="AI7" s="100">
        <x:f t="shared" si="1"/>
        <x:v>3</x:v>
      </x:c>
      <x:c r="AJ7" s="100">
        <x:f t="shared" si="1"/>
        <x:v>3</x:v>
      </x:c>
      <x:c r="AK7" s="100">
        <x:f t="shared" si="1"/>
        <x:v>3</x:v>
      </x:c>
      <x:c r="AL7" s="100">
        <x:f t="shared" si="1"/>
        <x:v>4</x:v>
      </x:c>
      <x:c r="AM7" s="100">
        <x:f t="shared" si="1"/>
        <x:v>4</x:v>
      </x:c>
      <x:c r="AN7" s="100">
        <x:f t="shared" si="1"/>
        <x:v>4</x:v>
      </x:c>
      <x:c r="AO7" s="100">
        <x:f t="shared" si="1"/>
        <x:v>4</x:v>
      </x:c>
      <x:c r="AP7" s="100">
        <x:f t="shared" si="1"/>
        <x:v>4</x:v>
      </x:c>
      <x:c r="AQ7" s="100">
        <x:f t="shared" si="1"/>
        <x:v>4</x:v>
      </x:c>
      <x:c r="AR7" s="100">
        <x:f t="shared" si="1"/>
        <x:v>4</x:v>
      </x:c>
      <x:c r="AS7" s="100">
        <x:f t="shared" si="1"/>
        <x:v>4</x:v>
      </x:c>
      <x:c r="AT7" s="100">
        <x:f t="shared" si="1"/>
        <x:v>4</x:v>
      </x:c>
      <x:c r="AU7" s="100">
        <x:f t="shared" si="1"/>
        <x:v>4</x:v>
      </x:c>
      <x:c r="AV7" s="100">
        <x:f t="shared" si="1"/>
        <x:v>4</x:v>
      </x:c>
      <x:c r="AW7" s="100">
        <x:f t="shared" si="1"/>
        <x:v>4</x:v>
      </x:c>
      <x:c r="AX7" s="100">
        <x:f t="shared" si="1"/>
        <x:v>5</x:v>
      </x:c>
      <x:c r="AY7" s="100">
        <x:f t="shared" si="1"/>
        <x:v>5</x:v>
      </x:c>
      <x:c r="AZ7" s="100">
        <x:f t="shared" si="1"/>
        <x:v>5</x:v>
      </x:c>
      <x:c r="BA7" s="100">
        <x:f t="shared" si="1"/>
        <x:v>5</x:v>
      </x:c>
      <x:c r="BB7" s="100">
        <x:f t="shared" si="1"/>
        <x:v>5</x:v>
      </x:c>
      <x:c r="BC7" s="100">
        <x:f t="shared" si="1"/>
        <x:v>5</x:v>
      </x:c>
      <x:c r="BD7" s="100">
        <x:f t="shared" si="1"/>
        <x:v>5</x:v>
      </x:c>
      <x:c r="BE7" s="100">
        <x:f t="shared" si="1"/>
        <x:v>5</x:v>
      </x:c>
      <x:c r="BF7" s="100">
        <x:f t="shared" si="1"/>
        <x:v>5</x:v>
      </x:c>
      <x:c r="BG7" s="100">
        <x:f t="shared" si="1"/>
        <x:v>5</x:v>
      </x:c>
      <x:c r="BH7" s="100">
        <x:f t="shared" si="1"/>
        <x:v>5</x:v>
      </x:c>
      <x:c r="BI7" s="100">
        <x:f t="shared" si="1"/>
        <x:v>5</x:v>
      </x:c>
    </x:row>
    <x:row r="8" ht="14.100000381469727" customHeight="1">
      <x:c r="A8" s="101" t="s">
        <x:v>482</x:v>
      </x:c>
      <x:c r="B8" s="100" t="n">
        <x:f t="shared" ref="B8:AG8" si="2">MOD(B$6-1,12)+1</x:f>
        <x:v>1</x:v>
      </x:c>
      <x:c r="C8" s="100">
        <x:f t="shared" si="2"/>
        <x:v>2</x:v>
      </x:c>
      <x:c r="D8" s="100">
        <x:f t="shared" si="2"/>
        <x:v>3</x:v>
      </x:c>
      <x:c r="E8" s="100">
        <x:f t="shared" si="2"/>
        <x:v>4</x:v>
      </x:c>
      <x:c r="F8" s="100">
        <x:f t="shared" si="2"/>
        <x:v>5</x:v>
      </x:c>
      <x:c r="G8" s="100">
        <x:f t="shared" si="2"/>
        <x:v>6</x:v>
      </x:c>
      <x:c r="H8" s="100">
        <x:f t="shared" si="2"/>
        <x:v>7</x:v>
      </x:c>
      <x:c r="I8" s="100">
        <x:f t="shared" si="2"/>
        <x:v>8</x:v>
      </x:c>
      <x:c r="J8" s="100">
        <x:f t="shared" si="2"/>
        <x:v>9</x:v>
      </x:c>
      <x:c r="K8" s="100">
        <x:f t="shared" si="2"/>
        <x:v>10</x:v>
      </x:c>
      <x:c r="L8" s="100">
        <x:f t="shared" si="2"/>
        <x:v>11</x:v>
      </x:c>
      <x:c r="M8" s="100">
        <x:f t="shared" si="2"/>
        <x:v>12</x:v>
      </x:c>
      <x:c r="N8" s="100">
        <x:f t="shared" si="2"/>
        <x:v>1</x:v>
      </x:c>
      <x:c r="O8" s="100">
        <x:f t="shared" si="2"/>
        <x:v>2</x:v>
      </x:c>
      <x:c r="P8" s="100">
        <x:f t="shared" si="2"/>
        <x:v>3</x:v>
      </x:c>
      <x:c r="Q8" s="100">
        <x:f t="shared" si="2"/>
        <x:v>4</x:v>
      </x:c>
      <x:c r="R8" s="100">
        <x:f t="shared" si="2"/>
        <x:v>5</x:v>
      </x:c>
      <x:c r="S8" s="100">
        <x:f t="shared" si="2"/>
        <x:v>6</x:v>
      </x:c>
      <x:c r="T8" s="100">
        <x:f t="shared" si="2"/>
        <x:v>7</x:v>
      </x:c>
      <x:c r="U8" s="100">
        <x:f t="shared" si="2"/>
        <x:v>8</x:v>
      </x:c>
      <x:c r="V8" s="100">
        <x:f t="shared" si="2"/>
        <x:v>9</x:v>
      </x:c>
      <x:c r="W8" s="100">
        <x:f t="shared" si="2"/>
        <x:v>10</x:v>
      </x:c>
      <x:c r="X8" s="100">
        <x:f t="shared" si="2"/>
        <x:v>11</x:v>
      </x:c>
      <x:c r="Y8" s="100">
        <x:f t="shared" si="2"/>
        <x:v>12</x:v>
      </x:c>
      <x:c r="Z8" s="100">
        <x:f t="shared" si="2"/>
        <x:v>1</x:v>
      </x:c>
      <x:c r="AA8" s="100">
        <x:f t="shared" si="2"/>
        <x:v>2</x:v>
      </x:c>
      <x:c r="AB8" s="100">
        <x:f t="shared" si="2"/>
        <x:v>3</x:v>
      </x:c>
      <x:c r="AC8" s="100">
        <x:f t="shared" si="2"/>
        <x:v>4</x:v>
      </x:c>
      <x:c r="AD8" s="100">
        <x:f t="shared" si="2"/>
        <x:v>5</x:v>
      </x:c>
      <x:c r="AE8" s="100">
        <x:f t="shared" si="2"/>
        <x:v>6</x:v>
      </x:c>
      <x:c r="AF8" s="100">
        <x:f t="shared" si="2"/>
        <x:v>7</x:v>
      </x:c>
      <x:c r="AG8" s="100">
        <x:f t="shared" si="2"/>
        <x:v>8</x:v>
      </x:c>
      <x:c r="AH8" s="100" t="n">
        <x:f t="shared" ref="AH8:BI8" si="3">MOD(AH$6-1,12)+1</x:f>
        <x:v>9</x:v>
      </x:c>
      <x:c r="AI8" s="100">
        <x:f t="shared" si="3"/>
        <x:v>10</x:v>
      </x:c>
      <x:c r="AJ8" s="100">
        <x:f t="shared" si="3"/>
        <x:v>11</x:v>
      </x:c>
      <x:c r="AK8" s="100">
        <x:f t="shared" si="3"/>
        <x:v>12</x:v>
      </x:c>
      <x:c r="AL8" s="100">
        <x:f t="shared" si="3"/>
        <x:v>1</x:v>
      </x:c>
      <x:c r="AM8" s="100">
        <x:f t="shared" si="3"/>
        <x:v>2</x:v>
      </x:c>
      <x:c r="AN8" s="100">
        <x:f t="shared" si="3"/>
        <x:v>3</x:v>
      </x:c>
      <x:c r="AO8" s="100">
        <x:f t="shared" si="3"/>
        <x:v>4</x:v>
      </x:c>
      <x:c r="AP8" s="100">
        <x:f t="shared" si="3"/>
        <x:v>5</x:v>
      </x:c>
      <x:c r="AQ8" s="100">
        <x:f t="shared" si="3"/>
        <x:v>6</x:v>
      </x:c>
      <x:c r="AR8" s="100">
        <x:f t="shared" si="3"/>
        <x:v>7</x:v>
      </x:c>
      <x:c r="AS8" s="100">
        <x:f t="shared" si="3"/>
        <x:v>8</x:v>
      </x:c>
      <x:c r="AT8" s="100">
        <x:f t="shared" si="3"/>
        <x:v>9</x:v>
      </x:c>
      <x:c r="AU8" s="100">
        <x:f t="shared" si="3"/>
        <x:v>10</x:v>
      </x:c>
      <x:c r="AV8" s="100">
        <x:f t="shared" si="3"/>
        <x:v>11</x:v>
      </x:c>
      <x:c r="AW8" s="100">
        <x:f t="shared" si="3"/>
        <x:v>12</x:v>
      </x:c>
      <x:c r="AX8" s="100">
        <x:f t="shared" si="3"/>
        <x:v>1</x:v>
      </x:c>
      <x:c r="AY8" s="100">
        <x:f t="shared" si="3"/>
        <x:v>2</x:v>
      </x:c>
      <x:c r="AZ8" s="100">
        <x:f t="shared" si="3"/>
        <x:v>3</x:v>
      </x:c>
      <x:c r="BA8" s="100">
        <x:f t="shared" si="3"/>
        <x:v>4</x:v>
      </x:c>
      <x:c r="BB8" s="100">
        <x:f t="shared" si="3"/>
        <x:v>5</x:v>
      </x:c>
      <x:c r="BC8" s="100">
        <x:f t="shared" si="3"/>
        <x:v>6</x:v>
      </x:c>
      <x:c r="BD8" s="100">
        <x:f t="shared" si="3"/>
        <x:v>7</x:v>
      </x:c>
      <x:c r="BE8" s="100">
        <x:f t="shared" si="3"/>
        <x:v>8</x:v>
      </x:c>
      <x:c r="BF8" s="100">
        <x:f t="shared" si="3"/>
        <x:v>9</x:v>
      </x:c>
      <x:c r="BG8" s="100">
        <x:f t="shared" si="3"/>
        <x:v>10</x:v>
      </x:c>
      <x:c r="BH8" s="100">
        <x:f t="shared" si="3"/>
        <x:v>11</x:v>
      </x:c>
      <x:c r="BI8" s="100">
        <x:f t="shared" si="3"/>
        <x:v>12</x:v>
      </x:c>
    </x:row>
    <x:row r="9" ht="17.100000381469727" customHeight="1">
      <x:c r="A9" s="10" t="s">
        <x:v>483</x:v>
      </x:c>
      <x:c r="B9" s="9" t="str">
        <x:f t="shared" ref="B9:AG9" si="4">"Y"&amp;B$7&amp;" M"&amp;B$8</x:f>
        <x:v>Y1 M1</x:v>
      </x:c>
      <x:c r="C9" s="9" t="str">
        <x:f t="shared" si="4"/>
        <x:v>Y1 M2</x:v>
      </x:c>
      <x:c r="D9" s="9" t="str">
        <x:f t="shared" si="4"/>
        <x:v>Y1 M3</x:v>
      </x:c>
      <x:c r="E9" s="9" t="str">
        <x:f t="shared" si="4"/>
        <x:v>Y1 M4</x:v>
      </x:c>
      <x:c r="F9" s="9" t="str">
        <x:f t="shared" si="4"/>
        <x:v>Y1 M5</x:v>
      </x:c>
      <x:c r="G9" s="9" t="str">
        <x:f t="shared" si="4"/>
        <x:v>Y1 M6</x:v>
      </x:c>
      <x:c r="H9" s="9" t="str">
        <x:f t="shared" si="4"/>
        <x:v>Y1 M7</x:v>
      </x:c>
      <x:c r="I9" s="9" t="str">
        <x:f t="shared" si="4"/>
        <x:v>Y1 M8</x:v>
      </x:c>
      <x:c r="J9" s="9" t="str">
        <x:f t="shared" si="4"/>
        <x:v>Y1 M9</x:v>
      </x:c>
      <x:c r="K9" s="9" t="str">
        <x:f t="shared" si="4"/>
        <x:v>Y1 M10</x:v>
      </x:c>
      <x:c r="L9" s="9" t="str">
        <x:f t="shared" si="4"/>
        <x:v>Y1 M11</x:v>
      </x:c>
      <x:c r="M9" s="9" t="str">
        <x:f t="shared" si="4"/>
        <x:v>Y1 M12</x:v>
      </x:c>
      <x:c r="N9" s="9" t="str">
        <x:f t="shared" si="4"/>
        <x:v>Y2 M1</x:v>
      </x:c>
      <x:c r="O9" s="9" t="str">
        <x:f t="shared" si="4"/>
        <x:v>Y2 M2</x:v>
      </x:c>
      <x:c r="P9" s="9" t="str">
        <x:f t="shared" si="4"/>
        <x:v>Y2 M3</x:v>
      </x:c>
      <x:c r="Q9" s="9" t="str">
        <x:f t="shared" si="4"/>
        <x:v>Y2 M4</x:v>
      </x:c>
      <x:c r="R9" s="9" t="str">
        <x:f t="shared" si="4"/>
        <x:v>Y2 M5</x:v>
      </x:c>
      <x:c r="S9" s="9" t="str">
        <x:f t="shared" si="4"/>
        <x:v>Y2 M6</x:v>
      </x:c>
      <x:c r="T9" s="9" t="str">
        <x:f t="shared" si="4"/>
        <x:v>Y2 M7</x:v>
      </x:c>
      <x:c r="U9" s="9" t="str">
        <x:f t="shared" si="4"/>
        <x:v>Y2 M8</x:v>
      </x:c>
      <x:c r="V9" s="9" t="str">
        <x:f t="shared" si="4"/>
        <x:v>Y2 M9</x:v>
      </x:c>
      <x:c r="W9" s="9" t="str">
        <x:f t="shared" si="4"/>
        <x:v>Y2 M10</x:v>
      </x:c>
      <x:c r="X9" s="9" t="str">
        <x:f t="shared" si="4"/>
        <x:v>Y2 M11</x:v>
      </x:c>
      <x:c r="Y9" s="9" t="str">
        <x:f t="shared" si="4"/>
        <x:v>Y2 M12</x:v>
      </x:c>
      <x:c r="Z9" s="9" t="str">
        <x:f t="shared" si="4"/>
        <x:v>Y3 M1</x:v>
      </x:c>
      <x:c r="AA9" s="9" t="str">
        <x:f t="shared" si="4"/>
        <x:v>Y3 M2</x:v>
      </x:c>
      <x:c r="AB9" s="9" t="str">
        <x:f t="shared" si="4"/>
        <x:v>Y3 M3</x:v>
      </x:c>
      <x:c r="AC9" s="9" t="str">
        <x:f t="shared" si="4"/>
        <x:v>Y3 M4</x:v>
      </x:c>
      <x:c r="AD9" s="9" t="str">
        <x:f t="shared" si="4"/>
        <x:v>Y3 M5</x:v>
      </x:c>
      <x:c r="AE9" s="9" t="str">
        <x:f t="shared" si="4"/>
        <x:v>Y3 M6</x:v>
      </x:c>
      <x:c r="AF9" s="9" t="str">
        <x:f t="shared" si="4"/>
        <x:v>Y3 M7</x:v>
      </x:c>
      <x:c r="AG9" s="9" t="str">
        <x:f t="shared" si="4"/>
        <x:v>Y3 M8</x:v>
      </x:c>
      <x:c r="AH9" s="9" t="str">
        <x:f t="shared" ref="AH9:BI9" si="5">"Y"&amp;AH$7&amp;" M"&amp;AH$8</x:f>
        <x:v>Y3 M9</x:v>
      </x:c>
      <x:c r="AI9" s="9" t="str">
        <x:f t="shared" si="5"/>
        <x:v>Y3 M10</x:v>
      </x:c>
      <x:c r="AJ9" s="9" t="str">
        <x:f t="shared" si="5"/>
        <x:v>Y3 M11</x:v>
      </x:c>
      <x:c r="AK9" s="9" t="str">
        <x:f t="shared" si="5"/>
        <x:v>Y3 M12</x:v>
      </x:c>
      <x:c r="AL9" s="9" t="str">
        <x:f t="shared" si="5"/>
        <x:v>Y4 M1</x:v>
      </x:c>
      <x:c r="AM9" s="9" t="str">
        <x:f t="shared" si="5"/>
        <x:v>Y4 M2</x:v>
      </x:c>
      <x:c r="AN9" s="9" t="str">
        <x:f t="shared" si="5"/>
        <x:v>Y4 M3</x:v>
      </x:c>
      <x:c r="AO9" s="9" t="str">
        <x:f t="shared" si="5"/>
        <x:v>Y4 M4</x:v>
      </x:c>
      <x:c r="AP9" s="9" t="str">
        <x:f t="shared" si="5"/>
        <x:v>Y4 M5</x:v>
      </x:c>
      <x:c r="AQ9" s="9" t="str">
        <x:f t="shared" si="5"/>
        <x:v>Y4 M6</x:v>
      </x:c>
      <x:c r="AR9" s="9" t="str">
        <x:f t="shared" si="5"/>
        <x:v>Y4 M7</x:v>
      </x:c>
      <x:c r="AS9" s="9" t="str">
        <x:f t="shared" si="5"/>
        <x:v>Y4 M8</x:v>
      </x:c>
      <x:c r="AT9" s="9" t="str">
        <x:f t="shared" si="5"/>
        <x:v>Y4 M9</x:v>
      </x:c>
      <x:c r="AU9" s="9" t="str">
        <x:f t="shared" si="5"/>
        <x:v>Y4 M10</x:v>
      </x:c>
      <x:c r="AV9" s="9" t="str">
        <x:f t="shared" si="5"/>
        <x:v>Y4 M11</x:v>
      </x:c>
      <x:c r="AW9" s="9" t="str">
        <x:f t="shared" si="5"/>
        <x:v>Y4 M12</x:v>
      </x:c>
      <x:c r="AX9" s="9" t="str">
        <x:f t="shared" si="5"/>
        <x:v>Y5 M1</x:v>
      </x:c>
      <x:c r="AY9" s="9" t="str">
        <x:f t="shared" si="5"/>
        <x:v>Y5 M2</x:v>
      </x:c>
      <x:c r="AZ9" s="9" t="str">
        <x:f t="shared" si="5"/>
        <x:v>Y5 M3</x:v>
      </x:c>
      <x:c r="BA9" s="9" t="str">
        <x:f t="shared" si="5"/>
        <x:v>Y5 M4</x:v>
      </x:c>
      <x:c r="BB9" s="9" t="str">
        <x:f t="shared" si="5"/>
        <x:v>Y5 M5</x:v>
      </x:c>
      <x:c r="BC9" s="9" t="str">
        <x:f t="shared" si="5"/>
        <x:v>Y5 M6</x:v>
      </x:c>
      <x:c r="BD9" s="9" t="str">
        <x:f t="shared" si="5"/>
        <x:v>Y5 M7</x:v>
      </x:c>
      <x:c r="BE9" s="9" t="str">
        <x:f t="shared" si="5"/>
        <x:v>Y5 M8</x:v>
      </x:c>
      <x:c r="BF9" s="9" t="str">
        <x:f t="shared" si="5"/>
        <x:v>Y5 M9</x:v>
      </x:c>
      <x:c r="BG9" s="9" t="str">
        <x:f t="shared" si="5"/>
        <x:v>Y5 M10</x:v>
      </x:c>
      <x:c r="BH9" s="9" t="str">
        <x:f t="shared" si="5"/>
        <x:v>Y5 M11</x:v>
      </x:c>
      <x:c r="BI9" s="9" t="str">
        <x:f t="shared" si="5"/>
        <x:v>Y5 M12</x:v>
      </x:c>
    </x:row>
    <x:row r="10" ht="8.100000381469727" customHeight="1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2"/>
      <x:c r="AE10" s="42"/>
      <x:c r="AF10" s="42"/>
      <x:c r="AG10" s="42"/>
      <x:c r="AH10" s="42"/>
      <x:c r="AI10" s="42"/>
      <x:c r="AJ10" s="42"/>
      <x:c r="AK10" s="42"/>
      <x:c r="AL10" s="42"/>
      <x:c r="AM10" s="42"/>
      <x:c r="AN10" s="42"/>
      <x:c r="AO10" s="42"/>
      <x:c r="AP10" s="42"/>
      <x:c r="AQ10" s="42"/>
      <x:c r="AR10" s="42"/>
      <x:c r="AS10" s="42"/>
      <x:c r="AT10" s="42"/>
      <x:c r="AU10" s="42"/>
      <x:c r="AV10" s="42"/>
      <x:c r="AW10" s="42"/>
      <x:c r="AX10" s="42"/>
      <x:c r="AY10" s="42"/>
      <x:c r="AZ10" s="42"/>
      <x:c r="BA10" s="42"/>
      <x:c r="BB10" s="42"/>
      <x:c r="BC10" s="42"/>
      <x:c r="BD10" s="42"/>
      <x:c r="BE10" s="42"/>
      <x:c r="BF10" s="42"/>
      <x:c r="BG10" s="42"/>
      <x:c r="BH10" s="42"/>
      <x:c r="BI10" s="42"/>
    </x:row>
    <x:row r="11" ht="18.950000762939453" customHeight="1">
      <x:c r="A11" s="5" t="s">
        <x:v>484</x:v>
      </x:c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  <x:c r="AM11" s="5"/>
      <x:c r="AN11" s="5"/>
      <x:c r="AO11" s="5"/>
      <x:c r="AP11" s="5"/>
      <x:c r="AQ11" s="5"/>
      <x:c r="AR11" s="5"/>
      <x:c r="AS11" s="5"/>
      <x:c r="AT11" s="5"/>
      <x:c r="AU11" s="5"/>
      <x:c r="AV11" s="5"/>
      <x:c r="AW11" s="5"/>
      <x:c r="AX11" s="5"/>
      <x:c r="AY11" s="5"/>
      <x:c r="AZ11" s="5"/>
      <x:c r="BA11" s="5"/>
      <x:c r="BB11" s="5"/>
      <x:c r="BC11" s="5"/>
      <x:c r="BD11" s="5"/>
      <x:c r="BE11" s="5"/>
      <x:c r="BF11" s="5"/>
      <x:c r="BG11" s="5"/>
      <x:c r="BH11" s="5"/>
      <x:c r="BI11" s="5"/>
    </x:row>
    <x:row r="12" ht="15" customHeight="1">
      <x:c r="A12" s="12" t="s">
        <x:v>485</x:v>
      </x:c>
      <x:c r="B12" s="67" t="n">
        <x:f>ROUND(IF(B$6&lt;='Launch Readiness'!$B$7,0,IF((B$6-'Launch Readiness'!$B$7)&lt;'Launch Readiness'!$E$6,0,INDEX('P&amp;L 5yr'!$C$18:$G$18,1,ROUNDUP((B$6-'Launch Readiness'!$B$7)/12,0))/MAX(1,INDEX('Launch Readiness'!$B$26:$F$26,1,ROUNDUP((B$6-'Launch Readiness'!$B$7)/12,0))))),0)</x:f>
        <x:v>0</x:v>
      </x:c>
      <x:c r="C12" s="67" t="n">
        <x:f>ROUND(IF(C$6&lt;='Launch Readiness'!$B$7,0,IF((C$6-'Launch Readiness'!$B$7)&lt;'Launch Readiness'!$E$6,0,INDEX('P&amp;L 5yr'!$C$18:$G$18,1,ROUNDUP((C$6-'Launch Readiness'!$B$7)/12,0))/MAX(1,INDEX('Launch Readiness'!$B$26:$F$26,1,ROUNDUP((C$6-'Launch Readiness'!$B$7)/12,0))))),0)</x:f>
        <x:v>0</x:v>
      </x:c>
      <x:c r="D12" s="67" t="n">
        <x:f>ROUND(IF(D$6&lt;='Launch Readiness'!$B$7,0,IF((D$6-'Launch Readiness'!$B$7)&lt;'Launch Readiness'!$E$6,0,INDEX('P&amp;L 5yr'!$C$18:$G$18,1,ROUNDUP((D$6-'Launch Readiness'!$B$7)/12,0))/MAX(1,INDEX('Launch Readiness'!$B$26:$F$26,1,ROUNDUP((D$6-'Launch Readiness'!$B$7)/12,0))))),0)</x:f>
        <x:v>0</x:v>
      </x:c>
      <x:c r="E12" s="67" t="n">
        <x:f>ROUND(IF(E$6&lt;='Launch Readiness'!$B$7,0,IF((E$6-'Launch Readiness'!$B$7)&lt;'Launch Readiness'!$E$6,0,INDEX('P&amp;L 5yr'!$C$18:$G$18,1,ROUNDUP((E$6-'Launch Readiness'!$B$7)/12,0))/MAX(1,INDEX('Launch Readiness'!$B$26:$F$26,1,ROUNDUP((E$6-'Launch Readiness'!$B$7)/12,0))))),0)</x:f>
        <x:v>0</x:v>
      </x:c>
      <x:c r="F12" s="67" t="n">
        <x:f>ROUND(IF(F$6&lt;='Launch Readiness'!$B$7,0,IF((F$6-'Launch Readiness'!$B$7)&lt;'Launch Readiness'!$E$6,0,INDEX('P&amp;L 5yr'!$C$18:$G$18,1,ROUNDUP((F$6-'Launch Readiness'!$B$7)/12,0))/MAX(1,INDEX('Launch Readiness'!$B$26:$F$26,1,ROUNDUP((F$6-'Launch Readiness'!$B$7)/12,0))))),0)</x:f>
        <x:v>0</x:v>
      </x:c>
      <x:c r="G12" s="67" t="n">
        <x:f>ROUND(IF(G$6&lt;='Launch Readiness'!$B$7,0,IF((G$6-'Launch Readiness'!$B$7)&lt;'Launch Readiness'!$E$6,0,INDEX('P&amp;L 5yr'!$C$18:$G$18,1,ROUNDUP((G$6-'Launch Readiness'!$B$7)/12,0))/MAX(1,INDEX('Launch Readiness'!$B$26:$F$26,1,ROUNDUP((G$6-'Launch Readiness'!$B$7)/12,0))))),0)</x:f>
        <x:v>0</x:v>
      </x:c>
      <x:c r="H12" s="67" t="n">
        <x:f>ROUND(IF(H$6&lt;='Launch Readiness'!$B$7,0,IF((H$6-'Launch Readiness'!$B$7)&lt;'Launch Readiness'!$E$6,0,INDEX('P&amp;L 5yr'!$C$18:$G$18,1,ROUNDUP((H$6-'Launch Readiness'!$B$7)/12,0))/MAX(1,INDEX('Launch Readiness'!$B$26:$F$26,1,ROUNDUP((H$6-'Launch Readiness'!$B$7)/12,0))))),0)</x:f>
        <x:v>0</x:v>
      </x:c>
      <x:c r="I12" s="67" t="n">
        <x:f>ROUND(IF(I$6&lt;='Launch Readiness'!$B$7,0,IF((I$6-'Launch Readiness'!$B$7)&lt;'Launch Readiness'!$E$6,0,INDEX('P&amp;L 5yr'!$C$18:$G$18,1,ROUNDUP((I$6-'Launch Readiness'!$B$7)/12,0))/MAX(1,INDEX('Launch Readiness'!$B$26:$F$26,1,ROUNDUP((I$6-'Launch Readiness'!$B$7)/12,0))))),0)</x:f>
        <x:v>0</x:v>
      </x:c>
      <x:c r="J12" s="67" t="n">
        <x:f>ROUND(IF(J$6&lt;='Launch Readiness'!$B$7,0,IF((J$6-'Launch Readiness'!$B$7)&lt;'Launch Readiness'!$E$6,0,INDEX('P&amp;L 5yr'!$C$18:$G$18,1,ROUNDUP((J$6-'Launch Readiness'!$B$7)/12,0))/MAX(1,INDEX('Launch Readiness'!$B$26:$F$26,1,ROUNDUP((J$6-'Launch Readiness'!$B$7)/12,0))))),0)</x:f>
        <x:v>0</x:v>
      </x:c>
      <x:c r="K12" s="67" t="n">
        <x:f>ROUND(IF(K$6&lt;='Launch Readiness'!$B$7,0,IF((K$6-'Launch Readiness'!$B$7)&lt;'Launch Readiness'!$E$6,0,INDEX('P&amp;L 5yr'!$C$18:$G$18,1,ROUNDUP((K$6-'Launch Readiness'!$B$7)/12,0))/MAX(1,INDEX('Launch Readiness'!$B$26:$F$26,1,ROUNDUP((K$6-'Launch Readiness'!$B$7)/12,0))))),0)</x:f>
        <x:v>0</x:v>
      </x:c>
      <x:c r="L12" s="67" t="n">
        <x:f>ROUND(IF(L$6&lt;='Launch Readiness'!$B$7,0,IF((L$6-'Launch Readiness'!$B$7)&lt;'Launch Readiness'!$E$6,0,INDEX('P&amp;L 5yr'!$C$18:$G$18,1,ROUNDUP((L$6-'Launch Readiness'!$B$7)/12,0))/MAX(1,INDEX('Launch Readiness'!$B$26:$F$26,1,ROUNDUP((L$6-'Launch Readiness'!$B$7)/12,0))))),0)</x:f>
        <x:v>0</x:v>
      </x:c>
      <x:c r="M12" s="67" t="n">
        <x:f>ROUND(IF(M$6&lt;='Launch Readiness'!$B$7,0,IF((M$6-'Launch Readiness'!$B$7)&lt;'Launch Readiness'!$E$6,0,INDEX('P&amp;L 5yr'!$C$18:$G$18,1,ROUNDUP((M$6-'Launch Readiness'!$B$7)/12,0))/MAX(1,INDEX('Launch Readiness'!$B$26:$F$26,1,ROUNDUP((M$6-'Launch Readiness'!$B$7)/12,0))))),0)</x:f>
        <x:v>0</x:v>
      </x:c>
      <x:c r="N12" s="67" t="n">
        <x:f>ROUND(IF(N$6&lt;='Launch Readiness'!$B$7,0,IF((N$6-'Launch Readiness'!$B$7)&lt;'Launch Readiness'!$E$6,0,INDEX('P&amp;L 5yr'!$C$18:$G$18,1,ROUNDUP((N$6-'Launch Readiness'!$B$7)/12,0))/MAX(1,INDEX('Launch Readiness'!$B$26:$F$26,1,ROUNDUP((N$6-'Launch Readiness'!$B$7)/12,0))))),0)</x:f>
        <x:v>2449</x:v>
      </x:c>
      <x:c r="O12" s="67" t="n">
        <x:f>ROUND(IF(O$6&lt;='Launch Readiness'!$B$7,0,IF((O$6-'Launch Readiness'!$B$7)&lt;'Launch Readiness'!$E$6,0,INDEX('P&amp;L 5yr'!$C$18:$G$18,1,ROUNDUP((O$6-'Launch Readiness'!$B$7)/12,0))/MAX(1,INDEX('Launch Readiness'!$B$26:$F$26,1,ROUNDUP((O$6-'Launch Readiness'!$B$7)/12,0))))),0)</x:f>
        <x:v>33712</x:v>
      </x:c>
      <x:c r="P12" s="67" t="n">
        <x:f>ROUND(IF(P$6&lt;='Launch Readiness'!$B$7,0,IF((P$6-'Launch Readiness'!$B$7)&lt;'Launch Readiness'!$E$6,0,INDEX('P&amp;L 5yr'!$C$18:$G$18,1,ROUNDUP((P$6-'Launch Readiness'!$B$7)/12,0))/MAX(1,INDEX('Launch Readiness'!$B$26:$F$26,1,ROUNDUP((P$6-'Launch Readiness'!$B$7)/12,0))))),0)</x:f>
        <x:v>33712</x:v>
      </x:c>
      <x:c r="Q12" s="67" t="n">
        <x:f>ROUND(IF(Q$6&lt;='Launch Readiness'!$B$7,0,IF((Q$6-'Launch Readiness'!$B$7)&lt;'Launch Readiness'!$E$6,0,INDEX('P&amp;L 5yr'!$C$18:$G$18,1,ROUNDUP((Q$6-'Launch Readiness'!$B$7)/12,0))/MAX(1,INDEX('Launch Readiness'!$B$26:$F$26,1,ROUNDUP((Q$6-'Launch Readiness'!$B$7)/12,0))))),0)</x:f>
        <x:v>33712</x:v>
      </x:c>
      <x:c r="R12" s="67" t="n">
        <x:f>ROUND(IF(R$6&lt;='Launch Readiness'!$B$7,0,IF((R$6-'Launch Readiness'!$B$7)&lt;'Launch Readiness'!$E$6,0,INDEX('P&amp;L 5yr'!$C$18:$G$18,1,ROUNDUP((R$6-'Launch Readiness'!$B$7)/12,0))/MAX(1,INDEX('Launch Readiness'!$B$26:$F$26,1,ROUNDUP((R$6-'Launch Readiness'!$B$7)/12,0))))),0)</x:f>
        <x:v>33712</x:v>
      </x:c>
      <x:c r="S12" s="67" t="n">
        <x:f>ROUND(IF(S$6&lt;='Launch Readiness'!$B$7,0,IF((S$6-'Launch Readiness'!$B$7)&lt;'Launch Readiness'!$E$6,0,INDEX('P&amp;L 5yr'!$C$18:$G$18,1,ROUNDUP((S$6-'Launch Readiness'!$B$7)/12,0))/MAX(1,INDEX('Launch Readiness'!$B$26:$F$26,1,ROUNDUP((S$6-'Launch Readiness'!$B$7)/12,0))))),0)</x:f>
        <x:v>33712</x:v>
      </x:c>
      <x:c r="T12" s="67" t="n">
        <x:f>ROUND(IF(T$6&lt;='Launch Readiness'!$B$7,0,IF((T$6-'Launch Readiness'!$B$7)&lt;'Launch Readiness'!$E$6,0,INDEX('P&amp;L 5yr'!$C$18:$G$18,1,ROUNDUP((T$6-'Launch Readiness'!$B$7)/12,0))/MAX(1,INDEX('Launch Readiness'!$B$26:$F$26,1,ROUNDUP((T$6-'Launch Readiness'!$B$7)/12,0))))),0)</x:f>
        <x:v>33712</x:v>
      </x:c>
      <x:c r="U12" s="67" t="n">
        <x:f>ROUND(IF(U$6&lt;='Launch Readiness'!$B$7,0,IF((U$6-'Launch Readiness'!$B$7)&lt;'Launch Readiness'!$E$6,0,INDEX('P&amp;L 5yr'!$C$18:$G$18,1,ROUNDUP((U$6-'Launch Readiness'!$B$7)/12,0))/MAX(1,INDEX('Launch Readiness'!$B$26:$F$26,1,ROUNDUP((U$6-'Launch Readiness'!$B$7)/12,0))))),0)</x:f>
        <x:v>33712</x:v>
      </x:c>
      <x:c r="V12" s="67" t="n">
        <x:f>ROUND(IF(V$6&lt;='Launch Readiness'!$B$7,0,IF((V$6-'Launch Readiness'!$B$7)&lt;'Launch Readiness'!$E$6,0,INDEX('P&amp;L 5yr'!$C$18:$G$18,1,ROUNDUP((V$6-'Launch Readiness'!$B$7)/12,0))/MAX(1,INDEX('Launch Readiness'!$B$26:$F$26,1,ROUNDUP((V$6-'Launch Readiness'!$B$7)/12,0))))),0)</x:f>
        <x:v>33712</x:v>
      </x:c>
      <x:c r="W12" s="67" t="n">
        <x:f>ROUND(IF(W$6&lt;='Launch Readiness'!$B$7,0,IF((W$6-'Launch Readiness'!$B$7)&lt;'Launch Readiness'!$E$6,0,INDEX('P&amp;L 5yr'!$C$18:$G$18,1,ROUNDUP((W$6-'Launch Readiness'!$B$7)/12,0))/MAX(1,INDEX('Launch Readiness'!$B$26:$F$26,1,ROUNDUP((W$6-'Launch Readiness'!$B$7)/12,0))))),0)</x:f>
        <x:v>33712</x:v>
      </x:c>
      <x:c r="X12" s="67" t="n">
        <x:f>ROUND(IF(X$6&lt;='Launch Readiness'!$B$7,0,IF((X$6-'Launch Readiness'!$B$7)&lt;'Launch Readiness'!$E$6,0,INDEX('P&amp;L 5yr'!$C$18:$G$18,1,ROUNDUP((X$6-'Launch Readiness'!$B$7)/12,0))/MAX(1,INDEX('Launch Readiness'!$B$26:$F$26,1,ROUNDUP((X$6-'Launch Readiness'!$B$7)/12,0))))),0)</x:f>
        <x:v>33712</x:v>
      </x:c>
      <x:c r="Y12" s="67" t="n">
        <x:f>ROUND(IF(Y$6&lt;='Launch Readiness'!$B$7,0,IF((Y$6-'Launch Readiness'!$B$7)&lt;'Launch Readiness'!$E$6,0,INDEX('P&amp;L 5yr'!$C$18:$G$18,1,ROUNDUP((Y$6-'Launch Readiness'!$B$7)/12,0))/MAX(1,INDEX('Launch Readiness'!$B$26:$F$26,1,ROUNDUP((Y$6-'Launch Readiness'!$B$7)/12,0))))),0)</x:f>
        <x:v>33712</x:v>
      </x:c>
      <x:c r="Z12" s="67" t="n">
        <x:f>ROUND(IF(Z$6&lt;='Launch Readiness'!$B$7,0,IF((Z$6-'Launch Readiness'!$B$7)&lt;'Launch Readiness'!$E$6,0,INDEX('P&amp;L 5yr'!$C$18:$G$18,1,ROUNDUP((Z$6-'Launch Readiness'!$B$7)/12,0))/MAX(1,INDEX('Launch Readiness'!$B$26:$F$26,1,ROUNDUP((Z$6-'Launch Readiness'!$B$7)/12,0))))),0)</x:f>
        <x:v>33712</x:v>
      </x:c>
      <x:c r="AA12" s="67" t="n">
        <x:f>ROUND(IF(AA$6&lt;='Launch Readiness'!$B$7,0,IF((AA$6-'Launch Readiness'!$B$7)&lt;'Launch Readiness'!$E$6,0,INDEX('P&amp;L 5yr'!$C$18:$G$18,1,ROUNDUP((AA$6-'Launch Readiness'!$B$7)/12,0))/MAX(1,INDEX('Launch Readiness'!$B$26:$F$26,1,ROUNDUP((AA$6-'Launch Readiness'!$B$7)/12,0))))),0)</x:f>
        <x:v>115659</x:v>
      </x:c>
      <x:c r="AB12" s="67" t="n">
        <x:f>ROUND(IF(AB$6&lt;='Launch Readiness'!$B$7,0,IF((AB$6-'Launch Readiness'!$B$7)&lt;'Launch Readiness'!$E$6,0,INDEX('P&amp;L 5yr'!$C$18:$G$18,1,ROUNDUP((AB$6-'Launch Readiness'!$B$7)/12,0))/MAX(1,INDEX('Launch Readiness'!$B$26:$F$26,1,ROUNDUP((AB$6-'Launch Readiness'!$B$7)/12,0))))),0)</x:f>
        <x:v>115659</x:v>
      </x:c>
      <x:c r="AC12" s="67" t="n">
        <x:f>ROUND(IF(AC$6&lt;='Launch Readiness'!$B$7,0,IF((AC$6-'Launch Readiness'!$B$7)&lt;'Launch Readiness'!$E$6,0,INDEX('P&amp;L 5yr'!$C$18:$G$18,1,ROUNDUP((AC$6-'Launch Readiness'!$B$7)/12,0))/MAX(1,INDEX('Launch Readiness'!$B$26:$F$26,1,ROUNDUP((AC$6-'Launch Readiness'!$B$7)/12,0))))),0)</x:f>
        <x:v>115659</x:v>
      </x:c>
      <x:c r="AD12" s="67" t="n">
        <x:f>ROUND(IF(AD$6&lt;='Launch Readiness'!$B$7,0,IF((AD$6-'Launch Readiness'!$B$7)&lt;'Launch Readiness'!$E$6,0,INDEX('P&amp;L 5yr'!$C$18:$G$18,1,ROUNDUP((AD$6-'Launch Readiness'!$B$7)/12,0))/MAX(1,INDEX('Launch Readiness'!$B$26:$F$26,1,ROUNDUP((AD$6-'Launch Readiness'!$B$7)/12,0))))),0)</x:f>
        <x:v>115659</x:v>
      </x:c>
      <x:c r="AE12" s="67" t="n">
        <x:f>ROUND(IF(AE$6&lt;='Launch Readiness'!$B$7,0,IF((AE$6-'Launch Readiness'!$B$7)&lt;'Launch Readiness'!$E$6,0,INDEX('P&amp;L 5yr'!$C$18:$G$18,1,ROUNDUP((AE$6-'Launch Readiness'!$B$7)/12,0))/MAX(1,INDEX('Launch Readiness'!$B$26:$F$26,1,ROUNDUP((AE$6-'Launch Readiness'!$B$7)/12,0))))),0)</x:f>
        <x:v>115659</x:v>
      </x:c>
      <x:c r="AF12" s="67" t="n">
        <x:f>ROUND(IF(AF$6&lt;='Launch Readiness'!$B$7,0,IF((AF$6-'Launch Readiness'!$B$7)&lt;'Launch Readiness'!$E$6,0,INDEX('P&amp;L 5yr'!$C$18:$G$18,1,ROUNDUP((AF$6-'Launch Readiness'!$B$7)/12,0))/MAX(1,INDEX('Launch Readiness'!$B$26:$F$26,1,ROUNDUP((AF$6-'Launch Readiness'!$B$7)/12,0))))),0)</x:f>
        <x:v>115659</x:v>
      </x:c>
      <x:c r="AG12" s="67" t="n">
        <x:f>ROUND(IF(AG$6&lt;='Launch Readiness'!$B$7,0,IF((AG$6-'Launch Readiness'!$B$7)&lt;'Launch Readiness'!$E$6,0,INDEX('P&amp;L 5yr'!$C$18:$G$18,1,ROUNDUP((AG$6-'Launch Readiness'!$B$7)/12,0))/MAX(1,INDEX('Launch Readiness'!$B$26:$F$26,1,ROUNDUP((AG$6-'Launch Readiness'!$B$7)/12,0))))),0)</x:f>
        <x:v>115659</x:v>
      </x:c>
      <x:c r="AH12" s="67" t="n">
        <x:f>ROUND(IF(AH$6&lt;='Launch Readiness'!$B$7,0,IF((AH$6-'Launch Readiness'!$B$7)&lt;'Launch Readiness'!$E$6,0,INDEX('P&amp;L 5yr'!$C$18:$G$18,1,ROUNDUP((AH$6-'Launch Readiness'!$B$7)/12,0))/MAX(1,INDEX('Launch Readiness'!$B$26:$F$26,1,ROUNDUP((AH$6-'Launch Readiness'!$B$7)/12,0))))),0)</x:f>
        <x:v>115659</x:v>
      </x:c>
      <x:c r="AI12" s="67" t="n">
        <x:f>ROUND(IF(AI$6&lt;='Launch Readiness'!$B$7,0,IF((AI$6-'Launch Readiness'!$B$7)&lt;'Launch Readiness'!$E$6,0,INDEX('P&amp;L 5yr'!$C$18:$G$18,1,ROUNDUP((AI$6-'Launch Readiness'!$B$7)/12,0))/MAX(1,INDEX('Launch Readiness'!$B$26:$F$26,1,ROUNDUP((AI$6-'Launch Readiness'!$B$7)/12,0))))),0)</x:f>
        <x:v>115659</x:v>
      </x:c>
      <x:c r="AJ12" s="67" t="n">
        <x:f>ROUND(IF(AJ$6&lt;='Launch Readiness'!$B$7,0,IF((AJ$6-'Launch Readiness'!$B$7)&lt;'Launch Readiness'!$E$6,0,INDEX('P&amp;L 5yr'!$C$18:$G$18,1,ROUNDUP((AJ$6-'Launch Readiness'!$B$7)/12,0))/MAX(1,INDEX('Launch Readiness'!$B$26:$F$26,1,ROUNDUP((AJ$6-'Launch Readiness'!$B$7)/12,0))))),0)</x:f>
        <x:v>115659</x:v>
      </x:c>
      <x:c r="AK12" s="67" t="n">
        <x:f>ROUND(IF(AK$6&lt;='Launch Readiness'!$B$7,0,IF((AK$6-'Launch Readiness'!$B$7)&lt;'Launch Readiness'!$E$6,0,INDEX('P&amp;L 5yr'!$C$18:$G$18,1,ROUNDUP((AK$6-'Launch Readiness'!$B$7)/12,0))/MAX(1,INDEX('Launch Readiness'!$B$26:$F$26,1,ROUNDUP((AK$6-'Launch Readiness'!$B$7)/12,0))))),0)</x:f>
        <x:v>115659</x:v>
      </x:c>
      <x:c r="AL12" s="67" t="n">
        <x:f>ROUND(IF(AL$6&lt;='Launch Readiness'!$B$7,0,IF((AL$6-'Launch Readiness'!$B$7)&lt;'Launch Readiness'!$E$6,0,INDEX('P&amp;L 5yr'!$C$18:$G$18,1,ROUNDUP((AL$6-'Launch Readiness'!$B$7)/12,0))/MAX(1,INDEX('Launch Readiness'!$B$26:$F$26,1,ROUNDUP((AL$6-'Launch Readiness'!$B$7)/12,0))))),0)</x:f>
        <x:v>115659</x:v>
      </x:c>
      <x:c r="AM12" s="67" t="n">
        <x:f>ROUND(IF(AM$6&lt;='Launch Readiness'!$B$7,0,IF((AM$6-'Launch Readiness'!$B$7)&lt;'Launch Readiness'!$E$6,0,INDEX('P&amp;L 5yr'!$C$18:$G$18,1,ROUNDUP((AM$6-'Launch Readiness'!$B$7)/12,0))/MAX(1,INDEX('Launch Readiness'!$B$26:$F$26,1,ROUNDUP((AM$6-'Launch Readiness'!$B$7)/12,0))))),0)</x:f>
        <x:v>745224</x:v>
      </x:c>
      <x:c r="AN12" s="67" t="n">
        <x:f>ROUND(IF(AN$6&lt;='Launch Readiness'!$B$7,0,IF((AN$6-'Launch Readiness'!$B$7)&lt;'Launch Readiness'!$E$6,0,INDEX('P&amp;L 5yr'!$C$18:$G$18,1,ROUNDUP((AN$6-'Launch Readiness'!$B$7)/12,0))/MAX(1,INDEX('Launch Readiness'!$B$26:$F$26,1,ROUNDUP((AN$6-'Launch Readiness'!$B$7)/12,0))))),0)</x:f>
        <x:v>745224</x:v>
      </x:c>
      <x:c r="AO12" s="67" t="n">
        <x:f>ROUND(IF(AO$6&lt;='Launch Readiness'!$B$7,0,IF((AO$6-'Launch Readiness'!$B$7)&lt;'Launch Readiness'!$E$6,0,INDEX('P&amp;L 5yr'!$C$18:$G$18,1,ROUNDUP((AO$6-'Launch Readiness'!$B$7)/12,0))/MAX(1,INDEX('Launch Readiness'!$B$26:$F$26,1,ROUNDUP((AO$6-'Launch Readiness'!$B$7)/12,0))))),0)</x:f>
        <x:v>745224</x:v>
      </x:c>
      <x:c r="AP12" s="67" t="n">
        <x:f>ROUND(IF(AP$6&lt;='Launch Readiness'!$B$7,0,IF((AP$6-'Launch Readiness'!$B$7)&lt;'Launch Readiness'!$E$6,0,INDEX('P&amp;L 5yr'!$C$18:$G$18,1,ROUNDUP((AP$6-'Launch Readiness'!$B$7)/12,0))/MAX(1,INDEX('Launch Readiness'!$B$26:$F$26,1,ROUNDUP((AP$6-'Launch Readiness'!$B$7)/12,0))))),0)</x:f>
        <x:v>745224</x:v>
      </x:c>
      <x:c r="AQ12" s="67" t="n">
        <x:f>ROUND(IF(AQ$6&lt;='Launch Readiness'!$B$7,0,IF((AQ$6-'Launch Readiness'!$B$7)&lt;'Launch Readiness'!$E$6,0,INDEX('P&amp;L 5yr'!$C$18:$G$18,1,ROUNDUP((AQ$6-'Launch Readiness'!$B$7)/12,0))/MAX(1,INDEX('Launch Readiness'!$B$26:$F$26,1,ROUNDUP((AQ$6-'Launch Readiness'!$B$7)/12,0))))),0)</x:f>
        <x:v>745224</x:v>
      </x:c>
      <x:c r="AR12" s="67" t="n">
        <x:f>ROUND(IF(AR$6&lt;='Launch Readiness'!$B$7,0,IF((AR$6-'Launch Readiness'!$B$7)&lt;'Launch Readiness'!$E$6,0,INDEX('P&amp;L 5yr'!$C$18:$G$18,1,ROUNDUP((AR$6-'Launch Readiness'!$B$7)/12,0))/MAX(1,INDEX('Launch Readiness'!$B$26:$F$26,1,ROUNDUP((AR$6-'Launch Readiness'!$B$7)/12,0))))),0)</x:f>
        <x:v>745224</x:v>
      </x:c>
      <x:c r="AS12" s="67" t="n">
        <x:f>ROUND(IF(AS$6&lt;='Launch Readiness'!$B$7,0,IF((AS$6-'Launch Readiness'!$B$7)&lt;'Launch Readiness'!$E$6,0,INDEX('P&amp;L 5yr'!$C$18:$G$18,1,ROUNDUP((AS$6-'Launch Readiness'!$B$7)/12,0))/MAX(1,INDEX('Launch Readiness'!$B$26:$F$26,1,ROUNDUP((AS$6-'Launch Readiness'!$B$7)/12,0))))),0)</x:f>
        <x:v>745224</x:v>
      </x:c>
      <x:c r="AT12" s="67" t="n">
        <x:f>ROUND(IF(AT$6&lt;='Launch Readiness'!$B$7,0,IF((AT$6-'Launch Readiness'!$B$7)&lt;'Launch Readiness'!$E$6,0,INDEX('P&amp;L 5yr'!$C$18:$G$18,1,ROUNDUP((AT$6-'Launch Readiness'!$B$7)/12,0))/MAX(1,INDEX('Launch Readiness'!$B$26:$F$26,1,ROUNDUP((AT$6-'Launch Readiness'!$B$7)/12,0))))),0)</x:f>
        <x:v>745224</x:v>
      </x:c>
      <x:c r="AU12" s="67" t="n">
        <x:f>ROUND(IF(AU$6&lt;='Launch Readiness'!$B$7,0,IF((AU$6-'Launch Readiness'!$B$7)&lt;'Launch Readiness'!$E$6,0,INDEX('P&amp;L 5yr'!$C$18:$G$18,1,ROUNDUP((AU$6-'Launch Readiness'!$B$7)/12,0))/MAX(1,INDEX('Launch Readiness'!$B$26:$F$26,1,ROUNDUP((AU$6-'Launch Readiness'!$B$7)/12,0))))),0)</x:f>
        <x:v>745224</x:v>
      </x:c>
      <x:c r="AV12" s="67" t="n">
        <x:f>ROUND(IF(AV$6&lt;='Launch Readiness'!$B$7,0,IF((AV$6-'Launch Readiness'!$B$7)&lt;'Launch Readiness'!$E$6,0,INDEX('P&amp;L 5yr'!$C$18:$G$18,1,ROUNDUP((AV$6-'Launch Readiness'!$B$7)/12,0))/MAX(1,INDEX('Launch Readiness'!$B$26:$F$26,1,ROUNDUP((AV$6-'Launch Readiness'!$B$7)/12,0))))),0)</x:f>
        <x:v>745224</x:v>
      </x:c>
      <x:c r="AW12" s="67" t="n">
        <x:f>ROUND(IF(AW$6&lt;='Launch Readiness'!$B$7,0,IF((AW$6-'Launch Readiness'!$B$7)&lt;'Launch Readiness'!$E$6,0,INDEX('P&amp;L 5yr'!$C$18:$G$18,1,ROUNDUP((AW$6-'Launch Readiness'!$B$7)/12,0))/MAX(1,INDEX('Launch Readiness'!$B$26:$F$26,1,ROUNDUP((AW$6-'Launch Readiness'!$B$7)/12,0))))),0)</x:f>
        <x:v>745224</x:v>
      </x:c>
      <x:c r="AX12" s="67" t="n">
        <x:f>ROUND(IF(AX$6&lt;='Launch Readiness'!$B$7,0,IF((AX$6-'Launch Readiness'!$B$7)&lt;'Launch Readiness'!$E$6,0,INDEX('P&amp;L 5yr'!$C$18:$G$18,1,ROUNDUP((AX$6-'Launch Readiness'!$B$7)/12,0))/MAX(1,INDEX('Launch Readiness'!$B$26:$F$26,1,ROUNDUP((AX$6-'Launch Readiness'!$B$7)/12,0))))),0)</x:f>
        <x:v>745224</x:v>
      </x:c>
      <x:c r="AY12" s="67" t="n">
        <x:f>ROUND(IF(AY$6&lt;='Launch Readiness'!$B$7,0,IF((AY$6-'Launch Readiness'!$B$7)&lt;'Launch Readiness'!$E$6,0,INDEX('P&amp;L 5yr'!$C$18:$G$18,1,ROUNDUP((AY$6-'Launch Readiness'!$B$7)/12,0))/MAX(1,INDEX('Launch Readiness'!$B$26:$F$26,1,ROUNDUP((AY$6-'Launch Readiness'!$B$7)/12,0))))),0)</x:f>
        <x:v>1486051</x:v>
      </x:c>
      <x:c r="AZ12" s="67" t="n">
        <x:f>ROUND(IF(AZ$6&lt;='Launch Readiness'!$B$7,0,IF((AZ$6-'Launch Readiness'!$B$7)&lt;'Launch Readiness'!$E$6,0,INDEX('P&amp;L 5yr'!$C$18:$G$18,1,ROUNDUP((AZ$6-'Launch Readiness'!$B$7)/12,0))/MAX(1,INDEX('Launch Readiness'!$B$26:$F$26,1,ROUNDUP((AZ$6-'Launch Readiness'!$B$7)/12,0))))),0)</x:f>
        <x:v>1486051</x:v>
      </x:c>
      <x:c r="BA12" s="67" t="n">
        <x:f>ROUND(IF(BA$6&lt;='Launch Readiness'!$B$7,0,IF((BA$6-'Launch Readiness'!$B$7)&lt;'Launch Readiness'!$E$6,0,INDEX('P&amp;L 5yr'!$C$18:$G$18,1,ROUNDUP((BA$6-'Launch Readiness'!$B$7)/12,0))/MAX(1,INDEX('Launch Readiness'!$B$26:$F$26,1,ROUNDUP((BA$6-'Launch Readiness'!$B$7)/12,0))))),0)</x:f>
        <x:v>1486051</x:v>
      </x:c>
      <x:c r="BB12" s="67" t="n">
        <x:f>ROUND(IF(BB$6&lt;='Launch Readiness'!$B$7,0,IF((BB$6-'Launch Readiness'!$B$7)&lt;'Launch Readiness'!$E$6,0,INDEX('P&amp;L 5yr'!$C$18:$G$18,1,ROUNDUP((BB$6-'Launch Readiness'!$B$7)/12,0))/MAX(1,INDEX('Launch Readiness'!$B$26:$F$26,1,ROUNDUP((BB$6-'Launch Readiness'!$B$7)/12,0))))),0)</x:f>
        <x:v>1486051</x:v>
      </x:c>
      <x:c r="BC12" s="67" t="n">
        <x:f>ROUND(IF(BC$6&lt;='Launch Readiness'!$B$7,0,IF((BC$6-'Launch Readiness'!$B$7)&lt;'Launch Readiness'!$E$6,0,INDEX('P&amp;L 5yr'!$C$18:$G$18,1,ROUNDUP((BC$6-'Launch Readiness'!$B$7)/12,0))/MAX(1,INDEX('Launch Readiness'!$B$26:$F$26,1,ROUNDUP((BC$6-'Launch Readiness'!$B$7)/12,0))))),0)</x:f>
        <x:v>1486051</x:v>
      </x:c>
      <x:c r="BD12" s="67" t="n">
        <x:f>ROUND(IF(BD$6&lt;='Launch Readiness'!$B$7,0,IF((BD$6-'Launch Readiness'!$B$7)&lt;'Launch Readiness'!$E$6,0,INDEX('P&amp;L 5yr'!$C$18:$G$18,1,ROUNDUP((BD$6-'Launch Readiness'!$B$7)/12,0))/MAX(1,INDEX('Launch Readiness'!$B$26:$F$26,1,ROUNDUP((BD$6-'Launch Readiness'!$B$7)/12,0))))),0)</x:f>
        <x:v>1486051</x:v>
      </x:c>
      <x:c r="BE12" s="67" t="n">
        <x:f>ROUND(IF(BE$6&lt;='Launch Readiness'!$B$7,0,IF((BE$6-'Launch Readiness'!$B$7)&lt;'Launch Readiness'!$E$6,0,INDEX('P&amp;L 5yr'!$C$18:$G$18,1,ROUNDUP((BE$6-'Launch Readiness'!$B$7)/12,0))/MAX(1,INDEX('Launch Readiness'!$B$26:$F$26,1,ROUNDUP((BE$6-'Launch Readiness'!$B$7)/12,0))))),0)</x:f>
        <x:v>1486051</x:v>
      </x:c>
      <x:c r="BF12" s="67" t="n">
        <x:f>ROUND(IF(BF$6&lt;='Launch Readiness'!$B$7,0,IF((BF$6-'Launch Readiness'!$B$7)&lt;'Launch Readiness'!$E$6,0,INDEX('P&amp;L 5yr'!$C$18:$G$18,1,ROUNDUP((BF$6-'Launch Readiness'!$B$7)/12,0))/MAX(1,INDEX('Launch Readiness'!$B$26:$F$26,1,ROUNDUP((BF$6-'Launch Readiness'!$B$7)/12,0))))),0)</x:f>
        <x:v>1486051</x:v>
      </x:c>
      <x:c r="BG12" s="67" t="n">
        <x:f>ROUND(IF(BG$6&lt;='Launch Readiness'!$B$7,0,IF((BG$6-'Launch Readiness'!$B$7)&lt;'Launch Readiness'!$E$6,0,INDEX('P&amp;L 5yr'!$C$18:$G$18,1,ROUNDUP((BG$6-'Launch Readiness'!$B$7)/12,0))/MAX(1,INDEX('Launch Readiness'!$B$26:$F$26,1,ROUNDUP((BG$6-'Launch Readiness'!$B$7)/12,0))))),0)</x:f>
        <x:v>1486051</x:v>
      </x:c>
      <x:c r="BH12" s="67" t="n">
        <x:f>ROUND(IF(BH$6&lt;='Launch Readiness'!$B$7,0,IF((BH$6-'Launch Readiness'!$B$7)&lt;'Launch Readiness'!$E$6,0,INDEX('P&amp;L 5yr'!$C$18:$G$18,1,ROUNDUP((BH$6-'Launch Readiness'!$B$7)/12,0))/MAX(1,INDEX('Launch Readiness'!$B$26:$F$26,1,ROUNDUP((BH$6-'Launch Readiness'!$B$7)/12,0))))),0)</x:f>
        <x:v>1486051</x:v>
      </x:c>
      <x:c r="BI12" s="67" t="n">
        <x:f>ROUND(IF(BI$6&lt;='Launch Readiness'!$B$7,0,IF((BI$6-'Launch Readiness'!$B$7)&lt;'Launch Readiness'!$E$6,0,INDEX('P&amp;L 5yr'!$C$18:$G$18,1,ROUNDUP((BI$6-'Launch Readiness'!$B$7)/12,0))/MAX(1,INDEX('Launch Readiness'!$B$26:$F$26,1,ROUNDUP((BI$6-'Launch Readiness'!$B$7)/12,0))))),0)</x:f>
        <x:v>1486051</x:v>
      </x:c>
      <x:c r="BK12" s="33" t="s">
        <x:v>486</x:v>
      </x:c>
    </x:row>
    <x:row r="13" ht="15" customHeight="1">
      <x:c r="A13" s="12" t="s">
        <x:v>487</x:v>
      </x:c>
      <x:c r="B13" s="67" t="n">
        <x:f>ROUND(-IF(B$6&lt;'Launch Readiness'!$E$6,0,INDEX('P&amp;L 5yr'!$C$29:$G$29,1,B$7)/MAX(1,INDEX('Launch Readiness'!$B$26:$F$26,1,B$7))),0)</x:f>
        <x:v>0</x:v>
      </x:c>
      <x:c r="C13" s="67" t="n">
        <x:f>ROUND(-IF(C$6&lt;'Launch Readiness'!$E$6,0,INDEX('P&amp;L 5yr'!$C$29:$G$29,1,C$7)/MAX(1,INDEX('Launch Readiness'!$B$26:$F$26,1,C$7))),0)</x:f>
        <x:v>0</x:v>
      </x:c>
      <x:c r="D13" s="67" t="n">
        <x:f>ROUND(-IF(D$6&lt;'Launch Readiness'!$E$6,0,INDEX('P&amp;L 5yr'!$C$29:$G$29,1,D$7)/MAX(1,INDEX('Launch Readiness'!$B$26:$F$26,1,D$7))),0)</x:f>
        <x:v>0</x:v>
      </x:c>
      <x:c r="E13" s="67" t="n">
        <x:f>ROUND(-IF(E$6&lt;'Launch Readiness'!$E$6,0,INDEX('P&amp;L 5yr'!$C$29:$G$29,1,E$7)/MAX(1,INDEX('Launch Readiness'!$B$26:$F$26,1,E$7))),0)</x:f>
        <x:v>0</x:v>
      </x:c>
      <x:c r="F13" s="67" t="n">
        <x:f>ROUND(-IF(F$6&lt;'Launch Readiness'!$E$6,0,INDEX('P&amp;L 5yr'!$C$29:$G$29,1,F$7)/MAX(1,INDEX('Launch Readiness'!$B$26:$F$26,1,F$7))),0)</x:f>
        <x:v>0</x:v>
      </x:c>
      <x:c r="G13" s="67" t="n">
        <x:f>ROUND(-IF(G$6&lt;'Launch Readiness'!$E$6,0,INDEX('P&amp;L 5yr'!$C$29:$G$29,1,G$7)/MAX(1,INDEX('Launch Readiness'!$B$26:$F$26,1,G$7))),0)</x:f>
        <x:v>0</x:v>
      </x:c>
      <x:c r="H13" s="67" t="n">
        <x:f>ROUND(-IF(H$6&lt;'Launch Readiness'!$E$6,0,INDEX('P&amp;L 5yr'!$C$29:$G$29,1,H$7)/MAX(1,INDEX('Launch Readiness'!$B$26:$F$26,1,H$7))),0)</x:f>
        <x:v>0</x:v>
      </x:c>
      <x:c r="I13" s="67" t="n">
        <x:f>ROUND(-IF(I$6&lt;'Launch Readiness'!$E$6,0,INDEX('P&amp;L 5yr'!$C$29:$G$29,1,I$7)/MAX(1,INDEX('Launch Readiness'!$B$26:$F$26,1,I$7))),0)</x:f>
        <x:v>0</x:v>
      </x:c>
      <x:c r="J13" s="67" t="n">
        <x:f>ROUND(-IF(J$6&lt;'Launch Readiness'!$E$6,0,INDEX('P&amp;L 5yr'!$C$29:$G$29,1,J$7)/MAX(1,INDEX('Launch Readiness'!$B$26:$F$26,1,J$7))),0)</x:f>
        <x:v>0</x:v>
      </x:c>
      <x:c r="K13" s="67" t="n">
        <x:f>ROUND(-IF(K$6&lt;'Launch Readiness'!$E$6,0,INDEX('P&amp;L 5yr'!$C$29:$G$29,1,K$7)/MAX(1,INDEX('Launch Readiness'!$B$26:$F$26,1,K$7))),0)</x:f>
        <x:v>0</x:v>
      </x:c>
      <x:c r="L13" s="67" t="n">
        <x:f>ROUND(-IF(L$6&lt;'Launch Readiness'!$E$6,0,INDEX('P&amp;L 5yr'!$C$29:$G$29,1,L$7)/MAX(1,INDEX('Launch Readiness'!$B$26:$F$26,1,L$7))),0)</x:f>
        <x:v>0</x:v>
      </x:c>
      <x:c r="M13" s="67" t="n">
        <x:f>ROUND(-IF(M$6&lt;'Launch Readiness'!$E$6,0,INDEX('P&amp;L 5yr'!$C$29:$G$29,1,M$7)/MAX(1,INDEX('Launch Readiness'!$B$26:$F$26,1,M$7))),0)</x:f>
        <x:v>-707</x:v>
      </x:c>
      <x:c r="N13" s="67" t="n">
        <x:f>ROUND(-IF(N$6&lt;'Launch Readiness'!$E$6,0,INDEX('P&amp;L 5yr'!$C$29:$G$29,1,N$7)/MAX(1,INDEX('Launch Readiness'!$B$26:$F$26,1,N$7))),0)</x:f>
        <x:v>-8060</x:v>
      </x:c>
      <x:c r="O13" s="67" t="n">
        <x:f>ROUND(-IF(O$6&lt;'Launch Readiness'!$E$6,0,INDEX('P&amp;L 5yr'!$C$29:$G$29,1,O$7)/MAX(1,INDEX('Launch Readiness'!$B$26:$F$26,1,O$7))),0)</x:f>
        <x:v>-8060</x:v>
      </x:c>
      <x:c r="P13" s="67" t="n">
        <x:f>ROUND(-IF(P$6&lt;'Launch Readiness'!$E$6,0,INDEX('P&amp;L 5yr'!$C$29:$G$29,1,P$7)/MAX(1,INDEX('Launch Readiness'!$B$26:$F$26,1,P$7))),0)</x:f>
        <x:v>-8060</x:v>
      </x:c>
      <x:c r="Q13" s="67" t="n">
        <x:f>ROUND(-IF(Q$6&lt;'Launch Readiness'!$E$6,0,INDEX('P&amp;L 5yr'!$C$29:$G$29,1,Q$7)/MAX(1,INDEX('Launch Readiness'!$B$26:$F$26,1,Q$7))),0)</x:f>
        <x:v>-8060</x:v>
      </x:c>
      <x:c r="R13" s="67" t="n">
        <x:f>ROUND(-IF(R$6&lt;'Launch Readiness'!$E$6,0,INDEX('P&amp;L 5yr'!$C$29:$G$29,1,R$7)/MAX(1,INDEX('Launch Readiness'!$B$26:$F$26,1,R$7))),0)</x:f>
        <x:v>-8060</x:v>
      </x:c>
      <x:c r="S13" s="67" t="n">
        <x:f>ROUND(-IF(S$6&lt;'Launch Readiness'!$E$6,0,INDEX('P&amp;L 5yr'!$C$29:$G$29,1,S$7)/MAX(1,INDEX('Launch Readiness'!$B$26:$F$26,1,S$7))),0)</x:f>
        <x:v>-8060</x:v>
      </x:c>
      <x:c r="T13" s="67" t="n">
        <x:f>ROUND(-IF(T$6&lt;'Launch Readiness'!$E$6,0,INDEX('P&amp;L 5yr'!$C$29:$G$29,1,T$7)/MAX(1,INDEX('Launch Readiness'!$B$26:$F$26,1,T$7))),0)</x:f>
        <x:v>-8060</x:v>
      </x:c>
      <x:c r="U13" s="67" t="n">
        <x:f>ROUND(-IF(U$6&lt;'Launch Readiness'!$E$6,0,INDEX('P&amp;L 5yr'!$C$29:$G$29,1,U$7)/MAX(1,INDEX('Launch Readiness'!$B$26:$F$26,1,U$7))),0)</x:f>
        <x:v>-8060</x:v>
      </x:c>
      <x:c r="V13" s="67" t="n">
        <x:f>ROUND(-IF(V$6&lt;'Launch Readiness'!$E$6,0,INDEX('P&amp;L 5yr'!$C$29:$G$29,1,V$7)/MAX(1,INDEX('Launch Readiness'!$B$26:$F$26,1,V$7))),0)</x:f>
        <x:v>-8060</x:v>
      </x:c>
      <x:c r="W13" s="67" t="n">
        <x:f>ROUND(-IF(W$6&lt;'Launch Readiness'!$E$6,0,INDEX('P&amp;L 5yr'!$C$29:$G$29,1,W$7)/MAX(1,INDEX('Launch Readiness'!$B$26:$F$26,1,W$7))),0)</x:f>
        <x:v>-8060</x:v>
      </x:c>
      <x:c r="X13" s="67" t="n">
        <x:f>ROUND(-IF(X$6&lt;'Launch Readiness'!$E$6,0,INDEX('P&amp;L 5yr'!$C$29:$G$29,1,X$7)/MAX(1,INDEX('Launch Readiness'!$B$26:$F$26,1,X$7))),0)</x:f>
        <x:v>-8060</x:v>
      </x:c>
      <x:c r="Y13" s="67" t="n">
        <x:f>ROUND(-IF(Y$6&lt;'Launch Readiness'!$E$6,0,INDEX('P&amp;L 5yr'!$C$29:$G$29,1,Y$7)/MAX(1,INDEX('Launch Readiness'!$B$26:$F$26,1,Y$7))),0)</x:f>
        <x:v>-8060</x:v>
      </x:c>
      <x:c r="Z13" s="67" t="n">
        <x:f>ROUND(-IF(Z$6&lt;'Launch Readiness'!$E$6,0,INDEX('P&amp;L 5yr'!$C$29:$G$29,1,Z$7)/MAX(1,INDEX('Launch Readiness'!$B$26:$F$26,1,Z$7))),0)</x:f>
        <x:v>-26187</x:v>
      </x:c>
      <x:c r="AA13" s="67" t="n">
        <x:f>ROUND(-IF(AA$6&lt;'Launch Readiness'!$E$6,0,INDEX('P&amp;L 5yr'!$C$29:$G$29,1,AA$7)/MAX(1,INDEX('Launch Readiness'!$B$26:$F$26,1,AA$7))),0)</x:f>
        <x:v>-26187</x:v>
      </x:c>
      <x:c r="AB13" s="67" t="n">
        <x:f>ROUND(-IF(AB$6&lt;'Launch Readiness'!$E$6,0,INDEX('P&amp;L 5yr'!$C$29:$G$29,1,AB$7)/MAX(1,INDEX('Launch Readiness'!$B$26:$F$26,1,AB$7))),0)</x:f>
        <x:v>-26187</x:v>
      </x:c>
      <x:c r="AC13" s="67" t="n">
        <x:f>ROUND(-IF(AC$6&lt;'Launch Readiness'!$E$6,0,INDEX('P&amp;L 5yr'!$C$29:$G$29,1,AC$7)/MAX(1,INDEX('Launch Readiness'!$B$26:$F$26,1,AC$7))),0)</x:f>
        <x:v>-26187</x:v>
      </x:c>
      <x:c r="AD13" s="67" t="n">
        <x:f>ROUND(-IF(AD$6&lt;'Launch Readiness'!$E$6,0,INDEX('P&amp;L 5yr'!$C$29:$G$29,1,AD$7)/MAX(1,INDEX('Launch Readiness'!$B$26:$F$26,1,AD$7))),0)</x:f>
        <x:v>-26187</x:v>
      </x:c>
      <x:c r="AE13" s="67" t="n">
        <x:f>ROUND(-IF(AE$6&lt;'Launch Readiness'!$E$6,0,INDEX('P&amp;L 5yr'!$C$29:$G$29,1,AE$7)/MAX(1,INDEX('Launch Readiness'!$B$26:$F$26,1,AE$7))),0)</x:f>
        <x:v>-26187</x:v>
      </x:c>
      <x:c r="AF13" s="67" t="n">
        <x:f>ROUND(-IF(AF$6&lt;'Launch Readiness'!$E$6,0,INDEX('P&amp;L 5yr'!$C$29:$G$29,1,AF$7)/MAX(1,INDEX('Launch Readiness'!$B$26:$F$26,1,AF$7))),0)</x:f>
        <x:v>-26187</x:v>
      </x:c>
      <x:c r="AG13" s="67" t="n">
        <x:f>ROUND(-IF(AG$6&lt;'Launch Readiness'!$E$6,0,INDEX('P&amp;L 5yr'!$C$29:$G$29,1,AG$7)/MAX(1,INDEX('Launch Readiness'!$B$26:$F$26,1,AG$7))),0)</x:f>
        <x:v>-26187</x:v>
      </x:c>
      <x:c r="AH13" s="67" t="n">
        <x:f>ROUND(-IF(AH$6&lt;'Launch Readiness'!$E$6,0,INDEX('P&amp;L 5yr'!$C$29:$G$29,1,AH$7)/MAX(1,INDEX('Launch Readiness'!$B$26:$F$26,1,AH$7))),0)</x:f>
        <x:v>-26187</x:v>
      </x:c>
      <x:c r="AI13" s="67" t="n">
        <x:f>ROUND(-IF(AI$6&lt;'Launch Readiness'!$E$6,0,INDEX('P&amp;L 5yr'!$C$29:$G$29,1,AI$7)/MAX(1,INDEX('Launch Readiness'!$B$26:$F$26,1,AI$7))),0)</x:f>
        <x:v>-26187</x:v>
      </x:c>
      <x:c r="AJ13" s="67" t="n">
        <x:f>ROUND(-IF(AJ$6&lt;'Launch Readiness'!$E$6,0,INDEX('P&amp;L 5yr'!$C$29:$G$29,1,AJ$7)/MAX(1,INDEX('Launch Readiness'!$B$26:$F$26,1,AJ$7))),0)</x:f>
        <x:v>-26187</x:v>
      </x:c>
      <x:c r="AK13" s="67" t="n">
        <x:f>ROUND(-IF(AK$6&lt;'Launch Readiness'!$E$6,0,INDEX('P&amp;L 5yr'!$C$29:$G$29,1,AK$7)/MAX(1,INDEX('Launch Readiness'!$B$26:$F$26,1,AK$7))),0)</x:f>
        <x:v>-26187</x:v>
      </x:c>
      <x:c r="AL13" s="67" t="n">
        <x:f>ROUND(-IF(AL$6&lt;'Launch Readiness'!$E$6,0,INDEX('P&amp;L 5yr'!$C$29:$G$29,1,AL$7)/MAX(1,INDEX('Launch Readiness'!$B$26:$F$26,1,AL$7))),0)</x:f>
        <x:v>-165244</x:v>
      </x:c>
      <x:c r="AM13" s="67" t="n">
        <x:f>ROUND(-IF(AM$6&lt;'Launch Readiness'!$E$6,0,INDEX('P&amp;L 5yr'!$C$29:$G$29,1,AM$7)/MAX(1,INDEX('Launch Readiness'!$B$26:$F$26,1,AM$7))),0)</x:f>
        <x:v>-165244</x:v>
      </x:c>
      <x:c r="AN13" s="67" t="n">
        <x:f>ROUND(-IF(AN$6&lt;'Launch Readiness'!$E$6,0,INDEX('P&amp;L 5yr'!$C$29:$G$29,1,AN$7)/MAX(1,INDEX('Launch Readiness'!$B$26:$F$26,1,AN$7))),0)</x:f>
        <x:v>-165244</x:v>
      </x:c>
      <x:c r="AO13" s="67" t="n">
        <x:f>ROUND(-IF(AO$6&lt;'Launch Readiness'!$E$6,0,INDEX('P&amp;L 5yr'!$C$29:$G$29,1,AO$7)/MAX(1,INDEX('Launch Readiness'!$B$26:$F$26,1,AO$7))),0)</x:f>
        <x:v>-165244</x:v>
      </x:c>
      <x:c r="AP13" s="67" t="n">
        <x:f>ROUND(-IF(AP$6&lt;'Launch Readiness'!$E$6,0,INDEX('P&amp;L 5yr'!$C$29:$G$29,1,AP$7)/MAX(1,INDEX('Launch Readiness'!$B$26:$F$26,1,AP$7))),0)</x:f>
        <x:v>-165244</x:v>
      </x:c>
      <x:c r="AQ13" s="67" t="n">
        <x:f>ROUND(-IF(AQ$6&lt;'Launch Readiness'!$E$6,0,INDEX('P&amp;L 5yr'!$C$29:$G$29,1,AQ$7)/MAX(1,INDEX('Launch Readiness'!$B$26:$F$26,1,AQ$7))),0)</x:f>
        <x:v>-165244</x:v>
      </x:c>
      <x:c r="AR13" s="67" t="n">
        <x:f>ROUND(-IF(AR$6&lt;'Launch Readiness'!$E$6,0,INDEX('P&amp;L 5yr'!$C$29:$G$29,1,AR$7)/MAX(1,INDEX('Launch Readiness'!$B$26:$F$26,1,AR$7))),0)</x:f>
        <x:v>-165244</x:v>
      </x:c>
      <x:c r="AS13" s="67" t="n">
        <x:f>ROUND(-IF(AS$6&lt;'Launch Readiness'!$E$6,0,INDEX('P&amp;L 5yr'!$C$29:$G$29,1,AS$7)/MAX(1,INDEX('Launch Readiness'!$B$26:$F$26,1,AS$7))),0)</x:f>
        <x:v>-165244</x:v>
      </x:c>
      <x:c r="AT13" s="67" t="n">
        <x:f>ROUND(-IF(AT$6&lt;'Launch Readiness'!$E$6,0,INDEX('P&amp;L 5yr'!$C$29:$G$29,1,AT$7)/MAX(1,INDEX('Launch Readiness'!$B$26:$F$26,1,AT$7))),0)</x:f>
        <x:v>-165244</x:v>
      </x:c>
      <x:c r="AU13" s="67" t="n">
        <x:f>ROUND(-IF(AU$6&lt;'Launch Readiness'!$E$6,0,INDEX('P&amp;L 5yr'!$C$29:$G$29,1,AU$7)/MAX(1,INDEX('Launch Readiness'!$B$26:$F$26,1,AU$7))),0)</x:f>
        <x:v>-165244</x:v>
      </x:c>
      <x:c r="AV13" s="67" t="n">
        <x:f>ROUND(-IF(AV$6&lt;'Launch Readiness'!$E$6,0,INDEX('P&amp;L 5yr'!$C$29:$G$29,1,AV$7)/MAX(1,INDEX('Launch Readiness'!$B$26:$F$26,1,AV$7))),0)</x:f>
        <x:v>-165244</x:v>
      </x:c>
      <x:c r="AW13" s="67" t="n">
        <x:f>ROUND(-IF(AW$6&lt;'Launch Readiness'!$E$6,0,INDEX('P&amp;L 5yr'!$C$29:$G$29,1,AW$7)/MAX(1,INDEX('Launch Readiness'!$B$26:$F$26,1,AW$7))),0)</x:f>
        <x:v>-165244</x:v>
      </x:c>
      <x:c r="AX13" s="67" t="n">
        <x:f>ROUND(-IF(AX$6&lt;'Launch Readiness'!$E$6,0,INDEX('P&amp;L 5yr'!$C$29:$G$29,1,AX$7)/MAX(1,INDEX('Launch Readiness'!$B$26:$F$26,1,AX$7))),0)</x:f>
        <x:v>-317739</x:v>
      </x:c>
      <x:c r="AY13" s="67" t="n">
        <x:f>ROUND(-IF(AY$6&lt;'Launch Readiness'!$E$6,0,INDEX('P&amp;L 5yr'!$C$29:$G$29,1,AY$7)/MAX(1,INDEX('Launch Readiness'!$B$26:$F$26,1,AY$7))),0)</x:f>
        <x:v>-317739</x:v>
      </x:c>
      <x:c r="AZ13" s="67" t="n">
        <x:f>ROUND(-IF(AZ$6&lt;'Launch Readiness'!$E$6,0,INDEX('P&amp;L 5yr'!$C$29:$G$29,1,AZ$7)/MAX(1,INDEX('Launch Readiness'!$B$26:$F$26,1,AZ$7))),0)</x:f>
        <x:v>-317739</x:v>
      </x:c>
      <x:c r="BA13" s="67" t="n">
        <x:f>ROUND(-IF(BA$6&lt;'Launch Readiness'!$E$6,0,INDEX('P&amp;L 5yr'!$C$29:$G$29,1,BA$7)/MAX(1,INDEX('Launch Readiness'!$B$26:$F$26,1,BA$7))),0)</x:f>
        <x:v>-317739</x:v>
      </x:c>
      <x:c r="BB13" s="67" t="n">
        <x:f>ROUND(-IF(BB$6&lt;'Launch Readiness'!$E$6,0,INDEX('P&amp;L 5yr'!$C$29:$G$29,1,BB$7)/MAX(1,INDEX('Launch Readiness'!$B$26:$F$26,1,BB$7))),0)</x:f>
        <x:v>-317739</x:v>
      </x:c>
      <x:c r="BC13" s="67" t="n">
        <x:f>ROUND(-IF(BC$6&lt;'Launch Readiness'!$E$6,0,INDEX('P&amp;L 5yr'!$C$29:$G$29,1,BC$7)/MAX(1,INDEX('Launch Readiness'!$B$26:$F$26,1,BC$7))),0)</x:f>
        <x:v>-317739</x:v>
      </x:c>
      <x:c r="BD13" s="67" t="n">
        <x:f>ROUND(-IF(BD$6&lt;'Launch Readiness'!$E$6,0,INDEX('P&amp;L 5yr'!$C$29:$G$29,1,BD$7)/MAX(1,INDEX('Launch Readiness'!$B$26:$F$26,1,BD$7))),0)</x:f>
        <x:v>-317739</x:v>
      </x:c>
      <x:c r="BE13" s="67" t="n">
        <x:f>ROUND(-IF(BE$6&lt;'Launch Readiness'!$E$6,0,INDEX('P&amp;L 5yr'!$C$29:$G$29,1,BE$7)/MAX(1,INDEX('Launch Readiness'!$B$26:$F$26,1,BE$7))),0)</x:f>
        <x:v>-317739</x:v>
      </x:c>
      <x:c r="BF13" s="67" t="n">
        <x:f>ROUND(-IF(BF$6&lt;'Launch Readiness'!$E$6,0,INDEX('P&amp;L 5yr'!$C$29:$G$29,1,BF$7)/MAX(1,INDEX('Launch Readiness'!$B$26:$F$26,1,BF$7))),0)</x:f>
        <x:v>-317739</x:v>
      </x:c>
      <x:c r="BG13" s="67" t="n">
        <x:f>ROUND(-IF(BG$6&lt;'Launch Readiness'!$E$6,0,INDEX('P&amp;L 5yr'!$C$29:$G$29,1,BG$7)/MAX(1,INDEX('Launch Readiness'!$B$26:$F$26,1,BG$7))),0)</x:f>
        <x:v>-317739</x:v>
      </x:c>
      <x:c r="BH13" s="67" t="n">
        <x:f>ROUND(-IF(BH$6&lt;'Launch Readiness'!$E$6,0,INDEX('P&amp;L 5yr'!$C$29:$G$29,1,BH$7)/MAX(1,INDEX('Launch Readiness'!$B$26:$F$26,1,BH$7))),0)</x:f>
        <x:v>-317739</x:v>
      </x:c>
      <x:c r="BI13" s="67" t="n">
        <x:f>ROUND(-IF(BI$6&lt;'Launch Readiness'!$E$6,0,INDEX('P&amp;L 5yr'!$C$29:$G$29,1,BI$7)/MAX(1,INDEX('Launch Readiness'!$B$26:$F$26,1,BI$7))),0)</x:f>
        <x:v>-317739</x:v>
      </x:c>
      <x:c r="BK13" s="33" t="s">
        <x:v>488</x:v>
      </x:c>
    </x:row>
    <x:row r="14" ht="15" customHeight="1">
      <x:c r="A14" s="24" t="s">
        <x:v>489</x:v>
      </x:c>
      <x:c r="B14" s="92" t="n">
        <x:f t="shared" ref="B14:AG14" si="6">ROUND(SUM(B12:B13),0)</x:f>
        <x:v>0</x:v>
      </x:c>
      <x:c r="C14" s="92">
        <x:f t="shared" si="6"/>
        <x:v>0</x:v>
      </x:c>
      <x:c r="D14" s="92">
        <x:f t="shared" si="6"/>
        <x:v>0</x:v>
      </x:c>
      <x:c r="E14" s="92">
        <x:f t="shared" si="6"/>
        <x:v>0</x:v>
      </x:c>
      <x:c r="F14" s="92">
        <x:f t="shared" si="6"/>
        <x:v>0</x:v>
      </x:c>
      <x:c r="G14" s="92">
        <x:f t="shared" si="6"/>
        <x:v>0</x:v>
      </x:c>
      <x:c r="H14" s="92">
        <x:f t="shared" si="6"/>
        <x:v>0</x:v>
      </x:c>
      <x:c r="I14" s="92">
        <x:f t="shared" si="6"/>
        <x:v>0</x:v>
      </x:c>
      <x:c r="J14" s="92">
        <x:f t="shared" si="6"/>
        <x:v>0</x:v>
      </x:c>
      <x:c r="K14" s="92">
        <x:f t="shared" si="6"/>
        <x:v>0</x:v>
      </x:c>
      <x:c r="L14" s="92">
        <x:f t="shared" si="6"/>
        <x:v>0</x:v>
      </x:c>
      <x:c r="M14" s="92">
        <x:f t="shared" si="6"/>
        <x:v>-707</x:v>
      </x:c>
      <x:c r="N14" s="92">
        <x:f t="shared" si="6"/>
        <x:v>-5611</x:v>
      </x:c>
      <x:c r="O14" s="92">
        <x:f t="shared" si="6"/>
        <x:v>25652</x:v>
      </x:c>
      <x:c r="P14" s="92">
        <x:f t="shared" si="6"/>
        <x:v>25652</x:v>
      </x:c>
      <x:c r="Q14" s="92">
        <x:f t="shared" si="6"/>
        <x:v>25652</x:v>
      </x:c>
      <x:c r="R14" s="92">
        <x:f t="shared" si="6"/>
        <x:v>25652</x:v>
      </x:c>
      <x:c r="S14" s="92">
        <x:f t="shared" si="6"/>
        <x:v>25652</x:v>
      </x:c>
      <x:c r="T14" s="92">
        <x:f t="shared" si="6"/>
        <x:v>25652</x:v>
      </x:c>
      <x:c r="U14" s="92">
        <x:f t="shared" si="6"/>
        <x:v>25652</x:v>
      </x:c>
      <x:c r="V14" s="92">
        <x:f t="shared" si="6"/>
        <x:v>25652</x:v>
      </x:c>
      <x:c r="W14" s="92">
        <x:f t="shared" si="6"/>
        <x:v>25652</x:v>
      </x:c>
      <x:c r="X14" s="92">
        <x:f t="shared" si="6"/>
        <x:v>25652</x:v>
      </x:c>
      <x:c r="Y14" s="92">
        <x:f t="shared" si="6"/>
        <x:v>25652</x:v>
      </x:c>
      <x:c r="Z14" s="92">
        <x:f t="shared" si="6"/>
        <x:v>7525</x:v>
      </x:c>
      <x:c r="AA14" s="92">
        <x:f t="shared" si="6"/>
        <x:v>89472</x:v>
      </x:c>
      <x:c r="AB14" s="92">
        <x:f t="shared" si="6"/>
        <x:v>89472</x:v>
      </x:c>
      <x:c r="AC14" s="92">
        <x:f t="shared" si="6"/>
        <x:v>89472</x:v>
      </x:c>
      <x:c r="AD14" s="92">
        <x:f t="shared" si="6"/>
        <x:v>89472</x:v>
      </x:c>
      <x:c r="AE14" s="92">
        <x:f t="shared" si="6"/>
        <x:v>89472</x:v>
      </x:c>
      <x:c r="AF14" s="92">
        <x:f t="shared" si="6"/>
        <x:v>89472</x:v>
      </x:c>
      <x:c r="AG14" s="92">
        <x:f t="shared" si="6"/>
        <x:v>89472</x:v>
      </x:c>
      <x:c r="AH14" s="92" t="n">
        <x:f t="shared" ref="AH14:BI14" si="7">ROUND(SUM(AH12:AH13),0)</x:f>
        <x:v>89472</x:v>
      </x:c>
      <x:c r="AI14" s="92">
        <x:f t="shared" si="7"/>
        <x:v>89472</x:v>
      </x:c>
      <x:c r="AJ14" s="92">
        <x:f t="shared" si="7"/>
        <x:v>89472</x:v>
      </x:c>
      <x:c r="AK14" s="92">
        <x:f t="shared" si="7"/>
        <x:v>89472</x:v>
      </x:c>
      <x:c r="AL14" s="92">
        <x:f t="shared" si="7"/>
        <x:v>-49585</x:v>
      </x:c>
      <x:c r="AM14" s="92">
        <x:f t="shared" si="7"/>
        <x:v>579980</x:v>
      </x:c>
      <x:c r="AN14" s="92">
        <x:f t="shared" si="7"/>
        <x:v>579980</x:v>
      </x:c>
      <x:c r="AO14" s="92">
        <x:f t="shared" si="7"/>
        <x:v>579980</x:v>
      </x:c>
      <x:c r="AP14" s="92">
        <x:f t="shared" si="7"/>
        <x:v>579980</x:v>
      </x:c>
      <x:c r="AQ14" s="92">
        <x:f t="shared" si="7"/>
        <x:v>579980</x:v>
      </x:c>
      <x:c r="AR14" s="92">
        <x:f t="shared" si="7"/>
        <x:v>579980</x:v>
      </x:c>
      <x:c r="AS14" s="92">
        <x:f t="shared" si="7"/>
        <x:v>579980</x:v>
      </x:c>
      <x:c r="AT14" s="92">
        <x:f t="shared" si="7"/>
        <x:v>579980</x:v>
      </x:c>
      <x:c r="AU14" s="92">
        <x:f t="shared" si="7"/>
        <x:v>579980</x:v>
      </x:c>
      <x:c r="AV14" s="92">
        <x:f t="shared" si="7"/>
        <x:v>579980</x:v>
      </x:c>
      <x:c r="AW14" s="92">
        <x:f t="shared" si="7"/>
        <x:v>579980</x:v>
      </x:c>
      <x:c r="AX14" s="92">
        <x:f t="shared" si="7"/>
        <x:v>427485</x:v>
      </x:c>
      <x:c r="AY14" s="92">
        <x:f t="shared" si="7"/>
        <x:v>1168312</x:v>
      </x:c>
      <x:c r="AZ14" s="92">
        <x:f t="shared" si="7"/>
        <x:v>1168312</x:v>
      </x:c>
      <x:c r="BA14" s="92">
        <x:f t="shared" si="7"/>
        <x:v>1168312</x:v>
      </x:c>
      <x:c r="BB14" s="92">
        <x:f t="shared" si="7"/>
        <x:v>1168312</x:v>
      </x:c>
      <x:c r="BC14" s="92">
        <x:f t="shared" si="7"/>
        <x:v>1168312</x:v>
      </x:c>
      <x:c r="BD14" s="92">
        <x:f t="shared" si="7"/>
        <x:v>1168312</x:v>
      </x:c>
      <x:c r="BE14" s="92">
        <x:f t="shared" si="7"/>
        <x:v>1168312</x:v>
      </x:c>
      <x:c r="BF14" s="92">
        <x:f t="shared" si="7"/>
        <x:v>1168312</x:v>
      </x:c>
      <x:c r="BG14" s="92">
        <x:f t="shared" si="7"/>
        <x:v>1168312</x:v>
      </x:c>
      <x:c r="BH14" s="92">
        <x:f t="shared" si="7"/>
        <x:v>1168312</x:v>
      </x:c>
      <x:c r="BI14" s="92">
        <x:f t="shared" si="7"/>
        <x:v>1168312</x:v>
      </x:c>
    </x:row>
    <x:row r="15" ht="15" customHeight="1">
      <x:c r="A15" s="12" t="s">
        <x:v>490</x:v>
      </x:c>
      <x:c r="B15" s="67" t="n">
        <x:f>ROUND((-INDEX('P&amp;L 5yr'!$C$42:$G$42,1,B$7)/12),0)</x:f>
        <x:v>-40329</x:v>
      </x:c>
      <x:c r="C15" s="67" t="n">
        <x:f>ROUND((-INDEX('P&amp;L 5yr'!$C$42:$G$42,1,C$7)/12),0)</x:f>
        <x:v>-40329</x:v>
      </x:c>
      <x:c r="D15" s="67" t="n">
        <x:f>ROUND((-INDEX('P&amp;L 5yr'!$C$42:$G$42,1,D$7)/12),0)</x:f>
        <x:v>-40329</x:v>
      </x:c>
      <x:c r="E15" s="67" t="n">
        <x:f>ROUND((-INDEX('P&amp;L 5yr'!$C$42:$G$42,1,E$7)/12),0)</x:f>
        <x:v>-40329</x:v>
      </x:c>
      <x:c r="F15" s="67" t="n">
        <x:f>ROUND((-INDEX('P&amp;L 5yr'!$C$42:$G$42,1,F$7)/12),0)</x:f>
        <x:v>-40329</x:v>
      </x:c>
      <x:c r="G15" s="67" t="n">
        <x:f>ROUND((-INDEX('P&amp;L 5yr'!$C$42:$G$42,1,G$7)/12),0)</x:f>
        <x:v>-40329</x:v>
      </x:c>
      <x:c r="H15" s="67" t="n">
        <x:f>ROUND((-INDEX('P&amp;L 5yr'!$C$42:$G$42,1,H$7)/12),0)</x:f>
        <x:v>-40329</x:v>
      </x:c>
      <x:c r="I15" s="67" t="n">
        <x:f>ROUND((-INDEX('P&amp;L 5yr'!$C$42:$G$42,1,I$7)/12),0)</x:f>
        <x:v>-40329</x:v>
      </x:c>
      <x:c r="J15" s="67" t="n">
        <x:f>ROUND((-INDEX('P&amp;L 5yr'!$C$42:$G$42,1,J$7)/12),0)</x:f>
        <x:v>-40329</x:v>
      </x:c>
      <x:c r="K15" s="67" t="n">
        <x:f>ROUND((-INDEX('P&amp;L 5yr'!$C$42:$G$42,1,K$7)/12),0)</x:f>
        <x:v>-40329</x:v>
      </x:c>
      <x:c r="L15" s="67" t="n">
        <x:f>ROUND((-INDEX('P&amp;L 5yr'!$C$42:$G$42,1,L$7)/12),0)</x:f>
        <x:v>-40329</x:v>
      </x:c>
      <x:c r="M15" s="67" t="n">
        <x:f>ROUND((-INDEX('P&amp;L 5yr'!$C$42:$G$42,1,M$7)/12),0)</x:f>
        <x:v>-40329</x:v>
      </x:c>
      <x:c r="N15" s="67" t="n">
        <x:f>ROUND((-INDEX('P&amp;L 5yr'!$C$42:$G$42,1,N$7)/12),0)</x:f>
        <x:v>-66492</x:v>
      </x:c>
      <x:c r="O15" s="67" t="n">
        <x:f>ROUND((-INDEX('P&amp;L 5yr'!$C$42:$G$42,1,O$7)/12),0)</x:f>
        <x:v>-66492</x:v>
      </x:c>
      <x:c r="P15" s="67" t="n">
        <x:f>ROUND((-INDEX('P&amp;L 5yr'!$C$42:$G$42,1,P$7)/12),0)</x:f>
        <x:v>-66492</x:v>
      </x:c>
      <x:c r="Q15" s="67" t="n">
        <x:f>ROUND((-INDEX('P&amp;L 5yr'!$C$42:$G$42,1,Q$7)/12),0)</x:f>
        <x:v>-66492</x:v>
      </x:c>
      <x:c r="R15" s="67" t="n">
        <x:f>ROUND((-INDEX('P&amp;L 5yr'!$C$42:$G$42,1,R$7)/12),0)</x:f>
        <x:v>-66492</x:v>
      </x:c>
      <x:c r="S15" s="67" t="n">
        <x:f>ROUND((-INDEX('P&amp;L 5yr'!$C$42:$G$42,1,S$7)/12),0)</x:f>
        <x:v>-66492</x:v>
      </x:c>
      <x:c r="T15" s="67" t="n">
        <x:f>ROUND((-INDEX('P&amp;L 5yr'!$C$42:$G$42,1,T$7)/12),0)</x:f>
        <x:v>-66492</x:v>
      </x:c>
      <x:c r="U15" s="67" t="n">
        <x:f>ROUND((-INDEX('P&amp;L 5yr'!$C$42:$G$42,1,U$7)/12),0)</x:f>
        <x:v>-66492</x:v>
      </x:c>
      <x:c r="V15" s="67" t="n">
        <x:f>ROUND((-INDEX('P&amp;L 5yr'!$C$42:$G$42,1,V$7)/12),0)</x:f>
        <x:v>-66492</x:v>
      </x:c>
      <x:c r="W15" s="67" t="n">
        <x:f>ROUND((-INDEX('P&amp;L 5yr'!$C$42:$G$42,1,W$7)/12),0)</x:f>
        <x:v>-66492</x:v>
      </x:c>
      <x:c r="X15" s="67" t="n">
        <x:f>ROUND((-INDEX('P&amp;L 5yr'!$C$42:$G$42,1,X$7)/12),0)</x:f>
        <x:v>-66492</x:v>
      </x:c>
      <x:c r="Y15" s="67" t="n">
        <x:f>ROUND((-INDEX('P&amp;L 5yr'!$C$42:$G$42,1,Y$7)/12),0)</x:f>
        <x:v>-66492</x:v>
      </x:c>
      <x:c r="Z15" s="67" t="n">
        <x:f>ROUND((-INDEX('P&amp;L 5yr'!$C$42:$G$42,1,Z$7)/12),0)</x:f>
        <x:v>-84604</x:v>
      </x:c>
      <x:c r="AA15" s="67" t="n">
        <x:f>ROUND((-INDEX('P&amp;L 5yr'!$C$42:$G$42,1,AA$7)/12),0)</x:f>
        <x:v>-84604</x:v>
      </x:c>
      <x:c r="AB15" s="67" t="n">
        <x:f>ROUND((-INDEX('P&amp;L 5yr'!$C$42:$G$42,1,AB$7)/12),0)</x:f>
        <x:v>-84604</x:v>
      </x:c>
      <x:c r="AC15" s="67" t="n">
        <x:f>ROUND((-INDEX('P&amp;L 5yr'!$C$42:$G$42,1,AC$7)/12),0)</x:f>
        <x:v>-84604</x:v>
      </x:c>
      <x:c r="AD15" s="67" t="n">
        <x:f>ROUND((-INDEX('P&amp;L 5yr'!$C$42:$G$42,1,AD$7)/12),0)</x:f>
        <x:v>-84604</x:v>
      </x:c>
      <x:c r="AE15" s="67" t="n">
        <x:f>ROUND((-INDEX('P&amp;L 5yr'!$C$42:$G$42,1,AE$7)/12),0)</x:f>
        <x:v>-84604</x:v>
      </x:c>
      <x:c r="AF15" s="67" t="n">
        <x:f>ROUND((-INDEX('P&amp;L 5yr'!$C$42:$G$42,1,AF$7)/12),0)</x:f>
        <x:v>-84604</x:v>
      </x:c>
      <x:c r="AG15" s="67" t="n">
        <x:f>ROUND((-INDEX('P&amp;L 5yr'!$C$42:$G$42,1,AG$7)/12),0)</x:f>
        <x:v>-84604</x:v>
      </x:c>
      <x:c r="AH15" s="67" t="n">
        <x:f>ROUND((-INDEX('P&amp;L 5yr'!$C$42:$G$42,1,AH$7)/12),0)</x:f>
        <x:v>-84604</x:v>
      </x:c>
      <x:c r="AI15" s="67" t="n">
        <x:f>ROUND((-INDEX('P&amp;L 5yr'!$C$42:$G$42,1,AI$7)/12),0)</x:f>
        <x:v>-84604</x:v>
      </x:c>
      <x:c r="AJ15" s="67" t="n">
        <x:f>ROUND((-INDEX('P&amp;L 5yr'!$C$42:$G$42,1,AJ$7)/12),0)</x:f>
        <x:v>-84604</x:v>
      </x:c>
      <x:c r="AK15" s="67" t="n">
        <x:f>ROUND((-INDEX('P&amp;L 5yr'!$C$42:$G$42,1,AK$7)/12),0)</x:f>
        <x:v>-84604</x:v>
      </x:c>
      <x:c r="AL15" s="67" t="n">
        <x:f>ROUND((-INDEX('P&amp;L 5yr'!$C$42:$G$42,1,AL$7)/12),0)</x:f>
        <x:v>-117779</x:v>
      </x:c>
      <x:c r="AM15" s="67" t="n">
        <x:f>ROUND((-INDEX('P&amp;L 5yr'!$C$42:$G$42,1,AM$7)/12),0)</x:f>
        <x:v>-117779</x:v>
      </x:c>
      <x:c r="AN15" s="67" t="n">
        <x:f>ROUND((-INDEX('P&amp;L 5yr'!$C$42:$G$42,1,AN$7)/12),0)</x:f>
        <x:v>-117779</x:v>
      </x:c>
      <x:c r="AO15" s="67" t="n">
        <x:f>ROUND((-INDEX('P&amp;L 5yr'!$C$42:$G$42,1,AO$7)/12),0)</x:f>
        <x:v>-117779</x:v>
      </x:c>
      <x:c r="AP15" s="67" t="n">
        <x:f>ROUND((-INDEX('P&amp;L 5yr'!$C$42:$G$42,1,AP$7)/12),0)</x:f>
        <x:v>-117779</x:v>
      </x:c>
      <x:c r="AQ15" s="67" t="n">
        <x:f>ROUND((-INDEX('P&amp;L 5yr'!$C$42:$G$42,1,AQ$7)/12),0)</x:f>
        <x:v>-117779</x:v>
      </x:c>
      <x:c r="AR15" s="67" t="n">
        <x:f>ROUND((-INDEX('P&amp;L 5yr'!$C$42:$G$42,1,AR$7)/12),0)</x:f>
        <x:v>-117779</x:v>
      </x:c>
      <x:c r="AS15" s="67" t="n">
        <x:f>ROUND((-INDEX('P&amp;L 5yr'!$C$42:$G$42,1,AS$7)/12),0)</x:f>
        <x:v>-117779</x:v>
      </x:c>
      <x:c r="AT15" s="67" t="n">
        <x:f>ROUND((-INDEX('P&amp;L 5yr'!$C$42:$G$42,1,AT$7)/12),0)</x:f>
        <x:v>-117779</x:v>
      </x:c>
      <x:c r="AU15" s="67" t="n">
        <x:f>ROUND((-INDEX('P&amp;L 5yr'!$C$42:$G$42,1,AU$7)/12),0)</x:f>
        <x:v>-117779</x:v>
      </x:c>
      <x:c r="AV15" s="67" t="n">
        <x:f>ROUND((-INDEX('P&amp;L 5yr'!$C$42:$G$42,1,AV$7)/12),0)</x:f>
        <x:v>-117779</x:v>
      </x:c>
      <x:c r="AW15" s="67" t="n">
        <x:f>ROUND((-INDEX('P&amp;L 5yr'!$C$42:$G$42,1,AW$7)/12),0)</x:f>
        <x:v>-117779</x:v>
      </x:c>
      <x:c r="AX15" s="67" t="n">
        <x:f>ROUND((-INDEX('P&amp;L 5yr'!$C$42:$G$42,1,AX$7)/12),0)</x:f>
        <x:v>-135892</x:v>
      </x:c>
      <x:c r="AY15" s="67" t="n">
        <x:f>ROUND((-INDEX('P&amp;L 5yr'!$C$42:$G$42,1,AY$7)/12),0)</x:f>
        <x:v>-135892</x:v>
      </x:c>
      <x:c r="AZ15" s="67" t="n">
        <x:f>ROUND((-INDEX('P&amp;L 5yr'!$C$42:$G$42,1,AZ$7)/12),0)</x:f>
        <x:v>-135892</x:v>
      </x:c>
      <x:c r="BA15" s="67" t="n">
        <x:f>ROUND((-INDEX('P&amp;L 5yr'!$C$42:$G$42,1,BA$7)/12),0)</x:f>
        <x:v>-135892</x:v>
      </x:c>
      <x:c r="BB15" s="67" t="n">
        <x:f>ROUND((-INDEX('P&amp;L 5yr'!$C$42:$G$42,1,BB$7)/12),0)</x:f>
        <x:v>-135892</x:v>
      </x:c>
      <x:c r="BC15" s="67" t="n">
        <x:f>ROUND((-INDEX('P&amp;L 5yr'!$C$42:$G$42,1,BC$7)/12),0)</x:f>
        <x:v>-135892</x:v>
      </x:c>
      <x:c r="BD15" s="67" t="n">
        <x:f>ROUND((-INDEX('P&amp;L 5yr'!$C$42:$G$42,1,BD$7)/12),0)</x:f>
        <x:v>-135892</x:v>
      </x:c>
      <x:c r="BE15" s="67" t="n">
        <x:f>ROUND((-INDEX('P&amp;L 5yr'!$C$42:$G$42,1,BE$7)/12),0)</x:f>
        <x:v>-135892</x:v>
      </x:c>
      <x:c r="BF15" s="67" t="n">
        <x:f>ROUND((-INDEX('P&amp;L 5yr'!$C$42:$G$42,1,BF$7)/12),0)</x:f>
        <x:v>-135892</x:v>
      </x:c>
      <x:c r="BG15" s="67" t="n">
        <x:f>ROUND((-INDEX('P&amp;L 5yr'!$C$42:$G$42,1,BG$7)/12),0)</x:f>
        <x:v>-135892</x:v>
      </x:c>
      <x:c r="BH15" s="67" t="n">
        <x:f>ROUND((-INDEX('P&amp;L 5yr'!$C$42:$G$42,1,BH$7)/12),0)</x:f>
        <x:v>-135892</x:v>
      </x:c>
      <x:c r="BI15" s="67" t="n">
        <x:f>ROUND((-INDEX('P&amp;L 5yr'!$C$42:$G$42,1,BI$7)/12),0)</x:f>
        <x:v>-135892</x:v>
      </x:c>
      <x:c r="BK15" s="33" t="s">
        <x:v>491</x:v>
      </x:c>
    </x:row>
    <x:row r="16" ht="15" customHeight="1">
      <x:c r="A16" s="12" t="s">
        <x:v>492</x:v>
      </x:c>
      <x:c r="B16" s="67" t="n">
        <x:f>ROUND(-((INDEX('P&amp;L 5yr'!$C$56:$G$56,1,B$7)-'Launch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Readiness'!$E$16/12,0)),0)</x:f>
        <x:v>-23207</x:v>
      </x:c>
      <x:c r="C16" s="67" t="n">
        <x:f>ROUND(-((INDEX('P&amp;L 5yr'!$C$56:$G$56,1,C$7)-'Launch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Readiness'!$E$16/12,0)),0)</x:f>
        <x:v>-23207</x:v>
      </x:c>
      <x:c r="D16" s="67" t="n">
        <x:f>ROUND(-((INDEX('P&amp;L 5yr'!$C$56:$G$56,1,D$7)-'Launch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Readiness'!$E$16/12,0)),0)</x:f>
        <x:v>-23207</x:v>
      </x:c>
      <x:c r="E16" s="67" t="n">
        <x:f>ROUND(-((INDEX('P&amp;L 5yr'!$C$56:$G$56,1,E$7)-'Launch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Readiness'!$E$16/12,0)),0)</x:f>
        <x:v>-23207</x:v>
      </x:c>
      <x:c r="F16" s="67" t="n">
        <x:f>ROUND(-((INDEX('P&amp;L 5yr'!$C$56:$G$56,1,F$7)-'Launch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Readiness'!$E$16/12,0)),0)</x:f>
        <x:v>-23207</x:v>
      </x:c>
      <x:c r="G16" s="67" t="n">
        <x:f>ROUND(-((INDEX('P&amp;L 5yr'!$C$56:$G$56,1,G$7)-'Launch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Readiness'!$E$16/12,0)),0)</x:f>
        <x:v>-23207</x:v>
      </x:c>
      <x:c r="H16" s="67" t="n">
        <x:f>ROUND(-((INDEX('P&amp;L 5yr'!$C$56:$G$56,1,H$7)-'Launch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Readiness'!$E$16/12,0)),0)</x:f>
        <x:v>-23207</x:v>
      </x:c>
      <x:c r="I16" s="67" t="n">
        <x:f>ROUND(-((INDEX('P&amp;L 5yr'!$C$56:$G$56,1,I$7)-'Launch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Readiness'!$E$16/12,0)),0)</x:f>
        <x:v>-23207</x:v>
      </x:c>
      <x:c r="J16" s="67" t="n">
        <x:f>ROUND(-((INDEX('P&amp;L 5yr'!$C$56:$G$56,1,J$7)-'Launch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Readiness'!$E$16/12,0)),0)</x:f>
        <x:v>-23207</x:v>
      </x:c>
      <x:c r="K16" s="67" t="n">
        <x:f>ROUND(-((INDEX('P&amp;L 5yr'!$C$56:$G$56,1,K$7)-'Launch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Readiness'!$E$16/12,0)),0)</x:f>
        <x:v>-23207</x:v>
      </x:c>
      <x:c r="L16" s="67" t="n">
        <x:f>ROUND(-((INDEX('P&amp;L 5yr'!$C$56:$G$56,1,L$7)-'Launch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Readiness'!$E$16/12,0)),0)</x:f>
        <x:v>-23207</x:v>
      </x:c>
      <x:c r="M16" s="67" t="n">
        <x:f>ROUND(-((INDEX('P&amp;L 5yr'!$C$56:$G$56,1,M$7)-'Launch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Readiness'!$E$16/12,0)),0)</x:f>
        <x:v>-26836</x:v>
      </x:c>
      <x:c r="N16" s="67" t="n">
        <x:f>ROUND(-((INDEX('P&amp;L 5yr'!$C$56:$G$56,1,N$7)-'Launch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Readiness'!$E$16/12,0)),0)</x:f>
        <x:v>-28682</x:v>
      </x:c>
      <x:c r="O16" s="67" t="n">
        <x:f>ROUND(-((INDEX('P&amp;L 5yr'!$C$56:$G$56,1,O$7)-'Launch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Readiness'!$E$16/12,0)),0)</x:f>
        <x:v>-28682</x:v>
      </x:c>
      <x:c r="P16" s="67" t="n">
        <x:f>ROUND(-((INDEX('P&amp;L 5yr'!$C$56:$G$56,1,P$7)-'Launch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Readiness'!$E$16/12,0)),0)</x:f>
        <x:v>-28682</x:v>
      </x:c>
      <x:c r="Q16" s="67" t="n">
        <x:f>ROUND(-((INDEX('P&amp;L 5yr'!$C$56:$G$56,1,Q$7)-'Launch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Readiness'!$E$16/12,0)),0)</x:f>
        <x:v>-28682</x:v>
      </x:c>
      <x:c r="R16" s="67" t="n">
        <x:f>ROUND(-((INDEX('P&amp;L 5yr'!$C$56:$G$56,1,R$7)-'Launch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Readiness'!$E$16/12,0)),0)</x:f>
        <x:v>-28682</x:v>
      </x:c>
      <x:c r="S16" s="67" t="n">
        <x:f>ROUND(-((INDEX('P&amp;L 5yr'!$C$56:$G$56,1,S$7)-'Launch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Readiness'!$E$16/12,0)),0)</x:f>
        <x:v>-31607</x:v>
      </x:c>
      <x:c r="T16" s="67" t="n">
        <x:f>ROUND(-((INDEX('P&amp;L 5yr'!$C$56:$G$56,1,T$7)-'Launch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Readiness'!$E$16/12,0)),0)</x:f>
        <x:v>-31607</x:v>
      </x:c>
      <x:c r="U16" s="67" t="n">
        <x:f>ROUND(-((INDEX('P&amp;L 5yr'!$C$56:$G$56,1,U$7)-'Launch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Readiness'!$E$16/12,0)),0)</x:f>
        <x:v>-31607</x:v>
      </x:c>
      <x:c r="V16" s="67" t="n">
        <x:f>ROUND(-((INDEX('P&amp;L 5yr'!$C$56:$G$56,1,V$7)-'Launch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Readiness'!$E$16/12,0)),0)</x:f>
        <x:v>-31607</x:v>
      </x:c>
      <x:c r="W16" s="67" t="n">
        <x:f>ROUND(-((INDEX('P&amp;L 5yr'!$C$56:$G$56,1,W$7)-'Launch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Readiness'!$E$16/12,0)),0)</x:f>
        <x:v>-31607</x:v>
      </x:c>
      <x:c r="X16" s="67" t="n">
        <x:f>ROUND(-((INDEX('P&amp;L 5yr'!$C$56:$G$56,1,X$7)-'Launch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Readiness'!$E$16/12,0)),0)</x:f>
        <x:v>-31607</x:v>
      </x:c>
      <x:c r="Y16" s="67" t="n">
        <x:f>ROUND(-((INDEX('P&amp;L 5yr'!$C$56:$G$56,1,Y$7)-'Launch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Readiness'!$E$16/12,0)),0)</x:f>
        <x:v>-31607</x:v>
      </x:c>
      <x:c r="Z16" s="67" t="n">
        <x:f>ROUND(-((INDEX('P&amp;L 5yr'!$C$56:$G$56,1,Z$7)-'Launch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Readiness'!$E$16/12,0)),0)</x:f>
        <x:v>-37624</x:v>
      </x:c>
      <x:c r="AA16" s="67" t="n">
        <x:f>ROUND(-((INDEX('P&amp;L 5yr'!$C$56:$G$56,1,AA$7)-'Launch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Readiness'!$E$16/12,0)),0)</x:f>
        <x:v>-37624</x:v>
      </x:c>
      <x:c r="AB16" s="67" t="n">
        <x:f>ROUND(-((INDEX('P&amp;L 5yr'!$C$56:$G$56,1,AB$7)-'Launch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Readiness'!$E$16/12,0)),0)</x:f>
        <x:v>-37624</x:v>
      </x:c>
      <x:c r="AC16" s="67" t="n">
        <x:f>ROUND(-((INDEX('P&amp;L 5yr'!$C$56:$G$56,1,AC$7)-'Launch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Readiness'!$E$16/12,0)),0)</x:f>
        <x:v>-37624</x:v>
      </x:c>
      <x:c r="AD16" s="67" t="n">
        <x:f>ROUND(-((INDEX('P&amp;L 5yr'!$C$56:$G$56,1,AD$7)-'Launch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Readiness'!$E$16/12,0)),0)</x:f>
        <x:v>-37624</x:v>
      </x:c>
      <x:c r="AE16" s="67" t="n">
        <x:f>ROUND(-((INDEX('P&amp;L 5yr'!$C$56:$G$56,1,AE$7)-'Launch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Readiness'!$E$16/12,0)),0)</x:f>
        <x:v>-37624</x:v>
      </x:c>
      <x:c r="AF16" s="67" t="n">
        <x:f>ROUND(-((INDEX('P&amp;L 5yr'!$C$56:$G$56,1,AF$7)-'Launch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Readiness'!$E$16/12,0)),0)</x:f>
        <x:v>-37624</x:v>
      </x:c>
      <x:c r="AG16" s="67" t="n">
        <x:f>ROUND(-((INDEX('P&amp;L 5yr'!$C$56:$G$56,1,AG$7)-'Launch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Readiness'!$E$16/12,0)),0)</x:f>
        <x:v>-37624</x:v>
      </x:c>
      <x:c r="AH16" s="67" t="n">
        <x:f>ROUND(-((INDEX('P&amp;L 5yr'!$C$56:$G$56,1,AH$7)-'Launch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Readiness'!$E$16/12,0)),0)</x:f>
        <x:v>-37624</x:v>
      </x:c>
      <x:c r="AI16" s="67" t="n">
        <x:f>ROUND(-((INDEX('P&amp;L 5yr'!$C$56:$G$56,1,AI$7)-'Launch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Readiness'!$E$16/12,0)),0)</x:f>
        <x:v>-37624</x:v>
      </x:c>
      <x:c r="AJ16" s="67" t="n">
        <x:f>ROUND(-((INDEX('P&amp;L 5yr'!$C$56:$G$56,1,AJ$7)-'Launch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Readiness'!$E$16/12,0)),0)</x:f>
        <x:v>-37624</x:v>
      </x:c>
      <x:c r="AK16" s="67" t="n">
        <x:f>ROUND(-((INDEX('P&amp;L 5yr'!$C$56:$G$56,1,AK$7)-'Launch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Readiness'!$E$16/12,0)),0)</x:f>
        <x:v>-37624</x:v>
      </x:c>
      <x:c r="AL16" s="67" t="n">
        <x:f>ROUND(-((INDEX('P&amp;L 5yr'!$C$56:$G$56,1,AL$7)-'Launch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Readiness'!$E$16/12,0)),0)</x:f>
        <x:v>-45366</x:v>
      </x:c>
      <x:c r="AM16" s="67" t="n">
        <x:f>ROUND(-((INDEX('P&amp;L 5yr'!$C$56:$G$56,1,AM$7)-'Launch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Readiness'!$E$16/12,0)),0)</x:f>
        <x:v>-45366</x:v>
      </x:c>
      <x:c r="AN16" s="67" t="n">
        <x:f>ROUND(-((INDEX('P&amp;L 5yr'!$C$56:$G$56,1,AN$7)-'Launch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Readiness'!$E$16/12,0)),0)</x:f>
        <x:v>-45366</x:v>
      </x:c>
      <x:c r="AO16" s="67" t="n">
        <x:f>ROUND(-((INDEX('P&amp;L 5yr'!$C$56:$G$56,1,AO$7)-'Launch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Readiness'!$E$16/12,0)),0)</x:f>
        <x:v>-45366</x:v>
      </x:c>
      <x:c r="AP16" s="67" t="n">
        <x:f>ROUND(-((INDEX('P&amp;L 5yr'!$C$56:$G$56,1,AP$7)-'Launch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Readiness'!$E$16/12,0)),0)</x:f>
        <x:v>-45366</x:v>
      </x:c>
      <x:c r="AQ16" s="67" t="n">
        <x:f>ROUND(-((INDEX('P&amp;L 5yr'!$C$56:$G$56,1,AQ$7)-'Launch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Readiness'!$E$16/12,0)),0)</x:f>
        <x:v>-45366</x:v>
      </x:c>
      <x:c r="AR16" s="67" t="n">
        <x:f>ROUND(-((INDEX('P&amp;L 5yr'!$C$56:$G$56,1,AR$7)-'Launch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Readiness'!$E$16/12,0)),0)</x:f>
        <x:v>-45366</x:v>
      </x:c>
      <x:c r="AS16" s="67" t="n">
        <x:f>ROUND(-((INDEX('P&amp;L 5yr'!$C$56:$G$56,1,AS$7)-'Launch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Readiness'!$E$16/12,0)),0)</x:f>
        <x:v>-45366</x:v>
      </x:c>
      <x:c r="AT16" s="67" t="n">
        <x:f>ROUND(-((INDEX('P&amp;L 5yr'!$C$56:$G$56,1,AT$7)-'Launch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Readiness'!$E$16/12,0)),0)</x:f>
        <x:v>-45366</x:v>
      </x:c>
      <x:c r="AU16" s="67" t="n">
        <x:f>ROUND(-((INDEX('P&amp;L 5yr'!$C$56:$G$56,1,AU$7)-'Launch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Readiness'!$E$16/12,0)),0)</x:f>
        <x:v>-45366</x:v>
      </x:c>
      <x:c r="AV16" s="67" t="n">
        <x:f>ROUND(-((INDEX('P&amp;L 5yr'!$C$56:$G$56,1,AV$7)-'Launch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Readiness'!$E$16/12,0)),0)</x:f>
        <x:v>-45366</x:v>
      </x:c>
      <x:c r="AW16" s="67" t="n">
        <x:f>ROUND(-((INDEX('P&amp;L 5yr'!$C$56:$G$56,1,AW$7)-'Launch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Readiness'!$E$16/12,0)),0)</x:f>
        <x:v>-45366</x:v>
      </x:c>
      <x:c r="AX16" s="67" t="n">
        <x:f>ROUND(-((INDEX('P&amp;L 5yr'!$C$56:$G$56,1,AX$7)-'Launch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Readiness'!$E$16/12,0)),0)</x:f>
        <x:v>-53002</x:v>
      </x:c>
      <x:c r="AY16" s="67" t="n">
        <x:f>ROUND(-((INDEX('P&amp;L 5yr'!$C$56:$G$56,1,AY$7)-'Launch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Readiness'!$E$16/12,0)),0)</x:f>
        <x:v>-53002</x:v>
      </x:c>
      <x:c r="AZ16" s="67" t="n">
        <x:f>ROUND(-((INDEX('P&amp;L 5yr'!$C$56:$G$56,1,AZ$7)-'Launch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Readiness'!$E$16/12,0)),0)</x:f>
        <x:v>-53002</x:v>
      </x:c>
      <x:c r="BA16" s="67" t="n">
        <x:f>ROUND(-((INDEX('P&amp;L 5yr'!$C$56:$G$56,1,BA$7)-'Launch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Readiness'!$E$16/12,0)),0)</x:f>
        <x:v>-53002</x:v>
      </x:c>
      <x:c r="BB16" s="67" t="n">
        <x:f>ROUND(-((INDEX('P&amp;L 5yr'!$C$56:$G$56,1,BB$7)-'Launch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Readiness'!$E$16/12,0)),0)</x:f>
        <x:v>-53002</x:v>
      </x:c>
      <x:c r="BC16" s="67" t="n">
        <x:f>ROUND(-((INDEX('P&amp;L 5yr'!$C$56:$G$56,1,BC$7)-'Launch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Readiness'!$E$16/12,0)),0)</x:f>
        <x:v>-53002</x:v>
      </x:c>
      <x:c r="BD16" s="67" t="n">
        <x:f>ROUND(-((INDEX('P&amp;L 5yr'!$C$56:$G$56,1,BD$7)-'Launch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Readiness'!$E$16/12,0)),0)</x:f>
        <x:v>-53002</x:v>
      </x:c>
      <x:c r="BE16" s="67" t="n">
        <x:f>ROUND(-((INDEX('P&amp;L 5yr'!$C$56:$G$56,1,BE$7)-'Launch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Readiness'!$E$16/12,0)),0)</x:f>
        <x:v>-53002</x:v>
      </x:c>
      <x:c r="BF16" s="67" t="n">
        <x:f>ROUND(-((INDEX('P&amp;L 5yr'!$C$56:$G$56,1,BF$7)-'Launch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Readiness'!$E$16/12,0)),0)</x:f>
        <x:v>-53002</x:v>
      </x:c>
      <x:c r="BG16" s="67" t="n">
        <x:f>ROUND(-((INDEX('P&amp;L 5yr'!$C$56:$G$56,1,BG$7)-'Launch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Readiness'!$E$16/12,0)),0)</x:f>
        <x:v>-53002</x:v>
      </x:c>
      <x:c r="BH16" s="67" t="n">
        <x:f>ROUND(-((INDEX('P&amp;L 5yr'!$C$56:$G$56,1,BH$7)-'Launch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Readiness'!$E$16/12,0)),0)</x:f>
        <x:v>-53002</x:v>
      </x:c>
      <x:c r="BI16" s="67" t="n">
        <x:f>ROUND(-((INDEX('P&amp;L 5yr'!$C$56:$G$56,1,BI$7)-'Launch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Readiness'!$E$16/12,0)),0)</x:f>
        <x:v>-53002</x:v>
      </x:c>
      <x:c r="BK16" s="33" t="s">
        <x:v>493</x:v>
      </x:c>
    </x:row>
    <x:row r="17" ht="15" customHeight="1">
      <x:c r="A17" s="12" t="s">
        <x:v>494</x:v>
      </x:c>
      <x:c r="B17" s="67" t="n">
        <x:f>ROUND(-(IF(B$6&lt;=6,'Startup 6mo'!$F$44/6,0)+IF(B$6&lt;'Launch Readiness'!$E$6,'Launch Readiness'!$E$8/MAX(1,'Launch Readiness'!$E$7),0)+IF(B$6='Launch Readiness'!$G$14,'Launch Readiness'!$E$15,0)),0)</x:f>
        <x:v>-88569</x:v>
      </x:c>
      <x:c r="C17" s="67" t="n">
        <x:f>ROUND(-(IF(C$6&lt;=6,'Startup 6mo'!$F$44/6,0)+IF(C$6&lt;'Launch Readiness'!$E$6,'Launch Readiness'!$E$8/MAX(1,'Launch Readiness'!$E$7),0)+IF(C$6='Launch Readiness'!$G$14,'Launch Readiness'!$E$15,0)),0)</x:f>
        <x:v>-46023</x:v>
      </x:c>
      <x:c r="D17" s="67" t="n">
        <x:f>ROUND(-(IF(D$6&lt;=6,'Startup 6mo'!$F$44/6,0)+IF(D$6&lt;'Launch Readiness'!$E$6,'Launch Readiness'!$E$8/MAX(1,'Launch Readiness'!$E$7),0)+IF(D$6='Launch Readiness'!$G$14,'Launch Readiness'!$E$15,0)),0)</x:f>
        <x:v>-46023</x:v>
      </x:c>
      <x:c r="E17" s="67" t="n">
        <x:f>ROUND(-(IF(E$6&lt;=6,'Startup 6mo'!$F$44/6,0)+IF(E$6&lt;'Launch Readiness'!$E$6,'Launch Readiness'!$E$8/MAX(1,'Launch Readiness'!$E$7),0)+IF(E$6='Launch Readiness'!$G$14,'Launch Readiness'!$E$15,0)),0)</x:f>
        <x:v>-46023</x:v>
      </x:c>
      <x:c r="F17" s="67" t="n">
        <x:f>ROUND(-(IF(F$6&lt;=6,'Startup 6mo'!$F$44/6,0)+IF(F$6&lt;'Launch Readiness'!$E$6,'Launch Readiness'!$E$8/MAX(1,'Launch Readiness'!$E$7),0)+IF(F$6='Launch Readiness'!$G$14,'Launch Readiness'!$E$15,0)),0)</x:f>
        <x:v>-46023</x:v>
      </x:c>
      <x:c r="G17" s="67" t="n">
        <x:f>ROUND(-(IF(G$6&lt;=6,'Startup 6mo'!$F$44/6,0)+IF(G$6&lt;'Launch Readiness'!$E$6,'Launch Readiness'!$E$8/MAX(1,'Launch Readiness'!$E$7),0)+IF(G$6='Launch Readiness'!$G$14,'Launch Readiness'!$E$15,0)),0)</x:f>
        <x:v>-46023</x:v>
      </x:c>
      <x:c r="H17" s="67" t="n">
        <x:f>ROUND(-(IF(H$6&lt;=6,'Startup 6mo'!$F$44/6,0)+IF(H$6&lt;'Launch Readiness'!$E$6,'Launch Readiness'!$E$8/MAX(1,'Launch Readiness'!$E$7),0)+IF(H$6='Launch Readiness'!$G$14,'Launch Readiness'!$E$15,0)),0)</x:f>
        <x:v>-5455</x:v>
      </x:c>
      <x:c r="I17" s="67" t="n">
        <x:f>ROUND(-(IF(I$6&lt;=6,'Startup 6mo'!$F$44/6,0)+IF(I$6&lt;'Launch Readiness'!$E$6,'Launch Readiness'!$E$8/MAX(1,'Launch Readiness'!$E$7),0)+IF(I$6='Launch Readiness'!$G$14,'Launch Readiness'!$E$15,0)),0)</x:f>
        <x:v>-5455</x:v>
      </x:c>
      <x:c r="J17" s="67" t="n">
        <x:f>ROUND(-(IF(J$6&lt;=6,'Startup 6mo'!$F$44/6,0)+IF(J$6&lt;'Launch Readiness'!$E$6,'Launch Readiness'!$E$8/MAX(1,'Launch Readiness'!$E$7),0)+IF(J$6='Launch Readiness'!$G$14,'Launch Readiness'!$E$15,0)),0)</x:f>
        <x:v>-5455</x:v>
      </x:c>
      <x:c r="K17" s="67" t="n">
        <x:f>ROUND(-(IF(K$6&lt;=6,'Startup 6mo'!$F$44/6,0)+IF(K$6&lt;'Launch Readiness'!$E$6,'Launch Readiness'!$E$8/MAX(1,'Launch Readiness'!$E$7),0)+IF(K$6='Launch Readiness'!$G$14,'Launch Readiness'!$E$15,0)),0)</x:f>
        <x:v>-5455</x:v>
      </x:c>
      <x:c r="L17" s="67" t="n">
        <x:f>ROUND(-(IF(L$6&lt;=6,'Startup 6mo'!$F$44/6,0)+IF(L$6&lt;'Launch Readiness'!$E$6,'Launch Readiness'!$E$8/MAX(1,'Launch Readiness'!$E$7),0)+IF(L$6='Launch Readiness'!$G$14,'Launch Readiness'!$E$15,0)),0)</x:f>
        <x:v>-5455</x:v>
      </x:c>
      <x:c r="M17" s="67" t="n">
        <x:f>ROUND(-(IF(M$6&lt;=6,'Startup 6mo'!$F$44/6,0)+IF(M$6&lt;'Launch Readiness'!$E$6,'Launch Readiness'!$E$8/MAX(1,'Launch Readiness'!$E$7),0)+IF(M$6='Launch Readiness'!$G$14,'Launch Readiness'!$E$15,0)),0)</x:f>
        <x:v>0</x:v>
      </x:c>
      <x:c r="N17" s="67" t="n">
        <x:f>ROUND(-(IF(N$6&lt;=6,'Startup 6mo'!$F$44/6,0)+IF(N$6&lt;'Launch Readiness'!$E$6,'Launch Readiness'!$E$8/MAX(1,'Launch Readiness'!$E$7),0)+IF(N$6='Launch Readiness'!$G$14,'Launch Readiness'!$E$15,0)),0)</x:f>
        <x:v>0</x:v>
      </x:c>
      <x:c r="O17" s="67" t="n">
        <x:f>ROUND(-(IF(O$6&lt;=6,'Startup 6mo'!$F$44/6,0)+IF(O$6&lt;'Launch Readiness'!$E$6,'Launch Readiness'!$E$8/MAX(1,'Launch Readiness'!$E$7),0)+IF(O$6='Launch Readiness'!$G$14,'Launch Readiness'!$E$15,0)),0)</x:f>
        <x:v>0</x:v>
      </x:c>
      <x:c r="P17" s="67" t="n">
        <x:f>ROUND(-(IF(P$6&lt;=6,'Startup 6mo'!$F$44/6,0)+IF(P$6&lt;'Launch Readiness'!$E$6,'Launch Readiness'!$E$8/MAX(1,'Launch Readiness'!$E$7),0)+IF(P$6='Launch Readiness'!$G$14,'Launch Readiness'!$E$15,0)),0)</x:f>
        <x:v>0</x:v>
      </x:c>
      <x:c r="Q17" s="67" t="n">
        <x:f>ROUND(-(IF(Q$6&lt;=6,'Startup 6mo'!$F$44/6,0)+IF(Q$6&lt;'Launch Readiness'!$E$6,'Launch Readiness'!$E$8/MAX(1,'Launch Readiness'!$E$7),0)+IF(Q$6='Launch Readiness'!$G$14,'Launch Readiness'!$E$15,0)),0)</x:f>
        <x:v>0</x:v>
      </x:c>
      <x:c r="R17" s="67" t="n">
        <x:f>ROUND(-(IF(R$6&lt;=6,'Startup 6mo'!$F$44/6,0)+IF(R$6&lt;'Launch Readiness'!$E$6,'Launch Readiness'!$E$8/MAX(1,'Launch Readiness'!$E$7),0)+IF(R$6='Launch Readiness'!$G$14,'Launch Readiness'!$E$15,0)),0)</x:f>
        <x:v>0</x:v>
      </x:c>
      <x:c r="S17" s="67" t="n">
        <x:f>ROUND(-(IF(S$6&lt;=6,'Startup 6mo'!$F$44/6,0)+IF(S$6&lt;'Launch Readiness'!$E$6,'Launch Readiness'!$E$8/MAX(1,'Launch Readiness'!$E$7),0)+IF(S$6='Launch Readiness'!$G$14,'Launch Readiness'!$E$15,0)),0)</x:f>
        <x:v>0</x:v>
      </x:c>
      <x:c r="T17" s="67" t="n">
        <x:f>ROUND(-(IF(T$6&lt;=6,'Startup 6mo'!$F$44/6,0)+IF(T$6&lt;'Launch Readiness'!$E$6,'Launch Readiness'!$E$8/MAX(1,'Launch Readiness'!$E$7),0)+IF(T$6='Launch Readiness'!$G$14,'Launch Readiness'!$E$15,0)),0)</x:f>
        <x:v>0</x:v>
      </x:c>
      <x:c r="U17" s="67" t="n">
        <x:f>ROUND(-(IF(U$6&lt;=6,'Startup 6mo'!$F$44/6,0)+IF(U$6&lt;'Launch Readiness'!$E$6,'Launch Readiness'!$E$8/MAX(1,'Launch Readiness'!$E$7),0)+IF(U$6='Launch Readiness'!$G$14,'Launch Readiness'!$E$15,0)),0)</x:f>
        <x:v>0</x:v>
      </x:c>
      <x:c r="V17" s="67" t="n">
        <x:f>ROUND(-(IF(V$6&lt;=6,'Startup 6mo'!$F$44/6,0)+IF(V$6&lt;'Launch Readiness'!$E$6,'Launch Readiness'!$E$8/MAX(1,'Launch Readiness'!$E$7),0)+IF(V$6='Launch Readiness'!$G$14,'Launch Readiness'!$E$15,0)),0)</x:f>
        <x:v>0</x:v>
      </x:c>
      <x:c r="W17" s="67" t="n">
        <x:f>ROUND(-(IF(W$6&lt;=6,'Startup 6mo'!$F$44/6,0)+IF(W$6&lt;'Launch Readiness'!$E$6,'Launch Readiness'!$E$8/MAX(1,'Launch Readiness'!$E$7),0)+IF(W$6='Launch Readiness'!$G$14,'Launch Readiness'!$E$15,0)),0)</x:f>
        <x:v>0</x:v>
      </x:c>
      <x:c r="X17" s="67" t="n">
        <x:f>ROUND(-(IF(X$6&lt;=6,'Startup 6mo'!$F$44/6,0)+IF(X$6&lt;'Launch Readiness'!$E$6,'Launch Readiness'!$E$8/MAX(1,'Launch Readiness'!$E$7),0)+IF(X$6='Launch Readiness'!$G$14,'Launch Readiness'!$E$15,0)),0)</x:f>
        <x:v>0</x:v>
      </x:c>
      <x:c r="Y17" s="67" t="n">
        <x:f>ROUND(-(IF(Y$6&lt;=6,'Startup 6mo'!$F$44/6,0)+IF(Y$6&lt;'Launch Readiness'!$E$6,'Launch Readiness'!$E$8/MAX(1,'Launch Readiness'!$E$7),0)+IF(Y$6='Launch Readiness'!$G$14,'Launch Readiness'!$E$15,0)),0)</x:f>
        <x:v>0</x:v>
      </x:c>
      <x:c r="Z17" s="67" t="n">
        <x:f>ROUND(-(IF(Z$6&lt;=6,'Startup 6mo'!$F$44/6,0)+IF(Z$6&lt;'Launch Readiness'!$E$6,'Launch Readiness'!$E$8/MAX(1,'Launch Readiness'!$E$7),0)+IF(Z$6='Launch Readiness'!$G$14,'Launch Readiness'!$E$15,0)),0)</x:f>
        <x:v>0</x:v>
      </x:c>
      <x:c r="AA17" s="67" t="n">
        <x:f>ROUND(-(IF(AA$6&lt;=6,'Startup 6mo'!$F$44/6,0)+IF(AA$6&lt;'Launch Readiness'!$E$6,'Launch Readiness'!$E$8/MAX(1,'Launch Readiness'!$E$7),0)+IF(AA$6='Launch Readiness'!$G$14,'Launch Readiness'!$E$15,0)),0)</x:f>
        <x:v>0</x:v>
      </x:c>
      <x:c r="AB17" s="67" t="n">
        <x:f>ROUND(-(IF(AB$6&lt;=6,'Startup 6mo'!$F$44/6,0)+IF(AB$6&lt;'Launch Readiness'!$E$6,'Launch Readiness'!$E$8/MAX(1,'Launch Readiness'!$E$7),0)+IF(AB$6='Launch Readiness'!$G$14,'Launch Readiness'!$E$15,0)),0)</x:f>
        <x:v>0</x:v>
      </x:c>
      <x:c r="AC17" s="67" t="n">
        <x:f>ROUND(-(IF(AC$6&lt;=6,'Startup 6mo'!$F$44/6,0)+IF(AC$6&lt;'Launch Readiness'!$E$6,'Launch Readiness'!$E$8/MAX(1,'Launch Readiness'!$E$7),0)+IF(AC$6='Launch Readiness'!$G$14,'Launch Readiness'!$E$15,0)),0)</x:f>
        <x:v>0</x:v>
      </x:c>
      <x:c r="AD17" s="67" t="n">
        <x:f>ROUND(-(IF(AD$6&lt;=6,'Startup 6mo'!$F$44/6,0)+IF(AD$6&lt;'Launch Readiness'!$E$6,'Launch Readiness'!$E$8/MAX(1,'Launch Readiness'!$E$7),0)+IF(AD$6='Launch Readiness'!$G$14,'Launch Readiness'!$E$15,0)),0)</x:f>
        <x:v>0</x:v>
      </x:c>
      <x:c r="AE17" s="67" t="n">
        <x:f>ROUND(-(IF(AE$6&lt;=6,'Startup 6mo'!$F$44/6,0)+IF(AE$6&lt;'Launch Readiness'!$E$6,'Launch Readiness'!$E$8/MAX(1,'Launch Readiness'!$E$7),0)+IF(AE$6='Launch Readiness'!$G$14,'Launch Readiness'!$E$15,0)),0)</x:f>
        <x:v>0</x:v>
      </x:c>
      <x:c r="AF17" s="67" t="n">
        <x:f>ROUND(-(IF(AF$6&lt;=6,'Startup 6mo'!$F$44/6,0)+IF(AF$6&lt;'Launch Readiness'!$E$6,'Launch Readiness'!$E$8/MAX(1,'Launch Readiness'!$E$7),0)+IF(AF$6='Launch Readiness'!$G$14,'Launch Readiness'!$E$15,0)),0)</x:f>
        <x:v>0</x:v>
      </x:c>
      <x:c r="AG17" s="67" t="n">
        <x:f>ROUND(-(IF(AG$6&lt;=6,'Startup 6mo'!$F$44/6,0)+IF(AG$6&lt;'Launch Readiness'!$E$6,'Launch Readiness'!$E$8/MAX(1,'Launch Readiness'!$E$7),0)+IF(AG$6='Launch Readiness'!$G$14,'Launch Readiness'!$E$15,0)),0)</x:f>
        <x:v>0</x:v>
      </x:c>
      <x:c r="AH17" s="67" t="n">
        <x:f>ROUND(-(IF(AH$6&lt;=6,'Startup 6mo'!$F$44/6,0)+IF(AH$6&lt;'Launch Readiness'!$E$6,'Launch Readiness'!$E$8/MAX(1,'Launch Readiness'!$E$7),0)+IF(AH$6='Launch Readiness'!$G$14,'Launch Readiness'!$E$15,0)),0)</x:f>
        <x:v>0</x:v>
      </x:c>
      <x:c r="AI17" s="67" t="n">
        <x:f>ROUND(-(IF(AI$6&lt;=6,'Startup 6mo'!$F$44/6,0)+IF(AI$6&lt;'Launch Readiness'!$E$6,'Launch Readiness'!$E$8/MAX(1,'Launch Readiness'!$E$7),0)+IF(AI$6='Launch Readiness'!$G$14,'Launch Readiness'!$E$15,0)),0)</x:f>
        <x:v>0</x:v>
      </x:c>
      <x:c r="AJ17" s="67" t="n">
        <x:f>ROUND(-(IF(AJ$6&lt;=6,'Startup 6mo'!$F$44/6,0)+IF(AJ$6&lt;'Launch Readiness'!$E$6,'Launch Readiness'!$E$8/MAX(1,'Launch Readiness'!$E$7),0)+IF(AJ$6='Launch Readiness'!$G$14,'Launch Readiness'!$E$15,0)),0)</x:f>
        <x:v>0</x:v>
      </x:c>
      <x:c r="AK17" s="67" t="n">
        <x:f>ROUND(-(IF(AK$6&lt;=6,'Startup 6mo'!$F$44/6,0)+IF(AK$6&lt;'Launch Readiness'!$E$6,'Launch Readiness'!$E$8/MAX(1,'Launch Readiness'!$E$7),0)+IF(AK$6='Launch Readiness'!$G$14,'Launch Readiness'!$E$15,0)),0)</x:f>
        <x:v>0</x:v>
      </x:c>
      <x:c r="AL17" s="67" t="n">
        <x:f>ROUND(-(IF(AL$6&lt;=6,'Startup 6mo'!$F$44/6,0)+IF(AL$6&lt;'Launch Readiness'!$E$6,'Launch Readiness'!$E$8/MAX(1,'Launch Readiness'!$E$7),0)+IF(AL$6='Launch Readiness'!$G$14,'Launch Readiness'!$E$15,0)),0)</x:f>
        <x:v>0</x:v>
      </x:c>
      <x:c r="AM17" s="67" t="n">
        <x:f>ROUND(-(IF(AM$6&lt;=6,'Startup 6mo'!$F$44/6,0)+IF(AM$6&lt;'Launch Readiness'!$E$6,'Launch Readiness'!$E$8/MAX(1,'Launch Readiness'!$E$7),0)+IF(AM$6='Launch Readiness'!$G$14,'Launch Readiness'!$E$15,0)),0)</x:f>
        <x:v>0</x:v>
      </x:c>
      <x:c r="AN17" s="67" t="n">
        <x:f>ROUND(-(IF(AN$6&lt;=6,'Startup 6mo'!$F$44/6,0)+IF(AN$6&lt;'Launch Readiness'!$E$6,'Launch Readiness'!$E$8/MAX(1,'Launch Readiness'!$E$7),0)+IF(AN$6='Launch Readiness'!$G$14,'Launch Readiness'!$E$15,0)),0)</x:f>
        <x:v>0</x:v>
      </x:c>
      <x:c r="AO17" s="67" t="n">
        <x:f>ROUND(-(IF(AO$6&lt;=6,'Startup 6mo'!$F$44/6,0)+IF(AO$6&lt;'Launch Readiness'!$E$6,'Launch Readiness'!$E$8/MAX(1,'Launch Readiness'!$E$7),0)+IF(AO$6='Launch Readiness'!$G$14,'Launch Readiness'!$E$15,0)),0)</x:f>
        <x:v>0</x:v>
      </x:c>
      <x:c r="AP17" s="67" t="n">
        <x:f>ROUND(-(IF(AP$6&lt;=6,'Startup 6mo'!$F$44/6,0)+IF(AP$6&lt;'Launch Readiness'!$E$6,'Launch Readiness'!$E$8/MAX(1,'Launch Readiness'!$E$7),0)+IF(AP$6='Launch Readiness'!$G$14,'Launch Readiness'!$E$15,0)),0)</x:f>
        <x:v>0</x:v>
      </x:c>
      <x:c r="AQ17" s="67" t="n">
        <x:f>ROUND(-(IF(AQ$6&lt;=6,'Startup 6mo'!$F$44/6,0)+IF(AQ$6&lt;'Launch Readiness'!$E$6,'Launch Readiness'!$E$8/MAX(1,'Launch Readiness'!$E$7),0)+IF(AQ$6='Launch Readiness'!$G$14,'Launch Readiness'!$E$15,0)),0)</x:f>
        <x:v>0</x:v>
      </x:c>
      <x:c r="AR17" s="67" t="n">
        <x:f>ROUND(-(IF(AR$6&lt;=6,'Startup 6mo'!$F$44/6,0)+IF(AR$6&lt;'Launch Readiness'!$E$6,'Launch Readiness'!$E$8/MAX(1,'Launch Readiness'!$E$7),0)+IF(AR$6='Launch Readiness'!$G$14,'Launch Readiness'!$E$15,0)),0)</x:f>
        <x:v>0</x:v>
      </x:c>
      <x:c r="AS17" s="67" t="n">
        <x:f>ROUND(-(IF(AS$6&lt;=6,'Startup 6mo'!$F$44/6,0)+IF(AS$6&lt;'Launch Readiness'!$E$6,'Launch Readiness'!$E$8/MAX(1,'Launch Readiness'!$E$7),0)+IF(AS$6='Launch Readiness'!$G$14,'Launch Readiness'!$E$15,0)),0)</x:f>
        <x:v>0</x:v>
      </x:c>
      <x:c r="AT17" s="67" t="n">
        <x:f>ROUND(-(IF(AT$6&lt;=6,'Startup 6mo'!$F$44/6,0)+IF(AT$6&lt;'Launch Readiness'!$E$6,'Launch Readiness'!$E$8/MAX(1,'Launch Readiness'!$E$7),0)+IF(AT$6='Launch Readiness'!$G$14,'Launch Readiness'!$E$15,0)),0)</x:f>
        <x:v>0</x:v>
      </x:c>
      <x:c r="AU17" s="67" t="n">
        <x:f>ROUND(-(IF(AU$6&lt;=6,'Startup 6mo'!$F$44/6,0)+IF(AU$6&lt;'Launch Readiness'!$E$6,'Launch Readiness'!$E$8/MAX(1,'Launch Readiness'!$E$7),0)+IF(AU$6='Launch Readiness'!$G$14,'Launch Readiness'!$E$15,0)),0)</x:f>
        <x:v>0</x:v>
      </x:c>
      <x:c r="AV17" s="67" t="n">
        <x:f>ROUND(-(IF(AV$6&lt;=6,'Startup 6mo'!$F$44/6,0)+IF(AV$6&lt;'Launch Readiness'!$E$6,'Launch Readiness'!$E$8/MAX(1,'Launch Readiness'!$E$7),0)+IF(AV$6='Launch Readiness'!$G$14,'Launch Readiness'!$E$15,0)),0)</x:f>
        <x:v>0</x:v>
      </x:c>
      <x:c r="AW17" s="67" t="n">
        <x:f>ROUND(-(IF(AW$6&lt;=6,'Startup 6mo'!$F$44/6,0)+IF(AW$6&lt;'Launch Readiness'!$E$6,'Launch Readiness'!$E$8/MAX(1,'Launch Readiness'!$E$7),0)+IF(AW$6='Launch Readiness'!$G$14,'Launch Readiness'!$E$15,0)),0)</x:f>
        <x:v>0</x:v>
      </x:c>
      <x:c r="AX17" s="67" t="n">
        <x:f>ROUND(-(IF(AX$6&lt;=6,'Startup 6mo'!$F$44/6,0)+IF(AX$6&lt;'Launch Readiness'!$E$6,'Launch Readiness'!$E$8/MAX(1,'Launch Readiness'!$E$7),0)+IF(AX$6='Launch Readiness'!$G$14,'Launch Readiness'!$E$15,0)),0)</x:f>
        <x:v>0</x:v>
      </x:c>
      <x:c r="AY17" s="67" t="n">
        <x:f>ROUND(-(IF(AY$6&lt;=6,'Startup 6mo'!$F$44/6,0)+IF(AY$6&lt;'Launch Readiness'!$E$6,'Launch Readiness'!$E$8/MAX(1,'Launch Readiness'!$E$7),0)+IF(AY$6='Launch Readiness'!$G$14,'Launch Readiness'!$E$15,0)),0)</x:f>
        <x:v>0</x:v>
      </x:c>
      <x:c r="AZ17" s="67" t="n">
        <x:f>ROUND(-(IF(AZ$6&lt;=6,'Startup 6mo'!$F$44/6,0)+IF(AZ$6&lt;'Launch Readiness'!$E$6,'Launch Readiness'!$E$8/MAX(1,'Launch Readiness'!$E$7),0)+IF(AZ$6='Launch Readiness'!$G$14,'Launch Readiness'!$E$15,0)),0)</x:f>
        <x:v>0</x:v>
      </x:c>
      <x:c r="BA17" s="67" t="n">
        <x:f>ROUND(-(IF(BA$6&lt;=6,'Startup 6mo'!$F$44/6,0)+IF(BA$6&lt;'Launch Readiness'!$E$6,'Launch Readiness'!$E$8/MAX(1,'Launch Readiness'!$E$7),0)+IF(BA$6='Launch Readiness'!$G$14,'Launch Readiness'!$E$15,0)),0)</x:f>
        <x:v>0</x:v>
      </x:c>
      <x:c r="BB17" s="67" t="n">
        <x:f>ROUND(-(IF(BB$6&lt;=6,'Startup 6mo'!$F$44/6,0)+IF(BB$6&lt;'Launch Readiness'!$E$6,'Launch Readiness'!$E$8/MAX(1,'Launch Readiness'!$E$7),0)+IF(BB$6='Launch Readiness'!$G$14,'Launch Readiness'!$E$15,0)),0)</x:f>
        <x:v>0</x:v>
      </x:c>
      <x:c r="BC17" s="67" t="n">
        <x:f>ROUND(-(IF(BC$6&lt;=6,'Startup 6mo'!$F$44/6,0)+IF(BC$6&lt;'Launch Readiness'!$E$6,'Launch Readiness'!$E$8/MAX(1,'Launch Readiness'!$E$7),0)+IF(BC$6='Launch Readiness'!$G$14,'Launch Readiness'!$E$15,0)),0)</x:f>
        <x:v>0</x:v>
      </x:c>
      <x:c r="BD17" s="67" t="n">
        <x:f>ROUND(-(IF(BD$6&lt;=6,'Startup 6mo'!$F$44/6,0)+IF(BD$6&lt;'Launch Readiness'!$E$6,'Launch Readiness'!$E$8/MAX(1,'Launch Readiness'!$E$7),0)+IF(BD$6='Launch Readiness'!$G$14,'Launch Readiness'!$E$15,0)),0)</x:f>
        <x:v>0</x:v>
      </x:c>
      <x:c r="BE17" s="67" t="n">
        <x:f>ROUND(-(IF(BE$6&lt;=6,'Startup 6mo'!$F$44/6,0)+IF(BE$6&lt;'Launch Readiness'!$E$6,'Launch Readiness'!$E$8/MAX(1,'Launch Readiness'!$E$7),0)+IF(BE$6='Launch Readiness'!$G$14,'Launch Readiness'!$E$15,0)),0)</x:f>
        <x:v>0</x:v>
      </x:c>
      <x:c r="BF17" s="67" t="n">
        <x:f>ROUND(-(IF(BF$6&lt;=6,'Startup 6mo'!$F$44/6,0)+IF(BF$6&lt;'Launch Readiness'!$E$6,'Launch Readiness'!$E$8/MAX(1,'Launch Readiness'!$E$7),0)+IF(BF$6='Launch Readiness'!$G$14,'Launch Readiness'!$E$15,0)),0)</x:f>
        <x:v>0</x:v>
      </x:c>
      <x:c r="BG17" s="67" t="n">
        <x:f>ROUND(-(IF(BG$6&lt;=6,'Startup 6mo'!$F$44/6,0)+IF(BG$6&lt;'Launch Readiness'!$E$6,'Launch Readiness'!$E$8/MAX(1,'Launch Readiness'!$E$7),0)+IF(BG$6='Launch Readiness'!$G$14,'Launch Readiness'!$E$15,0)),0)</x:f>
        <x:v>0</x:v>
      </x:c>
      <x:c r="BH17" s="67" t="n">
        <x:f>ROUND(-(IF(BH$6&lt;=6,'Startup 6mo'!$F$44/6,0)+IF(BH$6&lt;'Launch Readiness'!$E$6,'Launch Readiness'!$E$8/MAX(1,'Launch Readiness'!$E$7),0)+IF(BH$6='Launch Readiness'!$G$14,'Launch Readiness'!$E$15,0)),0)</x:f>
        <x:v>0</x:v>
      </x:c>
      <x:c r="BI17" s="67" t="n">
        <x:f>ROUND(-(IF(BI$6&lt;=6,'Startup 6mo'!$F$44/6,0)+IF(BI$6&lt;'Launch Readiness'!$E$6,'Launch Readiness'!$E$8/MAX(1,'Launch Readiness'!$E$7),0)+IF(BI$6='Launch Readiness'!$G$14,'Launch Readiness'!$E$15,0)),0)</x:f>
        <x:v>0</x:v>
      </x:c>
      <x:c r="BK17" s="33" t="s">
        <x:v>495</x:v>
      </x:c>
    </x:row>
    <x:row r="18" ht="15" customHeight="1">
      <x:c r="A18" s="12" t="s">
        <x:v>496</x:v>
      </x:c>
      <x:c r="B18" s="56" t="n">
        <x:f t="shared" ref="B18:AG18" si="8">ROUND(0,0)</x:f>
        <x:v>0</x:v>
      </x:c>
      <x:c r="C18" s="56">
        <x:f t="shared" si="8"/>
        <x:v>0</x:v>
      </x:c>
      <x:c r="D18" s="56">
        <x:f t="shared" si="8"/>
        <x:v>0</x:v>
      </x:c>
      <x:c r="E18" s="56">
        <x:f t="shared" si="8"/>
        <x:v>0</x:v>
      </x:c>
      <x:c r="F18" s="56">
        <x:f t="shared" si="8"/>
        <x:v>0</x:v>
      </x:c>
      <x:c r="G18" s="56">
        <x:f t="shared" si="8"/>
        <x:v>0</x:v>
      </x:c>
      <x:c r="H18" s="56">
        <x:f t="shared" si="8"/>
        <x:v>0</x:v>
      </x:c>
      <x:c r="I18" s="56">
        <x:f t="shared" si="8"/>
        <x:v>0</x:v>
      </x:c>
      <x:c r="J18" s="56">
        <x:f t="shared" si="8"/>
        <x:v>0</x:v>
      </x:c>
      <x:c r="K18" s="56">
        <x:f t="shared" si="8"/>
        <x:v>0</x:v>
      </x:c>
      <x:c r="L18" s="56">
        <x:f t="shared" si="8"/>
        <x:v>0</x:v>
      </x:c>
      <x:c r="M18" s="56">
        <x:f t="shared" si="8"/>
        <x:v>0</x:v>
      </x:c>
      <x:c r="N18" s="56">
        <x:f t="shared" si="8"/>
        <x:v>0</x:v>
      </x:c>
      <x:c r="O18" s="56">
        <x:f t="shared" si="8"/>
        <x:v>0</x:v>
      </x:c>
      <x:c r="P18" s="56">
        <x:f t="shared" si="8"/>
        <x:v>0</x:v>
      </x:c>
      <x:c r="Q18" s="56">
        <x:f t="shared" si="8"/>
        <x:v>0</x:v>
      </x:c>
      <x:c r="R18" s="56">
        <x:f t="shared" si="8"/>
        <x:v>0</x:v>
      </x:c>
      <x:c r="S18" s="56">
        <x:f t="shared" si="8"/>
        <x:v>0</x:v>
      </x:c>
      <x:c r="T18" s="56">
        <x:f t="shared" si="8"/>
        <x:v>0</x:v>
      </x:c>
      <x:c r="U18" s="56">
        <x:f t="shared" si="8"/>
        <x:v>0</x:v>
      </x:c>
      <x:c r="V18" s="56">
        <x:f t="shared" si="8"/>
        <x:v>0</x:v>
      </x:c>
      <x:c r="W18" s="56">
        <x:f t="shared" si="8"/>
        <x:v>0</x:v>
      </x:c>
      <x:c r="X18" s="56">
        <x:f t="shared" si="8"/>
        <x:v>0</x:v>
      </x:c>
      <x:c r="Y18" s="56">
        <x:f t="shared" si="8"/>
        <x:v>0</x:v>
      </x:c>
      <x:c r="Z18" s="56">
        <x:f t="shared" si="8"/>
        <x:v>0</x:v>
      </x:c>
      <x:c r="AA18" s="56">
        <x:f t="shared" si="8"/>
        <x:v>0</x:v>
      </x:c>
      <x:c r="AB18" s="56">
        <x:f t="shared" si="8"/>
        <x:v>0</x:v>
      </x:c>
      <x:c r="AC18" s="56">
        <x:f t="shared" si="8"/>
        <x:v>0</x:v>
      </x:c>
      <x:c r="AD18" s="56">
        <x:f t="shared" si="8"/>
        <x:v>0</x:v>
      </x:c>
      <x:c r="AE18" s="56">
        <x:f t="shared" si="8"/>
        <x:v>0</x:v>
      </x:c>
      <x:c r="AF18" s="56">
        <x:f t="shared" si="8"/>
        <x:v>0</x:v>
      </x:c>
      <x:c r="AG18" s="56">
        <x:f t="shared" si="8"/>
        <x:v>0</x:v>
      </x:c>
      <x:c r="AH18" s="56" t="n">
        <x:f t="shared" ref="AH18:BI18" si="9">ROUND(0,0)</x:f>
        <x:v>0</x:v>
      </x:c>
      <x:c r="AI18" s="56">
        <x:f t="shared" si="9"/>
        <x:v>0</x:v>
      </x:c>
      <x:c r="AJ18" s="56">
        <x:f t="shared" si="9"/>
        <x:v>0</x:v>
      </x:c>
      <x:c r="AK18" s="56">
        <x:f t="shared" si="9"/>
        <x:v>0</x:v>
      </x:c>
      <x:c r="AL18" s="56">
        <x:f t="shared" si="9"/>
        <x:v>0</x:v>
      </x:c>
      <x:c r="AM18" s="56">
        <x:f t="shared" si="9"/>
        <x:v>0</x:v>
      </x:c>
      <x:c r="AN18" s="56">
        <x:f t="shared" si="9"/>
        <x:v>0</x:v>
      </x:c>
      <x:c r="AO18" s="56">
        <x:f t="shared" si="9"/>
        <x:v>0</x:v>
      </x:c>
      <x:c r="AP18" s="56">
        <x:f t="shared" si="9"/>
        <x:v>0</x:v>
      </x:c>
      <x:c r="AQ18" s="56">
        <x:f t="shared" si="9"/>
        <x:v>0</x:v>
      </x:c>
      <x:c r="AR18" s="56">
        <x:f t="shared" si="9"/>
        <x:v>0</x:v>
      </x:c>
      <x:c r="AS18" s="56">
        <x:f t="shared" si="9"/>
        <x:v>0</x:v>
      </x:c>
      <x:c r="AT18" s="56">
        <x:f t="shared" si="9"/>
        <x:v>0</x:v>
      </x:c>
      <x:c r="AU18" s="56">
        <x:f t="shared" si="9"/>
        <x:v>0</x:v>
      </x:c>
      <x:c r="AV18" s="56">
        <x:f t="shared" si="9"/>
        <x:v>0</x:v>
      </x:c>
      <x:c r="AW18" s="56">
        <x:f t="shared" si="9"/>
        <x:v>0</x:v>
      </x:c>
      <x:c r="AX18" s="56">
        <x:f t="shared" si="9"/>
        <x:v>0</x:v>
      </x:c>
      <x:c r="AY18" s="56">
        <x:f t="shared" si="9"/>
        <x:v>0</x:v>
      </x:c>
      <x:c r="AZ18" s="56">
        <x:f t="shared" si="9"/>
        <x:v>0</x:v>
      </x:c>
      <x:c r="BA18" s="56">
        <x:f t="shared" si="9"/>
        <x:v>0</x:v>
      </x:c>
      <x:c r="BB18" s="56">
        <x:f t="shared" si="9"/>
        <x:v>0</x:v>
      </x:c>
      <x:c r="BC18" s="56">
        <x:f t="shared" si="9"/>
        <x:v>0</x:v>
      </x:c>
      <x:c r="BD18" s="56">
        <x:f t="shared" si="9"/>
        <x:v>0</x:v>
      </x:c>
      <x:c r="BE18" s="56">
        <x:f t="shared" si="9"/>
        <x:v>0</x:v>
      </x:c>
      <x:c r="BF18" s="56">
        <x:f t="shared" si="9"/>
        <x:v>0</x:v>
      </x:c>
      <x:c r="BG18" s="56">
        <x:f t="shared" si="9"/>
        <x:v>0</x:v>
      </x:c>
      <x:c r="BH18" s="56">
        <x:f t="shared" si="9"/>
        <x:v>0</x:v>
      </x:c>
      <x:c r="BI18" s="56">
        <x:f t="shared" si="9"/>
        <x:v>0</x:v>
      </x:c>
      <x:c r="BK18" s="33" t="s">
        <x:v>497</x:v>
      </x:c>
    </x:row>
    <x:row r="19" ht="15" customHeight="1">
      <x:c r="A19" s="24" t="s">
        <x:v>498</x:v>
      </x:c>
      <x:c r="B19" s="92" t="n">
        <x:f t="shared" ref="B19:AG19" si="10">ROUND(B14+SUM(B15:B18),0)</x:f>
        <x:v>-152105</x:v>
      </x:c>
      <x:c r="C19" s="92">
        <x:f t="shared" si="10"/>
        <x:v>-109559</x:v>
      </x:c>
      <x:c r="D19" s="92">
        <x:f t="shared" si="10"/>
        <x:v>-109559</x:v>
      </x:c>
      <x:c r="E19" s="92">
        <x:f t="shared" si="10"/>
        <x:v>-109559</x:v>
      </x:c>
      <x:c r="F19" s="92">
        <x:f t="shared" si="10"/>
        <x:v>-109559</x:v>
      </x:c>
      <x:c r="G19" s="92">
        <x:f t="shared" si="10"/>
        <x:v>-109559</x:v>
      </x:c>
      <x:c r="H19" s="92">
        <x:f t="shared" si="10"/>
        <x:v>-68991</x:v>
      </x:c>
      <x:c r="I19" s="92">
        <x:f t="shared" si="10"/>
        <x:v>-68991</x:v>
      </x:c>
      <x:c r="J19" s="92">
        <x:f t="shared" si="10"/>
        <x:v>-68991</x:v>
      </x:c>
      <x:c r="K19" s="92">
        <x:f t="shared" si="10"/>
        <x:v>-68991</x:v>
      </x:c>
      <x:c r="L19" s="92">
        <x:f t="shared" si="10"/>
        <x:v>-68991</x:v>
      </x:c>
      <x:c r="M19" s="92">
        <x:f t="shared" si="10"/>
        <x:v>-67872</x:v>
      </x:c>
      <x:c r="N19" s="92">
        <x:f t="shared" si="10"/>
        <x:v>-100785</x:v>
      </x:c>
      <x:c r="O19" s="92">
        <x:f t="shared" si="10"/>
        <x:v>-69522</x:v>
      </x:c>
      <x:c r="P19" s="92">
        <x:f t="shared" si="10"/>
        <x:v>-69522</x:v>
      </x:c>
      <x:c r="Q19" s="92">
        <x:f t="shared" si="10"/>
        <x:v>-69522</x:v>
      </x:c>
      <x:c r="R19" s="92">
        <x:f t="shared" si="10"/>
        <x:v>-69522</x:v>
      </x:c>
      <x:c r="S19" s="92">
        <x:f t="shared" si="10"/>
        <x:v>-112068</x:v>
      </x:c>
      <x:c r="T19" s="92">
        <x:f t="shared" si="10"/>
        <x:v>-69522</x:v>
      </x:c>
      <x:c r="U19" s="92">
        <x:f t="shared" si="10"/>
        <x:v>-69522</x:v>
      </x:c>
      <x:c r="V19" s="92">
        <x:f t="shared" si="10"/>
        <x:v>-69522</x:v>
      </x:c>
      <x:c r="W19" s="92">
        <x:f t="shared" si="10"/>
        <x:v>-69522</x:v>
      </x:c>
      <x:c r="X19" s="92">
        <x:f t="shared" si="10"/>
        <x:v>-69522</x:v>
      </x:c>
      <x:c r="Y19" s="92">
        <x:f t="shared" si="10"/>
        <x:v>-69522</x:v>
      </x:c>
      <x:c r="Z19" s="92">
        <x:f t="shared" si="10"/>
        <x:v>-111777</x:v>
      </x:c>
      <x:c r="AA19" s="92">
        <x:f t="shared" si="10"/>
        <x:v>-29830</x:v>
      </x:c>
      <x:c r="AB19" s="92">
        <x:f t="shared" si="10"/>
        <x:v>-29830</x:v>
      </x:c>
      <x:c r="AC19" s="92">
        <x:f t="shared" si="10"/>
        <x:v>-29830</x:v>
      </x:c>
      <x:c r="AD19" s="92">
        <x:f t="shared" si="10"/>
        <x:v>-29830</x:v>
      </x:c>
      <x:c r="AE19" s="92">
        <x:f t="shared" si="10"/>
        <x:v>-32756</x:v>
      </x:c>
      <x:c r="AF19" s="92">
        <x:f t="shared" si="10"/>
        <x:v>-32756</x:v>
      </x:c>
      <x:c r="AG19" s="92">
        <x:f t="shared" si="10"/>
        <x:v>-32756</x:v>
      </x:c>
      <x:c r="AH19" s="92" t="n">
        <x:f t="shared" ref="AH19:BI19" si="11">ROUND(AH14+SUM(AH15:AH18),0)</x:f>
        <x:v>-32756</x:v>
      </x:c>
      <x:c r="AI19" s="92">
        <x:f t="shared" si="11"/>
        <x:v>-32756</x:v>
      </x:c>
      <x:c r="AJ19" s="92">
        <x:f t="shared" si="11"/>
        <x:v>-32756</x:v>
      </x:c>
      <x:c r="AK19" s="92">
        <x:f t="shared" si="11"/>
        <x:v>-32756</x:v>
      </x:c>
      <x:c r="AL19" s="92">
        <x:f t="shared" si="11"/>
        <x:v>-212730</x:v>
      </x:c>
      <x:c r="AM19" s="92">
        <x:f t="shared" si="11"/>
        <x:v>416835</x:v>
      </x:c>
      <x:c r="AN19" s="92">
        <x:f t="shared" si="11"/>
        <x:v>416835</x:v>
      </x:c>
      <x:c r="AO19" s="92">
        <x:f t="shared" si="11"/>
        <x:v>416835</x:v>
      </x:c>
      <x:c r="AP19" s="92">
        <x:f t="shared" si="11"/>
        <x:v>416835</x:v>
      </x:c>
      <x:c r="AQ19" s="92">
        <x:f t="shared" si="11"/>
        <x:v>416835</x:v>
      </x:c>
      <x:c r="AR19" s="92">
        <x:f t="shared" si="11"/>
        <x:v>416835</x:v>
      </x:c>
      <x:c r="AS19" s="92">
        <x:f t="shared" si="11"/>
        <x:v>416835</x:v>
      </x:c>
      <x:c r="AT19" s="92">
        <x:f t="shared" si="11"/>
        <x:v>416835</x:v>
      </x:c>
      <x:c r="AU19" s="92">
        <x:f t="shared" si="11"/>
        <x:v>416835</x:v>
      </x:c>
      <x:c r="AV19" s="92">
        <x:f t="shared" si="11"/>
        <x:v>416835</x:v>
      </x:c>
      <x:c r="AW19" s="92">
        <x:f t="shared" si="11"/>
        <x:v>416835</x:v>
      </x:c>
      <x:c r="AX19" s="92">
        <x:f t="shared" si="11"/>
        <x:v>238590</x:v>
      </x:c>
      <x:c r="AY19" s="92">
        <x:f t="shared" si="11"/>
        <x:v>979417</x:v>
      </x:c>
      <x:c r="AZ19" s="92">
        <x:f t="shared" si="11"/>
        <x:v>979417</x:v>
      </x:c>
      <x:c r="BA19" s="92">
        <x:f t="shared" si="11"/>
        <x:v>979417</x:v>
      </x:c>
      <x:c r="BB19" s="92">
        <x:f t="shared" si="11"/>
        <x:v>979417</x:v>
      </x:c>
      <x:c r="BC19" s="92">
        <x:f t="shared" si="11"/>
        <x:v>979417</x:v>
      </x:c>
      <x:c r="BD19" s="92">
        <x:f t="shared" si="11"/>
        <x:v>979417</x:v>
      </x:c>
      <x:c r="BE19" s="92">
        <x:f t="shared" si="11"/>
        <x:v>979417</x:v>
      </x:c>
      <x:c r="BF19" s="92">
        <x:f t="shared" si="11"/>
        <x:v>979417</x:v>
      </x:c>
      <x:c r="BG19" s="92">
        <x:f t="shared" si="11"/>
        <x:v>979417</x:v>
      </x:c>
      <x:c r="BH19" s="92">
        <x:f t="shared" si="11"/>
        <x:v>979417</x:v>
      </x:c>
      <x:c r="BI19" s="92">
        <x:f t="shared" si="11"/>
        <x:v>979417</x:v>
      </x:c>
    </x:row>
    <x:row r="20" ht="8.100000381469727" customHeight="1">
      <x:c r="A20" s="4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  <x:c r="AA20" s="62"/>
      <x:c r="AB20" s="62"/>
      <x:c r="AC20" s="62"/>
      <x:c r="AD20" s="62"/>
      <x:c r="AE20" s="62"/>
      <x:c r="AF20" s="62"/>
      <x:c r="AG20" s="62"/>
      <x:c r="AH20" s="62"/>
      <x:c r="AI20" s="62"/>
      <x:c r="AJ20" s="62"/>
      <x:c r="AK20" s="62"/>
      <x:c r="AL20" s="62"/>
      <x:c r="AM20" s="62"/>
      <x:c r="AN20" s="62"/>
      <x:c r="AO20" s="62"/>
      <x:c r="AP20" s="62"/>
      <x:c r="AQ20" s="62"/>
      <x:c r="AR20" s="62"/>
      <x:c r="AS20" s="62"/>
      <x:c r="AT20" s="62"/>
      <x:c r="AU20" s="62"/>
      <x:c r="AV20" s="62"/>
      <x:c r="AW20" s="62"/>
      <x:c r="AX20" s="62"/>
      <x:c r="AY20" s="62"/>
      <x:c r="AZ20" s="62"/>
      <x:c r="BA20" s="62"/>
      <x:c r="BB20" s="62"/>
      <x:c r="BC20" s="62"/>
      <x:c r="BD20" s="62"/>
      <x:c r="BE20" s="62"/>
      <x:c r="BF20" s="62"/>
      <x:c r="BG20" s="62"/>
      <x:c r="BH20" s="62"/>
      <x:c r="BI20" s="62"/>
    </x:row>
    <x:row r="21" ht="18.950000762939453" customHeight="1">
      <x:c r="A21" s="5" t="s">
        <x:v>499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 s="5"/>
      <x:c r="AI21" s="5"/>
      <x:c r="AJ21" s="5"/>
      <x:c r="AK21" s="5"/>
      <x:c r="AL21" s="5"/>
      <x:c r="AM21" s="5"/>
      <x:c r="AN21" s="5"/>
      <x:c r="AO21" s="5"/>
      <x:c r="AP21" s="5"/>
      <x:c r="AQ21" s="5"/>
      <x:c r="AR21" s="5"/>
      <x:c r="AS21" s="5"/>
      <x:c r="AT21" s="5"/>
      <x:c r="AU21" s="5"/>
      <x:c r="AV21" s="5"/>
      <x:c r="AW21" s="5"/>
      <x:c r="AX21" s="5"/>
      <x:c r="AY21" s="5"/>
      <x:c r="AZ21" s="5"/>
      <x:c r="BA21" s="5"/>
      <x:c r="BB21" s="5"/>
      <x:c r="BC21" s="5"/>
      <x:c r="BD21" s="5"/>
      <x:c r="BE21" s="5"/>
      <x:c r="BF21" s="5"/>
      <x:c r="BG21" s="5"/>
      <x:c r="BH21" s="5"/>
      <x:c r="BI21" s="5"/>
    </x:row>
    <x:row r="22" ht="15" customHeight="1">
      <x:c r="A22" s="12" t="s">
        <x:v>500</x:v>
      </x:c>
      <x:c r="B22" s="56" t="n">
        <x:f>0</x:f>
        <x:v>0</x:v>
      </x:c>
      <x:c r="C22" s="56" t="n">
        <x:f>0</x:f>
        <x:v>0</x:v>
      </x:c>
      <x:c r="D22" s="56" t="n">
        <x:f>0</x:f>
        <x:v>0</x:v>
      </x:c>
      <x:c r="E22" s="56" t="n">
        <x:f>0</x:f>
        <x:v>0</x:v>
      </x:c>
      <x:c r="F22" s="56" t="n">
        <x:f>0</x:f>
        <x:v>0</x:v>
      </x:c>
      <x:c r="G22" s="56" t="n">
        <x:f>0</x:f>
        <x:v>0</x:v>
      </x:c>
      <x:c r="H22" s="56" t="n">
        <x:f>0</x:f>
        <x:v>0</x:v>
      </x:c>
      <x:c r="I22" s="56" t="n">
        <x:f>0</x:f>
        <x:v>0</x:v>
      </x:c>
      <x:c r="J22" s="56" t="n">
        <x:f>0</x:f>
        <x:v>0</x:v>
      </x:c>
      <x:c r="K22" s="56" t="n">
        <x:f>0</x:f>
        <x:v>0</x:v>
      </x:c>
      <x:c r="L22" s="56" t="n">
        <x:f>0</x:f>
        <x:v>0</x:v>
      </x:c>
      <x:c r="M22" s="56" t="n">
        <x:f>0</x:f>
        <x:v>0</x:v>
      </x:c>
      <x:c r="N22" s="56" t="n">
        <x:f>0</x:f>
        <x:v>0</x:v>
      </x:c>
      <x:c r="O22" s="56" t="n">
        <x:f>0</x:f>
        <x:v>0</x:v>
      </x:c>
      <x:c r="P22" s="56" t="n">
        <x:f>0</x:f>
        <x:v>0</x:v>
      </x:c>
      <x:c r="Q22" s="56" t="n">
        <x:f>0</x:f>
        <x:v>0</x:v>
      </x:c>
      <x:c r="R22" s="56" t="n">
        <x:f>0</x:f>
        <x:v>0</x:v>
      </x:c>
      <x:c r="S22" s="56" t="n">
        <x:f>0</x:f>
        <x:v>0</x:v>
      </x:c>
      <x:c r="T22" s="56" t="n">
        <x:f>0</x:f>
        <x:v>0</x:v>
      </x:c>
      <x:c r="U22" s="56" t="n">
        <x:f>0</x:f>
        <x:v>0</x:v>
      </x:c>
      <x:c r="V22" s="56" t="n">
        <x:f>0</x:f>
        <x:v>0</x:v>
      </x:c>
      <x:c r="W22" s="56" t="n">
        <x:f>0</x:f>
        <x:v>0</x:v>
      </x:c>
      <x:c r="X22" s="56" t="n">
        <x:f>0</x:f>
        <x:v>0</x:v>
      </x:c>
      <x:c r="Y22" s="56" t="n">
        <x:f>0</x:f>
        <x:v>0</x:v>
      </x:c>
      <x:c r="Z22" s="56" t="n">
        <x:f>0</x:f>
        <x:v>0</x:v>
      </x:c>
      <x:c r="AA22" s="56" t="n">
        <x:f>0</x:f>
        <x:v>0</x:v>
      </x:c>
      <x:c r="AB22" s="56" t="n">
        <x:f>0</x:f>
        <x:v>0</x:v>
      </x:c>
      <x:c r="AC22" s="56" t="n">
        <x:f>0</x:f>
        <x:v>0</x:v>
      </x:c>
      <x:c r="AD22" s="56" t="n">
        <x:f>0</x:f>
        <x:v>0</x:v>
      </x:c>
      <x:c r="AE22" s="56" t="n">
        <x:f>0</x:f>
        <x:v>0</x:v>
      </x:c>
      <x:c r="AF22" s="56" t="n">
        <x:f>0</x:f>
        <x:v>0</x:v>
      </x:c>
      <x:c r="AG22" s="56" t="n">
        <x:f>0</x:f>
        <x:v>0</x:v>
      </x:c>
      <x:c r="AH22" s="56" t="n">
        <x:f>0</x:f>
        <x:v>0</x:v>
      </x:c>
      <x:c r="AI22" s="56" t="n">
        <x:f>0</x:f>
        <x:v>0</x:v>
      </x:c>
      <x:c r="AJ22" s="56" t="n">
        <x:f>0</x:f>
        <x:v>0</x:v>
      </x:c>
      <x:c r="AK22" s="56" t="n">
        <x:f>0</x:f>
        <x:v>0</x:v>
      </x:c>
      <x:c r="AL22" s="56" t="n">
        <x:f>0</x:f>
        <x:v>0</x:v>
      </x:c>
      <x:c r="AM22" s="56" t="n">
        <x:f>0</x:f>
        <x:v>0</x:v>
      </x:c>
      <x:c r="AN22" s="56" t="n">
        <x:f>0</x:f>
        <x:v>0</x:v>
      </x:c>
      <x:c r="AO22" s="56" t="n">
        <x:f>0</x:f>
        <x:v>0</x:v>
      </x:c>
      <x:c r="AP22" s="56" t="n">
        <x:f>0</x:f>
        <x:v>0</x:v>
      </x:c>
      <x:c r="AQ22" s="56" t="n">
        <x:f>0</x:f>
        <x:v>0</x:v>
      </x:c>
      <x:c r="AR22" s="56" t="n">
        <x:f>0</x:f>
        <x:v>0</x:v>
      </x:c>
      <x:c r="AS22" s="56" t="n">
        <x:f>0</x:f>
        <x:v>0</x:v>
      </x:c>
      <x:c r="AT22" s="56" t="n">
        <x:f>0</x:f>
        <x:v>0</x:v>
      </x:c>
      <x:c r="AU22" s="56" t="n">
        <x:f>0</x:f>
        <x:v>0</x:v>
      </x:c>
      <x:c r="AV22" s="56" t="n">
        <x:f>0</x:f>
        <x:v>0</x:v>
      </x:c>
      <x:c r="AW22" s="56" t="n">
        <x:f>0</x:f>
        <x:v>0</x:v>
      </x:c>
      <x:c r="AX22" s="56" t="n">
        <x:f>0</x:f>
        <x:v>0</x:v>
      </x:c>
      <x:c r="AY22" s="56" t="n">
        <x:f>0</x:f>
        <x:v>0</x:v>
      </x:c>
      <x:c r="AZ22" s="56" t="n">
        <x:f>0</x:f>
        <x:v>0</x:v>
      </x:c>
      <x:c r="BA22" s="56" t="n">
        <x:f>0</x:f>
        <x:v>0</x:v>
      </x:c>
      <x:c r="BB22" s="56" t="n">
        <x:f>0</x:f>
        <x:v>0</x:v>
      </x:c>
      <x:c r="BC22" s="56" t="n">
        <x:f>0</x:f>
        <x:v>0</x:v>
      </x:c>
      <x:c r="BD22" s="56" t="n">
        <x:f>0</x:f>
        <x:v>0</x:v>
      </x:c>
      <x:c r="BE22" s="56" t="n">
        <x:f>0</x:f>
        <x:v>0</x:v>
      </x:c>
      <x:c r="BF22" s="56" t="n">
        <x:f>0</x:f>
        <x:v>0</x:v>
      </x:c>
      <x:c r="BG22" s="56" t="n">
        <x:f>0</x:f>
        <x:v>0</x:v>
      </x:c>
      <x:c r="BH22" s="56" t="n">
        <x:f>0</x:f>
        <x:v>0</x:v>
      </x:c>
      <x:c r="BI22" s="56" t="n">
        <x:f>0</x:f>
        <x:v>0</x:v>
      </x:c>
    </x:row>
    <x:row r="23" ht="15" customHeight="1">
      <x:c r="A23" s="24" t="s">
        <x:v>501</x:v>
      </x:c>
      <x:c r="B23" s="92" t="n">
        <x:f t="shared" ref="B23:AG23" si="12">ROUND(SUM(B21:B22),0)</x:f>
        <x:v>0</x:v>
      </x:c>
      <x:c r="C23" s="92">
        <x:f t="shared" si="12"/>
        <x:v>0</x:v>
      </x:c>
      <x:c r="D23" s="92">
        <x:f t="shared" si="12"/>
        <x:v>0</x:v>
      </x:c>
      <x:c r="E23" s="92">
        <x:f t="shared" si="12"/>
        <x:v>0</x:v>
      </x:c>
      <x:c r="F23" s="92">
        <x:f t="shared" si="12"/>
        <x:v>0</x:v>
      </x:c>
      <x:c r="G23" s="92">
        <x:f t="shared" si="12"/>
        <x:v>0</x:v>
      </x:c>
      <x:c r="H23" s="92">
        <x:f t="shared" si="12"/>
        <x:v>0</x:v>
      </x:c>
      <x:c r="I23" s="92">
        <x:f t="shared" si="12"/>
        <x:v>0</x:v>
      </x:c>
      <x:c r="J23" s="92">
        <x:f t="shared" si="12"/>
        <x:v>0</x:v>
      </x:c>
      <x:c r="K23" s="92">
        <x:f t="shared" si="12"/>
        <x:v>0</x:v>
      </x:c>
      <x:c r="L23" s="92">
        <x:f t="shared" si="12"/>
        <x:v>0</x:v>
      </x:c>
      <x:c r="M23" s="92">
        <x:f t="shared" si="12"/>
        <x:v>0</x:v>
      </x:c>
      <x:c r="N23" s="92">
        <x:f t="shared" si="12"/>
        <x:v>0</x:v>
      </x:c>
      <x:c r="O23" s="92">
        <x:f t="shared" si="12"/>
        <x:v>0</x:v>
      </x:c>
      <x:c r="P23" s="92">
        <x:f t="shared" si="12"/>
        <x:v>0</x:v>
      </x:c>
      <x:c r="Q23" s="92">
        <x:f t="shared" si="12"/>
        <x:v>0</x:v>
      </x:c>
      <x:c r="R23" s="92">
        <x:f t="shared" si="12"/>
        <x:v>0</x:v>
      </x:c>
      <x:c r="S23" s="92">
        <x:f t="shared" si="12"/>
        <x:v>0</x:v>
      </x:c>
      <x:c r="T23" s="92">
        <x:f t="shared" si="12"/>
        <x:v>0</x:v>
      </x:c>
      <x:c r="U23" s="92">
        <x:f t="shared" si="12"/>
        <x:v>0</x:v>
      </x:c>
      <x:c r="V23" s="92">
        <x:f t="shared" si="12"/>
        <x:v>0</x:v>
      </x:c>
      <x:c r="W23" s="92">
        <x:f t="shared" si="12"/>
        <x:v>0</x:v>
      </x:c>
      <x:c r="X23" s="92">
        <x:f t="shared" si="12"/>
        <x:v>0</x:v>
      </x:c>
      <x:c r="Y23" s="92">
        <x:f t="shared" si="12"/>
        <x:v>0</x:v>
      </x:c>
      <x:c r="Z23" s="92">
        <x:f t="shared" si="12"/>
        <x:v>0</x:v>
      </x:c>
      <x:c r="AA23" s="92">
        <x:f t="shared" si="12"/>
        <x:v>0</x:v>
      </x:c>
      <x:c r="AB23" s="92">
        <x:f t="shared" si="12"/>
        <x:v>0</x:v>
      </x:c>
      <x:c r="AC23" s="92">
        <x:f t="shared" si="12"/>
        <x:v>0</x:v>
      </x:c>
      <x:c r="AD23" s="92">
        <x:f t="shared" si="12"/>
        <x:v>0</x:v>
      </x:c>
      <x:c r="AE23" s="92">
        <x:f t="shared" si="12"/>
        <x:v>0</x:v>
      </x:c>
      <x:c r="AF23" s="92">
        <x:f t="shared" si="12"/>
        <x:v>0</x:v>
      </x:c>
      <x:c r="AG23" s="92">
        <x:f t="shared" si="12"/>
        <x:v>0</x:v>
      </x:c>
      <x:c r="AH23" s="92" t="n">
        <x:f t="shared" ref="AH23:BI23" si="13">ROUND(SUM(AH21:AH22),0)</x:f>
        <x:v>0</x:v>
      </x:c>
      <x:c r="AI23" s="92">
        <x:f t="shared" si="13"/>
        <x:v>0</x:v>
      </x:c>
      <x:c r="AJ23" s="92">
        <x:f t="shared" si="13"/>
        <x:v>0</x:v>
      </x:c>
      <x:c r="AK23" s="92">
        <x:f t="shared" si="13"/>
        <x:v>0</x:v>
      </x:c>
      <x:c r="AL23" s="92">
        <x:f t="shared" si="13"/>
        <x:v>0</x:v>
      </x:c>
      <x:c r="AM23" s="92">
        <x:f t="shared" si="13"/>
        <x:v>0</x:v>
      </x:c>
      <x:c r="AN23" s="92">
        <x:f t="shared" si="13"/>
        <x:v>0</x:v>
      </x:c>
      <x:c r="AO23" s="92">
        <x:f t="shared" si="13"/>
        <x:v>0</x:v>
      </x:c>
      <x:c r="AP23" s="92">
        <x:f t="shared" si="13"/>
        <x:v>0</x:v>
      </x:c>
      <x:c r="AQ23" s="92">
        <x:f t="shared" si="13"/>
        <x:v>0</x:v>
      </x:c>
      <x:c r="AR23" s="92">
        <x:f t="shared" si="13"/>
        <x:v>0</x:v>
      </x:c>
      <x:c r="AS23" s="92">
        <x:f t="shared" si="13"/>
        <x:v>0</x:v>
      </x:c>
      <x:c r="AT23" s="92">
        <x:f t="shared" si="13"/>
        <x:v>0</x:v>
      </x:c>
      <x:c r="AU23" s="92">
        <x:f t="shared" si="13"/>
        <x:v>0</x:v>
      </x:c>
      <x:c r="AV23" s="92">
        <x:f t="shared" si="13"/>
        <x:v>0</x:v>
      </x:c>
      <x:c r="AW23" s="92">
        <x:f t="shared" si="13"/>
        <x:v>0</x:v>
      </x:c>
      <x:c r="AX23" s="92">
        <x:f t="shared" si="13"/>
        <x:v>0</x:v>
      </x:c>
      <x:c r="AY23" s="92">
        <x:f t="shared" si="13"/>
        <x:v>0</x:v>
      </x:c>
      <x:c r="AZ23" s="92">
        <x:f t="shared" si="13"/>
        <x:v>0</x:v>
      </x:c>
      <x:c r="BA23" s="92">
        <x:f t="shared" si="13"/>
        <x:v>0</x:v>
      </x:c>
      <x:c r="BB23" s="92">
        <x:f t="shared" si="13"/>
        <x:v>0</x:v>
      </x:c>
      <x:c r="BC23" s="92">
        <x:f t="shared" si="13"/>
        <x:v>0</x:v>
      </x:c>
      <x:c r="BD23" s="92">
        <x:f t="shared" si="13"/>
        <x:v>0</x:v>
      </x:c>
      <x:c r="BE23" s="92">
        <x:f t="shared" si="13"/>
        <x:v>0</x:v>
      </x:c>
      <x:c r="BF23" s="92">
        <x:f t="shared" si="13"/>
        <x:v>0</x:v>
      </x:c>
      <x:c r="BG23" s="92">
        <x:f t="shared" si="13"/>
        <x:v>0</x:v>
      </x:c>
      <x:c r="BH23" s="92">
        <x:f t="shared" si="13"/>
        <x:v>0</x:v>
      </x:c>
      <x:c r="BI23" s="92">
        <x:f t="shared" si="13"/>
        <x:v>0</x:v>
      </x:c>
    </x:row>
    <x:row r="24" ht="8.100000381469727" customHeight="1">
      <x:c r="A24" s="4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  <x:c r="AA24" s="62"/>
      <x:c r="AB24" s="62"/>
      <x:c r="AC24" s="62"/>
      <x:c r="AD24" s="62"/>
      <x:c r="AE24" s="62"/>
      <x:c r="AF24" s="62"/>
      <x:c r="AG24" s="62"/>
      <x:c r="AH24" s="62"/>
      <x:c r="AI24" s="62"/>
      <x:c r="AJ24" s="62"/>
      <x:c r="AK24" s="62"/>
      <x:c r="AL24" s="62"/>
      <x:c r="AM24" s="62"/>
      <x:c r="AN24" s="62"/>
      <x:c r="AO24" s="62"/>
      <x:c r="AP24" s="62"/>
      <x:c r="AQ24" s="62"/>
      <x:c r="AR24" s="62"/>
      <x:c r="AS24" s="62"/>
      <x:c r="AT24" s="62"/>
      <x:c r="AU24" s="62"/>
      <x:c r="AV24" s="62"/>
      <x:c r="AW24" s="62"/>
      <x:c r="AX24" s="62"/>
      <x:c r="AY24" s="62"/>
      <x:c r="AZ24" s="62"/>
      <x:c r="BA24" s="62"/>
      <x:c r="BB24" s="62"/>
      <x:c r="BC24" s="62"/>
      <x:c r="BD24" s="62"/>
      <x:c r="BE24" s="62"/>
      <x:c r="BF24" s="62"/>
      <x:c r="BG24" s="62"/>
      <x:c r="BH24" s="62"/>
      <x:c r="BI24" s="62"/>
    </x:row>
    <x:row r="25" ht="18.950000762939453" customHeight="1">
      <x:c r="A25" s="5" t="s">
        <x:v>502</x:v>
      </x:c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5"/>
      <x:c r="AH25" s="5"/>
      <x:c r="AI25" s="5"/>
      <x:c r="AJ25" s="5"/>
      <x:c r="AK25" s="5"/>
      <x:c r="AL25" s="5"/>
      <x:c r="AM25" s="5"/>
      <x:c r="AN25" s="5"/>
      <x:c r="AO25" s="5"/>
      <x:c r="AP25" s="5"/>
      <x:c r="AQ25" s="5"/>
      <x:c r="AR25" s="5"/>
      <x:c r="AS25" s="5"/>
      <x:c r="AT25" s="5"/>
      <x:c r="AU25" s="5"/>
      <x:c r="AV25" s="5"/>
      <x:c r="AW25" s="5"/>
      <x:c r="AX25" s="5"/>
      <x:c r="AY25" s="5"/>
      <x:c r="AZ25" s="5"/>
      <x:c r="BA25" s="5"/>
      <x:c r="BB25" s="5"/>
      <x:c r="BC25" s="5"/>
      <x:c r="BD25" s="5"/>
      <x:c r="BE25" s="5"/>
      <x:c r="BF25" s="5"/>
      <x:c r="BG25" s="5"/>
      <x:c r="BH25" s="5"/>
      <x:c r="BI25" s="5"/>
    </x:row>
    <x:row r="26" ht="15" customHeight="1">
      <x:c r="A26" s="12" t="s">
        <x:v>503</x:v>
      </x:c>
      <x:c r="B26" s="67" t="n">
        <x:f>ROUND(IF(B$8=1,IF(B$7=1,'P&amp;L 5yr'!$C$66,MAX(0,INDEX('P&amp;L 5yr'!$C$66:$G$66,1,B$7)-INDEX('P&amp;L 5yr'!$C$66:$G$66,1,B$7-1))),0)+IF(B$6=MAX(1,'Launch Readiness'!$E$6-1),'Launch Readiness'!$E$10,0)+IF(B$6=MAX(1,'Launch Readiness'!$E$14-1),'Launch Readiness'!$E$17,0),0)</x:f>
        <x:v>1259743</x:v>
      </x:c>
      <x:c r="C26" s="67" t="n">
        <x:f>ROUND(IF(C$8=1,IF(C$7=1,'P&amp;L 5yr'!$C$66,MAX(0,INDEX('P&amp;L 5yr'!$C$66:$G$66,1,C$7)-INDEX('P&amp;L 5yr'!$C$66:$G$66,1,C$7-1))),0)+IF(C$6=MAX(1,'Launch Readiness'!$E$6-1),'Launch Readiness'!$E$10,0)+IF(C$6=MAX(1,'Launch Readiness'!$E$14-1),'Launch Readiness'!$E$17,0),0)</x:f>
        <x:v>0</x:v>
      </x:c>
      <x:c r="D26" s="67" t="n">
        <x:f>ROUND(IF(D$8=1,IF(D$7=1,'P&amp;L 5yr'!$C$66,MAX(0,INDEX('P&amp;L 5yr'!$C$66:$G$66,1,D$7)-INDEX('P&amp;L 5yr'!$C$66:$G$66,1,D$7-1))),0)+IF(D$6=MAX(1,'Launch Readiness'!$E$6-1),'Launch Readiness'!$E$10,0)+IF(D$6=MAX(1,'Launch Readiness'!$E$14-1),'Launch Readiness'!$E$17,0),0)</x:f>
        <x:v>0</x:v>
      </x:c>
      <x:c r="E26" s="67" t="n">
        <x:f>ROUND(IF(E$8=1,IF(E$7=1,'P&amp;L 5yr'!$C$66,MAX(0,INDEX('P&amp;L 5yr'!$C$66:$G$66,1,E$7)-INDEX('P&amp;L 5yr'!$C$66:$G$66,1,E$7-1))),0)+IF(E$6=MAX(1,'Launch Readiness'!$E$6-1),'Launch Readiness'!$E$10,0)+IF(E$6=MAX(1,'Launch Readiness'!$E$14-1),'Launch Readiness'!$E$17,0),0)</x:f>
        <x:v>0</x:v>
      </x:c>
      <x:c r="F26" s="67" t="n">
        <x:f>ROUND(IF(F$8=1,IF(F$7=1,'P&amp;L 5yr'!$C$66,MAX(0,INDEX('P&amp;L 5yr'!$C$66:$G$66,1,F$7)-INDEX('P&amp;L 5yr'!$C$66:$G$66,1,F$7-1))),0)+IF(F$6=MAX(1,'Launch Readiness'!$E$6-1),'Launch Readiness'!$E$10,0)+IF(F$6=MAX(1,'Launch Readiness'!$E$14-1),'Launch Readiness'!$E$17,0),0)</x:f>
        <x:v>0</x:v>
      </x:c>
      <x:c r="G26" s="67" t="n">
        <x:f>ROUND(IF(G$8=1,IF(G$7=1,'P&amp;L 5yr'!$C$66,MAX(0,INDEX('P&amp;L 5yr'!$C$66:$G$66,1,G$7)-INDEX('P&amp;L 5yr'!$C$66:$G$66,1,G$7-1))),0)+IF(G$6=MAX(1,'Launch Readiness'!$E$6-1),'Launch Readiness'!$E$10,0)+IF(G$6=MAX(1,'Launch Readiness'!$E$14-1),'Launch Readiness'!$E$17,0),0)</x:f>
        <x:v>0</x:v>
      </x:c>
      <x:c r="H26" s="67" t="n">
        <x:f>ROUND(IF(H$8=1,IF(H$7=1,'P&amp;L 5yr'!$C$66,MAX(0,INDEX('P&amp;L 5yr'!$C$66:$G$66,1,H$7)-INDEX('P&amp;L 5yr'!$C$66:$G$66,1,H$7-1))),0)+IF(H$6=MAX(1,'Launch Readiness'!$E$6-1),'Launch Readiness'!$E$10,0)+IF(H$6=MAX(1,'Launch Readiness'!$E$14-1),'Launch Readiness'!$E$17,0),0)</x:f>
        <x:v>0</x:v>
      </x:c>
      <x:c r="I26" s="67" t="n">
        <x:f>ROUND(IF(I$8=1,IF(I$7=1,'P&amp;L 5yr'!$C$66,MAX(0,INDEX('P&amp;L 5yr'!$C$66:$G$66,1,I$7)-INDEX('P&amp;L 5yr'!$C$66:$G$66,1,I$7-1))),0)+IF(I$6=MAX(1,'Launch Readiness'!$E$6-1),'Launch Readiness'!$E$10,0)+IF(I$6=MAX(1,'Launch Readiness'!$E$14-1),'Launch Readiness'!$E$17,0),0)</x:f>
        <x:v>0</x:v>
      </x:c>
      <x:c r="J26" s="67" t="n">
        <x:f>ROUND(IF(J$8=1,IF(J$7=1,'P&amp;L 5yr'!$C$66,MAX(0,INDEX('P&amp;L 5yr'!$C$66:$G$66,1,J$7)-INDEX('P&amp;L 5yr'!$C$66:$G$66,1,J$7-1))),0)+IF(J$6=MAX(1,'Launch Readiness'!$E$6-1),'Launch Readiness'!$E$10,0)+IF(J$6=MAX(1,'Launch Readiness'!$E$14-1),'Launch Readiness'!$E$17,0),0)</x:f>
        <x:v>0</x:v>
      </x:c>
      <x:c r="K26" s="67" t="n">
        <x:f>ROUND(IF(K$8=1,IF(K$7=1,'P&amp;L 5yr'!$C$66,MAX(0,INDEX('P&amp;L 5yr'!$C$66:$G$66,1,K$7)-INDEX('P&amp;L 5yr'!$C$66:$G$66,1,K$7-1))),0)+IF(K$6=MAX(1,'Launch Readiness'!$E$6-1),'Launch Readiness'!$E$10,0)+IF(K$6=MAX(1,'Launch Readiness'!$E$14-1),'Launch Readiness'!$E$17,0),0)</x:f>
        <x:v>0</x:v>
      </x:c>
      <x:c r="L26" s="67" t="n">
        <x:f>ROUND(IF(L$8=1,IF(L$7=1,'P&amp;L 5yr'!$C$66,MAX(0,INDEX('P&amp;L 5yr'!$C$66:$G$66,1,L$7)-INDEX('P&amp;L 5yr'!$C$66:$G$66,1,L$7-1))),0)+IF(L$6=MAX(1,'Launch Readiness'!$E$6-1),'Launch Readiness'!$E$10,0)+IF(L$6=MAX(1,'Launch Readiness'!$E$14-1),'Launch Readiness'!$E$17,0),0)</x:f>
        <x:v>0</x:v>
      </x:c>
      <x:c r="M26" s="67" t="n">
        <x:f>ROUND(IF(M$8=1,IF(M$7=1,'P&amp;L 5yr'!$C$66,MAX(0,INDEX('P&amp;L 5yr'!$C$66:$G$66,1,M$7)-INDEX('P&amp;L 5yr'!$C$66:$G$66,1,M$7-1))),0)+IF(M$6=MAX(1,'Launch Readiness'!$E$6-1),'Launch Readiness'!$E$10,0)+IF(M$6=MAX(1,'Launch Readiness'!$E$14-1),'Launch Readiness'!$E$17,0),0)</x:f>
        <x:v>0</x:v>
      </x:c>
      <x:c r="N26" s="67" t="n">
        <x:f>ROUND(IF(N$8=1,IF(N$7=1,'P&amp;L 5yr'!$C$66,MAX(0,INDEX('P&amp;L 5yr'!$C$66:$G$66,1,N$7)-INDEX('P&amp;L 5yr'!$C$66:$G$66,1,N$7-1))),0)+IF(N$6=MAX(1,'Launch Readiness'!$E$6-1),'Launch Readiness'!$E$10,0)+IF(N$6=MAX(1,'Launch Readiness'!$E$14-1),'Launch Readiness'!$E$17,0),0)</x:f>
        <x:v>908073</x:v>
      </x:c>
      <x:c r="O26" s="67" t="n">
        <x:f>ROUND(IF(O$8=1,IF(O$7=1,'P&amp;L 5yr'!$C$66,MAX(0,INDEX('P&amp;L 5yr'!$C$66:$G$66,1,O$7)-INDEX('P&amp;L 5yr'!$C$66:$G$66,1,O$7-1))),0)+IF(O$6=MAX(1,'Launch Readiness'!$E$6-1),'Launch Readiness'!$E$10,0)+IF(O$6=MAX(1,'Launch Readiness'!$E$14-1),'Launch Readiness'!$E$17,0),0)</x:f>
        <x:v>0</x:v>
      </x:c>
      <x:c r="P26" s="67" t="n">
        <x:f>ROUND(IF(P$8=1,IF(P$7=1,'P&amp;L 5yr'!$C$66,MAX(0,INDEX('P&amp;L 5yr'!$C$66:$G$66,1,P$7)-INDEX('P&amp;L 5yr'!$C$66:$G$66,1,P$7-1))),0)+IF(P$6=MAX(1,'Launch Readiness'!$E$6-1),'Launch Readiness'!$E$10,0)+IF(P$6=MAX(1,'Launch Readiness'!$E$14-1),'Launch Readiness'!$E$17,0),0)</x:f>
        <x:v>0</x:v>
      </x:c>
      <x:c r="Q26" s="67" t="n">
        <x:f>ROUND(IF(Q$8=1,IF(Q$7=1,'P&amp;L 5yr'!$C$66,MAX(0,INDEX('P&amp;L 5yr'!$C$66:$G$66,1,Q$7)-INDEX('P&amp;L 5yr'!$C$66:$G$66,1,Q$7-1))),0)+IF(Q$6=MAX(1,'Launch Readiness'!$E$6-1),'Launch Readiness'!$E$10,0)+IF(Q$6=MAX(1,'Launch Readiness'!$E$14-1),'Launch Readiness'!$E$17,0),0)</x:f>
        <x:v>0</x:v>
      </x:c>
      <x:c r="R26" s="67" t="n">
        <x:f>ROUND(IF(R$8=1,IF(R$7=1,'P&amp;L 5yr'!$C$66,MAX(0,INDEX('P&amp;L 5yr'!$C$66:$G$66,1,R$7)-INDEX('P&amp;L 5yr'!$C$66:$G$66,1,R$7-1))),0)+IF(R$6=MAX(1,'Launch Readiness'!$E$6-1),'Launch Readiness'!$E$10,0)+IF(R$6=MAX(1,'Launch Readiness'!$E$14-1),'Launch Readiness'!$E$17,0),0)</x:f>
        <x:v>319095</x:v>
      </x:c>
      <x:c r="S26" s="67" t="n">
        <x:f>ROUND(IF(S$8=1,IF(S$7=1,'P&amp;L 5yr'!$C$66,MAX(0,INDEX('P&amp;L 5yr'!$C$66:$G$66,1,S$7)-INDEX('P&amp;L 5yr'!$C$66:$G$66,1,S$7-1))),0)+IF(S$6=MAX(1,'Launch Readiness'!$E$6-1),'Launch Readiness'!$E$10,0)+IF(S$6=MAX(1,'Launch Readiness'!$E$14-1),'Launch Readiness'!$E$17,0),0)</x:f>
        <x:v>0</x:v>
      </x:c>
      <x:c r="T26" s="67" t="n">
        <x:f>ROUND(IF(T$8=1,IF(T$7=1,'P&amp;L 5yr'!$C$66,MAX(0,INDEX('P&amp;L 5yr'!$C$66:$G$66,1,T$7)-INDEX('P&amp;L 5yr'!$C$66:$G$66,1,T$7-1))),0)+IF(T$6=MAX(1,'Launch Readiness'!$E$6-1),'Launch Readiness'!$E$10,0)+IF(T$6=MAX(1,'Launch Readiness'!$E$14-1),'Launch Readiness'!$E$17,0),0)</x:f>
        <x:v>0</x:v>
      </x:c>
      <x:c r="U26" s="67" t="n">
        <x:f>ROUND(IF(U$8=1,IF(U$7=1,'P&amp;L 5yr'!$C$66,MAX(0,INDEX('P&amp;L 5yr'!$C$66:$G$66,1,U$7)-INDEX('P&amp;L 5yr'!$C$66:$G$66,1,U$7-1))),0)+IF(U$6=MAX(1,'Launch Readiness'!$E$6-1),'Launch Readiness'!$E$10,0)+IF(U$6=MAX(1,'Launch Readiness'!$E$14-1),'Launch Readiness'!$E$17,0),0)</x:f>
        <x:v>0</x:v>
      </x:c>
      <x:c r="V26" s="67" t="n">
        <x:f>ROUND(IF(V$8=1,IF(V$7=1,'P&amp;L 5yr'!$C$66,MAX(0,INDEX('P&amp;L 5yr'!$C$66:$G$66,1,V$7)-INDEX('P&amp;L 5yr'!$C$66:$G$66,1,V$7-1))),0)+IF(V$6=MAX(1,'Launch Readiness'!$E$6-1),'Launch Readiness'!$E$10,0)+IF(V$6=MAX(1,'Launch Readiness'!$E$14-1),'Launch Readiness'!$E$17,0),0)</x:f>
        <x:v>0</x:v>
      </x:c>
      <x:c r="W26" s="67" t="n">
        <x:f>ROUND(IF(W$8=1,IF(W$7=1,'P&amp;L 5yr'!$C$66,MAX(0,INDEX('P&amp;L 5yr'!$C$66:$G$66,1,W$7)-INDEX('P&amp;L 5yr'!$C$66:$G$66,1,W$7-1))),0)+IF(W$6=MAX(1,'Launch Readiness'!$E$6-1),'Launch Readiness'!$E$10,0)+IF(W$6=MAX(1,'Launch Readiness'!$E$14-1),'Launch Readiness'!$E$17,0),0)</x:f>
        <x:v>0</x:v>
      </x:c>
      <x:c r="X26" s="67" t="n">
        <x:f>ROUND(IF(X$8=1,IF(X$7=1,'P&amp;L 5yr'!$C$66,MAX(0,INDEX('P&amp;L 5yr'!$C$66:$G$66,1,X$7)-INDEX('P&amp;L 5yr'!$C$66:$G$66,1,X$7-1))),0)+IF(X$6=MAX(1,'Launch Readiness'!$E$6-1),'Launch Readiness'!$E$10,0)+IF(X$6=MAX(1,'Launch Readiness'!$E$14-1),'Launch Readiness'!$E$17,0),0)</x:f>
        <x:v>0</x:v>
      </x:c>
      <x:c r="Y26" s="67" t="n">
        <x:f>ROUND(IF(Y$8=1,IF(Y$7=1,'P&amp;L 5yr'!$C$66,MAX(0,INDEX('P&amp;L 5yr'!$C$66:$G$66,1,Y$7)-INDEX('P&amp;L 5yr'!$C$66:$G$66,1,Y$7-1))),0)+IF(Y$6=MAX(1,'Launch Readiness'!$E$6-1),'Launch Readiness'!$E$10,0)+IF(Y$6=MAX(1,'Launch Readiness'!$E$14-1),'Launch Readiness'!$E$17,0),0)</x:f>
        <x:v>0</x:v>
      </x:c>
      <x:c r="Z26" s="67" t="n">
        <x:f>ROUND(IF(Z$8=1,IF(Z$7=1,'P&amp;L 5yr'!$C$66,MAX(0,INDEX('P&amp;L 5yr'!$C$66:$G$66,1,Z$7)-INDEX('P&amp;L 5yr'!$C$66:$G$66,1,Z$7-1))),0)+IF(Z$6=MAX(1,'Launch Readiness'!$E$6-1),'Launch Readiness'!$E$10,0)+IF(Z$6=MAX(1,'Launch Readiness'!$E$14-1),'Launch Readiness'!$E$17,0),0)</x:f>
        <x:v>460389</x:v>
      </x:c>
      <x:c r="AA26" s="67" t="n">
        <x:f>ROUND(IF(AA$8=1,IF(AA$7=1,'P&amp;L 5yr'!$C$66,MAX(0,INDEX('P&amp;L 5yr'!$C$66:$G$66,1,AA$7)-INDEX('P&amp;L 5yr'!$C$66:$G$66,1,AA$7-1))),0)+IF(AA$6=MAX(1,'Launch Readiness'!$E$6-1),'Launch Readiness'!$E$10,0)+IF(AA$6=MAX(1,'Launch Readiness'!$E$14-1),'Launch Readiness'!$E$17,0),0)</x:f>
        <x:v>0</x:v>
      </x:c>
      <x:c r="AB26" s="67" t="n">
        <x:f>ROUND(IF(AB$8=1,IF(AB$7=1,'P&amp;L 5yr'!$C$66,MAX(0,INDEX('P&amp;L 5yr'!$C$66:$G$66,1,AB$7)-INDEX('P&amp;L 5yr'!$C$66:$G$66,1,AB$7-1))),0)+IF(AB$6=MAX(1,'Launch Readiness'!$E$6-1),'Launch Readiness'!$E$10,0)+IF(AB$6=MAX(1,'Launch Readiness'!$E$14-1),'Launch Readiness'!$E$17,0),0)</x:f>
        <x:v>0</x:v>
      </x:c>
      <x:c r="AC26" s="67" t="n">
        <x:f>ROUND(IF(AC$8=1,IF(AC$7=1,'P&amp;L 5yr'!$C$66,MAX(0,INDEX('P&amp;L 5yr'!$C$66:$G$66,1,AC$7)-INDEX('P&amp;L 5yr'!$C$66:$G$66,1,AC$7-1))),0)+IF(AC$6=MAX(1,'Launch Readiness'!$E$6-1),'Launch Readiness'!$E$10,0)+IF(AC$6=MAX(1,'Launch Readiness'!$E$14-1),'Launch Readiness'!$E$17,0),0)</x:f>
        <x:v>0</x:v>
      </x:c>
      <x:c r="AD26" s="67" t="n">
        <x:f>ROUND(IF(AD$8=1,IF(AD$7=1,'P&amp;L 5yr'!$C$66,MAX(0,INDEX('P&amp;L 5yr'!$C$66:$G$66,1,AD$7)-INDEX('P&amp;L 5yr'!$C$66:$G$66,1,AD$7-1))),0)+IF(AD$6=MAX(1,'Launch Readiness'!$E$6-1),'Launch Readiness'!$E$10,0)+IF(AD$6=MAX(1,'Launch Readiness'!$E$14-1),'Launch Readiness'!$E$17,0),0)</x:f>
        <x:v>0</x:v>
      </x:c>
      <x:c r="AE26" s="67" t="n">
        <x:f>ROUND(IF(AE$8=1,IF(AE$7=1,'P&amp;L 5yr'!$C$66,MAX(0,INDEX('P&amp;L 5yr'!$C$66:$G$66,1,AE$7)-INDEX('P&amp;L 5yr'!$C$66:$G$66,1,AE$7-1))),0)+IF(AE$6=MAX(1,'Launch Readiness'!$E$6-1),'Launch Readiness'!$E$10,0)+IF(AE$6=MAX(1,'Launch Readiness'!$E$14-1),'Launch Readiness'!$E$17,0),0)</x:f>
        <x:v>0</x:v>
      </x:c>
      <x:c r="AF26" s="67" t="n">
        <x:f>ROUND(IF(AF$8=1,IF(AF$7=1,'P&amp;L 5yr'!$C$66,MAX(0,INDEX('P&amp;L 5yr'!$C$66:$G$66,1,AF$7)-INDEX('P&amp;L 5yr'!$C$66:$G$66,1,AF$7-1))),0)+IF(AF$6=MAX(1,'Launch Readiness'!$E$6-1),'Launch Readiness'!$E$10,0)+IF(AF$6=MAX(1,'Launch Readiness'!$E$14-1),'Launch Readiness'!$E$17,0),0)</x:f>
        <x:v>0</x:v>
      </x:c>
      <x:c r="AG26" s="67" t="n">
        <x:f>ROUND(IF(AG$8=1,IF(AG$7=1,'P&amp;L 5yr'!$C$66,MAX(0,INDEX('P&amp;L 5yr'!$C$66:$G$66,1,AG$7)-INDEX('P&amp;L 5yr'!$C$66:$G$66,1,AG$7-1))),0)+IF(AG$6=MAX(1,'Launch Readiness'!$E$6-1),'Launch Readiness'!$E$10,0)+IF(AG$6=MAX(1,'Launch Readiness'!$E$14-1),'Launch Readiness'!$E$17,0),0)</x:f>
        <x:v>0</x:v>
      </x:c>
      <x:c r="AH26" s="67" t="n">
        <x:f>ROUND(IF(AH$8=1,IF(AH$7=1,'P&amp;L 5yr'!$C$66,MAX(0,INDEX('P&amp;L 5yr'!$C$66:$G$66,1,AH$7)-INDEX('P&amp;L 5yr'!$C$66:$G$66,1,AH$7-1))),0)+IF(AH$6=MAX(1,'Launch Readiness'!$E$6-1),'Launch Readiness'!$E$10,0)+IF(AH$6=MAX(1,'Launch Readiness'!$E$14-1),'Launch Readiness'!$E$17,0),0)</x:f>
        <x:v>0</x:v>
      </x:c>
      <x:c r="AI26" s="67" t="n">
        <x:f>ROUND(IF(AI$8=1,IF(AI$7=1,'P&amp;L 5yr'!$C$66,MAX(0,INDEX('P&amp;L 5yr'!$C$66:$G$66,1,AI$7)-INDEX('P&amp;L 5yr'!$C$66:$G$66,1,AI$7-1))),0)+IF(AI$6=MAX(1,'Launch Readiness'!$E$6-1),'Launch Readiness'!$E$10,0)+IF(AI$6=MAX(1,'Launch Readiness'!$E$14-1),'Launch Readiness'!$E$17,0),0)</x:f>
        <x:v>0</x:v>
      </x:c>
      <x:c r="AJ26" s="67" t="n">
        <x:f>ROUND(IF(AJ$8=1,IF(AJ$7=1,'P&amp;L 5yr'!$C$66,MAX(0,INDEX('P&amp;L 5yr'!$C$66:$G$66,1,AJ$7)-INDEX('P&amp;L 5yr'!$C$66:$G$66,1,AJ$7-1))),0)+IF(AJ$6=MAX(1,'Launch Readiness'!$E$6-1),'Launch Readiness'!$E$10,0)+IF(AJ$6=MAX(1,'Launch Readiness'!$E$14-1),'Launch Readiness'!$E$17,0),0)</x:f>
        <x:v>0</x:v>
      </x:c>
      <x:c r="AK26" s="67" t="n">
        <x:f>ROUND(IF(AK$8=1,IF(AK$7=1,'P&amp;L 5yr'!$C$66,MAX(0,INDEX('P&amp;L 5yr'!$C$66:$G$66,1,AK$7)-INDEX('P&amp;L 5yr'!$C$66:$G$66,1,AK$7-1))),0)+IF(AK$6=MAX(1,'Launch Readiness'!$E$6-1),'Launch Readiness'!$E$10,0)+IF(AK$6=MAX(1,'Launch Readiness'!$E$14-1),'Launch Readiness'!$E$17,0),0)</x:f>
        <x:v>0</x:v>
      </x:c>
      <x:c r="AL26" s="67" t="n">
        <x:f>ROUND(IF(AL$8=1,IF(AL$7=1,'P&amp;L 5yr'!$C$66,MAX(0,INDEX('P&amp;L 5yr'!$C$66:$G$66,1,AL$7)-INDEX('P&amp;L 5yr'!$C$66:$G$66,1,AL$7-1))),0)+IF(AL$6=MAX(1,'Launch Readiness'!$E$6-1),'Launch Readiness'!$E$10,0)+IF(AL$6=MAX(1,'Launch Readiness'!$E$14-1),'Launch Readiness'!$E$17,0),0)</x:f>
        <x:v>212730</x:v>
      </x:c>
      <x:c r="AM26" s="67" t="n">
        <x:f>ROUND(IF(AM$8=1,IF(AM$7=1,'P&amp;L 5yr'!$C$66,MAX(0,INDEX('P&amp;L 5yr'!$C$66:$G$66,1,AM$7)-INDEX('P&amp;L 5yr'!$C$66:$G$66,1,AM$7-1))),0)+IF(AM$6=MAX(1,'Launch Readiness'!$E$6-1),'Launch Readiness'!$E$10,0)+IF(AM$6=MAX(1,'Launch Readiness'!$E$14-1),'Launch Readiness'!$E$17,0),0)</x:f>
        <x:v>0</x:v>
      </x:c>
      <x:c r="AN26" s="67" t="n">
        <x:f>ROUND(IF(AN$8=1,IF(AN$7=1,'P&amp;L 5yr'!$C$66,MAX(0,INDEX('P&amp;L 5yr'!$C$66:$G$66,1,AN$7)-INDEX('P&amp;L 5yr'!$C$66:$G$66,1,AN$7-1))),0)+IF(AN$6=MAX(1,'Launch Readiness'!$E$6-1),'Launch Readiness'!$E$10,0)+IF(AN$6=MAX(1,'Launch Readiness'!$E$14-1),'Launch Readiness'!$E$17,0),0)</x:f>
        <x:v>0</x:v>
      </x:c>
      <x:c r="AO26" s="67" t="n">
        <x:f>ROUND(IF(AO$8=1,IF(AO$7=1,'P&amp;L 5yr'!$C$66,MAX(0,INDEX('P&amp;L 5yr'!$C$66:$G$66,1,AO$7)-INDEX('P&amp;L 5yr'!$C$66:$G$66,1,AO$7-1))),0)+IF(AO$6=MAX(1,'Launch Readiness'!$E$6-1),'Launch Readiness'!$E$10,0)+IF(AO$6=MAX(1,'Launch Readiness'!$E$14-1),'Launch Readiness'!$E$17,0),0)</x:f>
        <x:v>0</x:v>
      </x:c>
      <x:c r="AP26" s="67" t="n">
        <x:f>ROUND(IF(AP$8=1,IF(AP$7=1,'P&amp;L 5yr'!$C$66,MAX(0,INDEX('P&amp;L 5yr'!$C$66:$G$66,1,AP$7)-INDEX('P&amp;L 5yr'!$C$66:$G$66,1,AP$7-1))),0)+IF(AP$6=MAX(1,'Launch Readiness'!$E$6-1),'Launch Readiness'!$E$10,0)+IF(AP$6=MAX(1,'Launch Readiness'!$E$14-1),'Launch Readiness'!$E$17,0),0)</x:f>
        <x:v>0</x:v>
      </x:c>
      <x:c r="AQ26" s="67" t="n">
        <x:f>ROUND(IF(AQ$8=1,IF(AQ$7=1,'P&amp;L 5yr'!$C$66,MAX(0,INDEX('P&amp;L 5yr'!$C$66:$G$66,1,AQ$7)-INDEX('P&amp;L 5yr'!$C$66:$G$66,1,AQ$7-1))),0)+IF(AQ$6=MAX(1,'Launch Readiness'!$E$6-1),'Launch Readiness'!$E$10,0)+IF(AQ$6=MAX(1,'Launch Readiness'!$E$14-1),'Launch Readiness'!$E$17,0),0)</x:f>
        <x:v>0</x:v>
      </x:c>
      <x:c r="AR26" s="67" t="n">
        <x:f>ROUND(IF(AR$8=1,IF(AR$7=1,'P&amp;L 5yr'!$C$66,MAX(0,INDEX('P&amp;L 5yr'!$C$66:$G$66,1,AR$7)-INDEX('P&amp;L 5yr'!$C$66:$G$66,1,AR$7-1))),0)+IF(AR$6=MAX(1,'Launch Readiness'!$E$6-1),'Launch Readiness'!$E$10,0)+IF(AR$6=MAX(1,'Launch Readiness'!$E$14-1),'Launch Readiness'!$E$17,0),0)</x:f>
        <x:v>0</x:v>
      </x:c>
      <x:c r="AS26" s="67" t="n">
        <x:f>ROUND(IF(AS$8=1,IF(AS$7=1,'P&amp;L 5yr'!$C$66,MAX(0,INDEX('P&amp;L 5yr'!$C$66:$G$66,1,AS$7)-INDEX('P&amp;L 5yr'!$C$66:$G$66,1,AS$7-1))),0)+IF(AS$6=MAX(1,'Launch Readiness'!$E$6-1),'Launch Readiness'!$E$10,0)+IF(AS$6=MAX(1,'Launch Readiness'!$E$14-1),'Launch Readiness'!$E$17,0),0)</x:f>
        <x:v>0</x:v>
      </x:c>
      <x:c r="AT26" s="67" t="n">
        <x:f>ROUND(IF(AT$8=1,IF(AT$7=1,'P&amp;L 5yr'!$C$66,MAX(0,INDEX('P&amp;L 5yr'!$C$66:$G$66,1,AT$7)-INDEX('P&amp;L 5yr'!$C$66:$G$66,1,AT$7-1))),0)+IF(AT$6=MAX(1,'Launch Readiness'!$E$6-1),'Launch Readiness'!$E$10,0)+IF(AT$6=MAX(1,'Launch Readiness'!$E$14-1),'Launch Readiness'!$E$17,0),0)</x:f>
        <x:v>0</x:v>
      </x:c>
      <x:c r="AU26" s="67" t="n">
        <x:f>ROUND(IF(AU$8=1,IF(AU$7=1,'P&amp;L 5yr'!$C$66,MAX(0,INDEX('P&amp;L 5yr'!$C$66:$G$66,1,AU$7)-INDEX('P&amp;L 5yr'!$C$66:$G$66,1,AU$7-1))),0)+IF(AU$6=MAX(1,'Launch Readiness'!$E$6-1),'Launch Readiness'!$E$10,0)+IF(AU$6=MAX(1,'Launch Readiness'!$E$14-1),'Launch Readiness'!$E$17,0),0)</x:f>
        <x:v>0</x:v>
      </x:c>
      <x:c r="AV26" s="67" t="n">
        <x:f>ROUND(IF(AV$8=1,IF(AV$7=1,'P&amp;L 5yr'!$C$66,MAX(0,INDEX('P&amp;L 5yr'!$C$66:$G$66,1,AV$7)-INDEX('P&amp;L 5yr'!$C$66:$G$66,1,AV$7-1))),0)+IF(AV$6=MAX(1,'Launch Readiness'!$E$6-1),'Launch Readiness'!$E$10,0)+IF(AV$6=MAX(1,'Launch Readiness'!$E$14-1),'Launch Readiness'!$E$17,0),0)</x:f>
        <x:v>0</x:v>
      </x:c>
      <x:c r="AW26" s="67" t="n">
        <x:f>ROUND(IF(AW$8=1,IF(AW$7=1,'P&amp;L 5yr'!$C$66,MAX(0,INDEX('P&amp;L 5yr'!$C$66:$G$66,1,AW$7)-INDEX('P&amp;L 5yr'!$C$66:$G$66,1,AW$7-1))),0)+IF(AW$6=MAX(1,'Launch Readiness'!$E$6-1),'Launch Readiness'!$E$10,0)+IF(AW$6=MAX(1,'Launch Readiness'!$E$14-1),'Launch Readiness'!$E$17,0),0)</x:f>
        <x:v>0</x:v>
      </x:c>
      <x:c r="AX26" s="67" t="n">
        <x:f>ROUND(IF(AX$8=1,IF(AX$7=1,'P&amp;L 5yr'!$C$66,MAX(0,INDEX('P&amp;L 5yr'!$C$66:$G$66,1,AX$7)-INDEX('P&amp;L 5yr'!$C$66:$G$66,1,AX$7-1))),0)+IF(AX$6=MAX(1,'Launch Readiness'!$E$6-1),'Launch Readiness'!$E$10,0)+IF(AX$6=MAX(1,'Launch Readiness'!$E$14-1),'Launch Readiness'!$E$17,0),0)</x:f>
        <x:v>0</x:v>
      </x:c>
      <x:c r="AY26" s="67" t="n">
        <x:f>ROUND(IF(AY$8=1,IF(AY$7=1,'P&amp;L 5yr'!$C$66,MAX(0,INDEX('P&amp;L 5yr'!$C$66:$G$66,1,AY$7)-INDEX('P&amp;L 5yr'!$C$66:$G$66,1,AY$7-1))),0)+IF(AY$6=MAX(1,'Launch Readiness'!$E$6-1),'Launch Readiness'!$E$10,0)+IF(AY$6=MAX(1,'Launch Readiness'!$E$14-1),'Launch Readiness'!$E$17,0),0)</x:f>
        <x:v>0</x:v>
      </x:c>
      <x:c r="AZ26" s="67" t="n">
        <x:f>ROUND(IF(AZ$8=1,IF(AZ$7=1,'P&amp;L 5yr'!$C$66,MAX(0,INDEX('P&amp;L 5yr'!$C$66:$G$66,1,AZ$7)-INDEX('P&amp;L 5yr'!$C$66:$G$66,1,AZ$7-1))),0)+IF(AZ$6=MAX(1,'Launch Readiness'!$E$6-1),'Launch Readiness'!$E$10,0)+IF(AZ$6=MAX(1,'Launch Readiness'!$E$14-1),'Launch Readiness'!$E$17,0),0)</x:f>
        <x:v>0</x:v>
      </x:c>
      <x:c r="BA26" s="67" t="n">
        <x:f>ROUND(IF(BA$8=1,IF(BA$7=1,'P&amp;L 5yr'!$C$66,MAX(0,INDEX('P&amp;L 5yr'!$C$66:$G$66,1,BA$7)-INDEX('P&amp;L 5yr'!$C$66:$G$66,1,BA$7-1))),0)+IF(BA$6=MAX(1,'Launch Readiness'!$E$6-1),'Launch Readiness'!$E$10,0)+IF(BA$6=MAX(1,'Launch Readiness'!$E$14-1),'Launch Readiness'!$E$17,0),0)</x:f>
        <x:v>0</x:v>
      </x:c>
      <x:c r="BB26" s="67" t="n">
        <x:f>ROUND(IF(BB$8=1,IF(BB$7=1,'P&amp;L 5yr'!$C$66,MAX(0,INDEX('P&amp;L 5yr'!$C$66:$G$66,1,BB$7)-INDEX('P&amp;L 5yr'!$C$66:$G$66,1,BB$7-1))),0)+IF(BB$6=MAX(1,'Launch Readiness'!$E$6-1),'Launch Readiness'!$E$10,0)+IF(BB$6=MAX(1,'Launch Readiness'!$E$14-1),'Launch Readiness'!$E$17,0),0)</x:f>
        <x:v>0</x:v>
      </x:c>
      <x:c r="BC26" s="67" t="n">
        <x:f>ROUND(IF(BC$8=1,IF(BC$7=1,'P&amp;L 5yr'!$C$66,MAX(0,INDEX('P&amp;L 5yr'!$C$66:$G$66,1,BC$7)-INDEX('P&amp;L 5yr'!$C$66:$G$66,1,BC$7-1))),0)+IF(BC$6=MAX(1,'Launch Readiness'!$E$6-1),'Launch Readiness'!$E$10,0)+IF(BC$6=MAX(1,'Launch Readiness'!$E$14-1),'Launch Readiness'!$E$17,0),0)</x:f>
        <x:v>0</x:v>
      </x:c>
      <x:c r="BD26" s="67" t="n">
        <x:f>ROUND(IF(BD$8=1,IF(BD$7=1,'P&amp;L 5yr'!$C$66,MAX(0,INDEX('P&amp;L 5yr'!$C$66:$G$66,1,BD$7)-INDEX('P&amp;L 5yr'!$C$66:$G$66,1,BD$7-1))),0)+IF(BD$6=MAX(1,'Launch Readiness'!$E$6-1),'Launch Readiness'!$E$10,0)+IF(BD$6=MAX(1,'Launch Readiness'!$E$14-1),'Launch Readiness'!$E$17,0),0)</x:f>
        <x:v>0</x:v>
      </x:c>
      <x:c r="BE26" s="67" t="n">
        <x:f>ROUND(IF(BE$8=1,IF(BE$7=1,'P&amp;L 5yr'!$C$66,MAX(0,INDEX('P&amp;L 5yr'!$C$66:$G$66,1,BE$7)-INDEX('P&amp;L 5yr'!$C$66:$G$66,1,BE$7-1))),0)+IF(BE$6=MAX(1,'Launch Readiness'!$E$6-1),'Launch Readiness'!$E$10,0)+IF(BE$6=MAX(1,'Launch Readiness'!$E$14-1),'Launch Readiness'!$E$17,0),0)</x:f>
        <x:v>0</x:v>
      </x:c>
      <x:c r="BF26" s="67" t="n">
        <x:f>ROUND(IF(BF$8=1,IF(BF$7=1,'P&amp;L 5yr'!$C$66,MAX(0,INDEX('P&amp;L 5yr'!$C$66:$G$66,1,BF$7)-INDEX('P&amp;L 5yr'!$C$66:$G$66,1,BF$7-1))),0)+IF(BF$6=MAX(1,'Launch Readiness'!$E$6-1),'Launch Readiness'!$E$10,0)+IF(BF$6=MAX(1,'Launch Readiness'!$E$14-1),'Launch Readiness'!$E$17,0),0)</x:f>
        <x:v>0</x:v>
      </x:c>
      <x:c r="BG26" s="67" t="n">
        <x:f>ROUND(IF(BG$8=1,IF(BG$7=1,'P&amp;L 5yr'!$C$66,MAX(0,INDEX('P&amp;L 5yr'!$C$66:$G$66,1,BG$7)-INDEX('P&amp;L 5yr'!$C$66:$G$66,1,BG$7-1))),0)+IF(BG$6=MAX(1,'Launch Readiness'!$E$6-1),'Launch Readiness'!$E$10,0)+IF(BG$6=MAX(1,'Launch Readiness'!$E$14-1),'Launch Readiness'!$E$17,0),0)</x:f>
        <x:v>0</x:v>
      </x:c>
      <x:c r="BH26" s="67" t="n">
        <x:f>ROUND(IF(BH$8=1,IF(BH$7=1,'P&amp;L 5yr'!$C$66,MAX(0,INDEX('P&amp;L 5yr'!$C$66:$G$66,1,BH$7)-INDEX('P&amp;L 5yr'!$C$66:$G$66,1,BH$7-1))),0)+IF(BH$6=MAX(1,'Launch Readiness'!$E$6-1),'Launch Readiness'!$E$10,0)+IF(BH$6=MAX(1,'Launch Readiness'!$E$14-1),'Launch Readiness'!$E$17,0),0)</x:f>
        <x:v>0</x:v>
      </x:c>
      <x:c r="BI26" s="67" t="n">
        <x:f>ROUND(IF(BI$8=1,IF(BI$7=1,'P&amp;L 5yr'!$C$66,MAX(0,INDEX('P&amp;L 5yr'!$C$66:$G$66,1,BI$7)-INDEX('P&amp;L 5yr'!$C$66:$G$66,1,BI$7-1))),0)+IF(BI$6=MAX(1,'Launch Readiness'!$E$6-1),'Launch Readiness'!$E$10,0)+IF(BI$6=MAX(1,'Launch Readiness'!$E$14-1),'Launch Readiness'!$E$17,0),0)</x:f>
        <x:v>0</x:v>
      </x:c>
      <x:c r="BK26" s="33" t="s">
        <x:v>504</x:v>
      </x:c>
    </x:row>
    <x:row r="27" ht="15" customHeight="1">
      <x:c r="A27" s="12" t="s">
        <x:v>505</x:v>
      </x:c>
      <x:c r="B27" s="67" t="n">
        <x:f>ROUND(-IF(B$6=MAX(1,'Launch Readiness'!$E$6-1),'Launch Readiness'!$E$10,0)-IF(B$6=MAX(1,'Launch Readiness'!$E$14-1),'Launch Readiness'!$E$17,0),0)</x:f>
        <x:v>0</x:v>
      </x:c>
      <x:c r="C27" s="67" t="n">
        <x:f>ROUND(-IF(C$6=MAX(1,'Launch Readiness'!$E$6-1),'Launch Readiness'!$E$10,0)-IF(C$6=MAX(1,'Launch Readiness'!$E$14-1),'Launch Readiness'!$E$17,0),0)</x:f>
        <x:v>0</x:v>
      </x:c>
      <x:c r="D27" s="67" t="n">
        <x:f>ROUND(-IF(D$6=MAX(1,'Launch Readiness'!$E$6-1),'Launch Readiness'!$E$10,0)-IF(D$6=MAX(1,'Launch Readiness'!$E$14-1),'Launch Readiness'!$E$17,0),0)</x:f>
        <x:v>0</x:v>
      </x:c>
      <x:c r="E27" s="67" t="n">
        <x:f>ROUND(-IF(E$6=MAX(1,'Launch Readiness'!$E$6-1),'Launch Readiness'!$E$10,0)-IF(E$6=MAX(1,'Launch Readiness'!$E$14-1),'Launch Readiness'!$E$17,0),0)</x:f>
        <x:v>0</x:v>
      </x:c>
      <x:c r="F27" s="67" t="n">
        <x:f>ROUND(-IF(F$6=MAX(1,'Launch Readiness'!$E$6-1),'Launch Readiness'!$E$10,0)-IF(F$6=MAX(1,'Launch Readiness'!$E$14-1),'Launch Readiness'!$E$17,0),0)</x:f>
        <x:v>0</x:v>
      </x:c>
      <x:c r="G27" s="67" t="n">
        <x:f>ROUND(-IF(G$6=MAX(1,'Launch Readiness'!$E$6-1),'Launch Readiness'!$E$10,0)-IF(G$6=MAX(1,'Launch Readiness'!$E$14-1),'Launch Readiness'!$E$17,0),0)</x:f>
        <x:v>0</x:v>
      </x:c>
      <x:c r="H27" s="67" t="n">
        <x:f>ROUND(-IF(H$6=MAX(1,'Launch Readiness'!$E$6-1),'Launch Readiness'!$E$10,0)-IF(H$6=MAX(1,'Launch Readiness'!$E$14-1),'Launch Readiness'!$E$17,0),0)</x:f>
        <x:v>0</x:v>
      </x:c>
      <x:c r="I27" s="67" t="n">
        <x:f>ROUND(-IF(I$6=MAX(1,'Launch Readiness'!$E$6-1),'Launch Readiness'!$E$10,0)-IF(I$6=MAX(1,'Launch Readiness'!$E$14-1),'Launch Readiness'!$E$17,0),0)</x:f>
        <x:v>0</x:v>
      </x:c>
      <x:c r="J27" s="67" t="n">
        <x:f>ROUND(-IF(J$6=MAX(1,'Launch Readiness'!$E$6-1),'Launch Readiness'!$E$10,0)-IF(J$6=MAX(1,'Launch Readiness'!$E$14-1),'Launch Readiness'!$E$17,0),0)</x:f>
        <x:v>0</x:v>
      </x:c>
      <x:c r="K27" s="67" t="n">
        <x:f>ROUND(-IF(K$6=MAX(1,'Launch Readiness'!$E$6-1),'Launch Readiness'!$E$10,0)-IF(K$6=MAX(1,'Launch Readiness'!$E$14-1),'Launch Readiness'!$E$17,0),0)</x:f>
        <x:v>0</x:v>
      </x:c>
      <x:c r="L27" s="67" t="n">
        <x:f>ROUND(-IF(L$6=MAX(1,'Launch Readiness'!$E$6-1),'Launch Readiness'!$E$10,0)-IF(L$6=MAX(1,'Launch Readiness'!$E$14-1),'Launch Readiness'!$E$17,0),0)</x:f>
        <x:v>0</x:v>
      </x:c>
      <x:c r="M27" s="67" t="n">
        <x:f>ROUND(-IF(M$6=MAX(1,'Launch Readiness'!$E$6-1),'Launch Readiness'!$E$10,0)-IF(M$6=MAX(1,'Launch Readiness'!$E$14-1),'Launch Readiness'!$E$17,0),0)</x:f>
        <x:v>0</x:v>
      </x:c>
      <x:c r="N27" s="67" t="n">
        <x:f>ROUND(-IF(N$6=MAX(1,'Launch Readiness'!$E$6-1),'Launch Readiness'!$E$10,0)-IF(N$6=MAX(1,'Launch Readiness'!$E$14-1),'Launch Readiness'!$E$17,0),0)</x:f>
        <x:v>0</x:v>
      </x:c>
      <x:c r="O27" s="67" t="n">
        <x:f>ROUND(-IF(O$6=MAX(1,'Launch Readiness'!$E$6-1),'Launch Readiness'!$E$10,0)-IF(O$6=MAX(1,'Launch Readiness'!$E$14-1),'Launch Readiness'!$E$17,0),0)</x:f>
        <x:v>0</x:v>
      </x:c>
      <x:c r="P27" s="67" t="n">
        <x:f>ROUND(-IF(P$6=MAX(1,'Launch Readiness'!$E$6-1),'Launch Readiness'!$E$10,0)-IF(P$6=MAX(1,'Launch Readiness'!$E$14-1),'Launch Readiness'!$E$17,0),0)</x:f>
        <x:v>0</x:v>
      </x:c>
      <x:c r="Q27" s="67" t="n">
        <x:f>ROUND(-IF(Q$6=MAX(1,'Launch Readiness'!$E$6-1),'Launch Readiness'!$E$10,0)-IF(Q$6=MAX(1,'Launch Readiness'!$E$14-1),'Launch Readiness'!$E$17,0),0)</x:f>
        <x:v>0</x:v>
      </x:c>
      <x:c r="R27" s="67" t="n">
        <x:f>ROUND(-IF(R$6=MAX(1,'Launch Readiness'!$E$6-1),'Launch Readiness'!$E$10,0)-IF(R$6=MAX(1,'Launch Readiness'!$E$14-1),'Launch Readiness'!$E$17,0),0)</x:f>
        <x:v>-319095</x:v>
      </x:c>
      <x:c r="S27" s="67" t="n">
        <x:f>ROUND(-IF(S$6=MAX(1,'Launch Readiness'!$E$6-1),'Launch Readiness'!$E$10,0)-IF(S$6=MAX(1,'Launch Readiness'!$E$14-1),'Launch Readiness'!$E$17,0),0)</x:f>
        <x:v>0</x:v>
      </x:c>
      <x:c r="T27" s="67" t="n">
        <x:f>ROUND(-IF(T$6=MAX(1,'Launch Readiness'!$E$6-1),'Launch Readiness'!$E$10,0)-IF(T$6=MAX(1,'Launch Readiness'!$E$14-1),'Launch Readiness'!$E$17,0),0)</x:f>
        <x:v>0</x:v>
      </x:c>
      <x:c r="U27" s="67" t="n">
        <x:f>ROUND(-IF(U$6=MAX(1,'Launch Readiness'!$E$6-1),'Launch Readiness'!$E$10,0)-IF(U$6=MAX(1,'Launch Readiness'!$E$14-1),'Launch Readiness'!$E$17,0),0)</x:f>
        <x:v>0</x:v>
      </x:c>
      <x:c r="V27" s="67" t="n">
        <x:f>ROUND(-IF(V$6=MAX(1,'Launch Readiness'!$E$6-1),'Launch Readiness'!$E$10,0)-IF(V$6=MAX(1,'Launch Readiness'!$E$14-1),'Launch Readiness'!$E$17,0),0)</x:f>
        <x:v>0</x:v>
      </x:c>
      <x:c r="W27" s="67" t="n">
        <x:f>ROUND(-IF(W$6=MAX(1,'Launch Readiness'!$E$6-1),'Launch Readiness'!$E$10,0)-IF(W$6=MAX(1,'Launch Readiness'!$E$14-1),'Launch Readiness'!$E$17,0),0)</x:f>
        <x:v>0</x:v>
      </x:c>
      <x:c r="X27" s="67" t="n">
        <x:f>ROUND(-IF(X$6=MAX(1,'Launch Readiness'!$E$6-1),'Launch Readiness'!$E$10,0)-IF(X$6=MAX(1,'Launch Readiness'!$E$14-1),'Launch Readiness'!$E$17,0),0)</x:f>
        <x:v>0</x:v>
      </x:c>
      <x:c r="Y27" s="67" t="n">
        <x:f>ROUND(-IF(Y$6=MAX(1,'Launch Readiness'!$E$6-1),'Launch Readiness'!$E$10,0)-IF(Y$6=MAX(1,'Launch Readiness'!$E$14-1),'Launch Readiness'!$E$17,0),0)</x:f>
        <x:v>0</x:v>
      </x:c>
      <x:c r="Z27" s="67" t="n">
        <x:f>ROUND(-IF(Z$6=MAX(1,'Launch Readiness'!$E$6-1),'Launch Readiness'!$E$10,0)-IF(Z$6=MAX(1,'Launch Readiness'!$E$14-1),'Launch Readiness'!$E$17,0),0)</x:f>
        <x:v>0</x:v>
      </x:c>
      <x:c r="AA27" s="67" t="n">
        <x:f>ROUND(-IF(AA$6=MAX(1,'Launch Readiness'!$E$6-1),'Launch Readiness'!$E$10,0)-IF(AA$6=MAX(1,'Launch Readiness'!$E$14-1),'Launch Readiness'!$E$17,0),0)</x:f>
        <x:v>0</x:v>
      </x:c>
      <x:c r="AB27" s="67" t="n">
        <x:f>ROUND(-IF(AB$6=MAX(1,'Launch Readiness'!$E$6-1),'Launch Readiness'!$E$10,0)-IF(AB$6=MAX(1,'Launch Readiness'!$E$14-1),'Launch Readiness'!$E$17,0),0)</x:f>
        <x:v>0</x:v>
      </x:c>
      <x:c r="AC27" s="67" t="n">
        <x:f>ROUND(-IF(AC$6=MAX(1,'Launch Readiness'!$E$6-1),'Launch Readiness'!$E$10,0)-IF(AC$6=MAX(1,'Launch Readiness'!$E$14-1),'Launch Readiness'!$E$17,0),0)</x:f>
        <x:v>0</x:v>
      </x:c>
      <x:c r="AD27" s="67" t="n">
        <x:f>ROUND(-IF(AD$6=MAX(1,'Launch Readiness'!$E$6-1),'Launch Readiness'!$E$10,0)-IF(AD$6=MAX(1,'Launch Readiness'!$E$14-1),'Launch Readiness'!$E$17,0),0)</x:f>
        <x:v>0</x:v>
      </x:c>
      <x:c r="AE27" s="67" t="n">
        <x:f>ROUND(-IF(AE$6=MAX(1,'Launch Readiness'!$E$6-1),'Launch Readiness'!$E$10,0)-IF(AE$6=MAX(1,'Launch Readiness'!$E$14-1),'Launch Readiness'!$E$17,0),0)</x:f>
        <x:v>0</x:v>
      </x:c>
      <x:c r="AF27" s="67" t="n">
        <x:f>ROUND(-IF(AF$6=MAX(1,'Launch Readiness'!$E$6-1),'Launch Readiness'!$E$10,0)-IF(AF$6=MAX(1,'Launch Readiness'!$E$14-1),'Launch Readiness'!$E$17,0),0)</x:f>
        <x:v>0</x:v>
      </x:c>
      <x:c r="AG27" s="67" t="n">
        <x:f>ROUND(-IF(AG$6=MAX(1,'Launch Readiness'!$E$6-1),'Launch Readiness'!$E$10,0)-IF(AG$6=MAX(1,'Launch Readiness'!$E$14-1),'Launch Readiness'!$E$17,0),0)</x:f>
        <x:v>0</x:v>
      </x:c>
      <x:c r="AH27" s="67" t="n">
        <x:f>ROUND(-IF(AH$6=MAX(1,'Launch Readiness'!$E$6-1),'Launch Readiness'!$E$10,0)-IF(AH$6=MAX(1,'Launch Readiness'!$E$14-1),'Launch Readiness'!$E$17,0),0)</x:f>
        <x:v>0</x:v>
      </x:c>
      <x:c r="AI27" s="67" t="n">
        <x:f>ROUND(-IF(AI$6=MAX(1,'Launch Readiness'!$E$6-1),'Launch Readiness'!$E$10,0)-IF(AI$6=MAX(1,'Launch Readiness'!$E$14-1),'Launch Readiness'!$E$17,0),0)</x:f>
        <x:v>0</x:v>
      </x:c>
      <x:c r="AJ27" s="67" t="n">
        <x:f>ROUND(-IF(AJ$6=MAX(1,'Launch Readiness'!$E$6-1),'Launch Readiness'!$E$10,0)-IF(AJ$6=MAX(1,'Launch Readiness'!$E$14-1),'Launch Readiness'!$E$17,0),0)</x:f>
        <x:v>0</x:v>
      </x:c>
      <x:c r="AK27" s="67" t="n">
        <x:f>ROUND(-IF(AK$6=MAX(1,'Launch Readiness'!$E$6-1),'Launch Readiness'!$E$10,0)-IF(AK$6=MAX(1,'Launch Readiness'!$E$14-1),'Launch Readiness'!$E$17,0),0)</x:f>
        <x:v>0</x:v>
      </x:c>
      <x:c r="AL27" s="67" t="n">
        <x:f>ROUND(-IF(AL$6=MAX(1,'Launch Readiness'!$E$6-1),'Launch Readiness'!$E$10,0)-IF(AL$6=MAX(1,'Launch Readiness'!$E$14-1),'Launch Readiness'!$E$17,0),0)</x:f>
        <x:v>0</x:v>
      </x:c>
      <x:c r="AM27" s="67" t="n">
        <x:f>ROUND(-IF(AM$6=MAX(1,'Launch Readiness'!$E$6-1),'Launch Readiness'!$E$10,0)-IF(AM$6=MAX(1,'Launch Readiness'!$E$14-1),'Launch Readiness'!$E$17,0),0)</x:f>
        <x:v>0</x:v>
      </x:c>
      <x:c r="AN27" s="67" t="n">
        <x:f>ROUND(-IF(AN$6=MAX(1,'Launch Readiness'!$E$6-1),'Launch Readiness'!$E$10,0)-IF(AN$6=MAX(1,'Launch Readiness'!$E$14-1),'Launch Readiness'!$E$17,0),0)</x:f>
        <x:v>0</x:v>
      </x:c>
      <x:c r="AO27" s="67" t="n">
        <x:f>ROUND(-IF(AO$6=MAX(1,'Launch Readiness'!$E$6-1),'Launch Readiness'!$E$10,0)-IF(AO$6=MAX(1,'Launch Readiness'!$E$14-1),'Launch Readiness'!$E$17,0),0)</x:f>
        <x:v>0</x:v>
      </x:c>
      <x:c r="AP27" s="67" t="n">
        <x:f>ROUND(-IF(AP$6=MAX(1,'Launch Readiness'!$E$6-1),'Launch Readiness'!$E$10,0)-IF(AP$6=MAX(1,'Launch Readiness'!$E$14-1),'Launch Readiness'!$E$17,0),0)</x:f>
        <x:v>0</x:v>
      </x:c>
      <x:c r="AQ27" s="67" t="n">
        <x:f>ROUND(-IF(AQ$6=MAX(1,'Launch Readiness'!$E$6-1),'Launch Readiness'!$E$10,0)-IF(AQ$6=MAX(1,'Launch Readiness'!$E$14-1),'Launch Readiness'!$E$17,0),0)</x:f>
        <x:v>0</x:v>
      </x:c>
      <x:c r="AR27" s="67" t="n">
        <x:f>ROUND(-IF(AR$6=MAX(1,'Launch Readiness'!$E$6-1),'Launch Readiness'!$E$10,0)-IF(AR$6=MAX(1,'Launch Readiness'!$E$14-1),'Launch Readiness'!$E$17,0),0)</x:f>
        <x:v>0</x:v>
      </x:c>
      <x:c r="AS27" s="67" t="n">
        <x:f>ROUND(-IF(AS$6=MAX(1,'Launch Readiness'!$E$6-1),'Launch Readiness'!$E$10,0)-IF(AS$6=MAX(1,'Launch Readiness'!$E$14-1),'Launch Readiness'!$E$17,0),0)</x:f>
        <x:v>0</x:v>
      </x:c>
      <x:c r="AT27" s="67" t="n">
        <x:f>ROUND(-IF(AT$6=MAX(1,'Launch Readiness'!$E$6-1),'Launch Readiness'!$E$10,0)-IF(AT$6=MAX(1,'Launch Readiness'!$E$14-1),'Launch Readiness'!$E$17,0),0)</x:f>
        <x:v>0</x:v>
      </x:c>
      <x:c r="AU27" s="67" t="n">
        <x:f>ROUND(-IF(AU$6=MAX(1,'Launch Readiness'!$E$6-1),'Launch Readiness'!$E$10,0)-IF(AU$6=MAX(1,'Launch Readiness'!$E$14-1),'Launch Readiness'!$E$17,0),0)</x:f>
        <x:v>0</x:v>
      </x:c>
      <x:c r="AV27" s="67" t="n">
        <x:f>ROUND(-IF(AV$6=MAX(1,'Launch Readiness'!$E$6-1),'Launch Readiness'!$E$10,0)-IF(AV$6=MAX(1,'Launch Readiness'!$E$14-1),'Launch Readiness'!$E$17,0),0)</x:f>
        <x:v>0</x:v>
      </x:c>
      <x:c r="AW27" s="67" t="n">
        <x:f>ROUND(-IF(AW$6=MAX(1,'Launch Readiness'!$E$6-1),'Launch Readiness'!$E$10,0)-IF(AW$6=MAX(1,'Launch Readiness'!$E$14-1),'Launch Readiness'!$E$17,0),0)</x:f>
        <x:v>0</x:v>
      </x:c>
      <x:c r="AX27" s="67" t="n">
        <x:f>ROUND(-IF(AX$6=MAX(1,'Launch Readiness'!$E$6-1),'Launch Readiness'!$E$10,0)-IF(AX$6=MAX(1,'Launch Readiness'!$E$14-1),'Launch Readiness'!$E$17,0),0)</x:f>
        <x:v>0</x:v>
      </x:c>
      <x:c r="AY27" s="67" t="n">
        <x:f>ROUND(-IF(AY$6=MAX(1,'Launch Readiness'!$E$6-1),'Launch Readiness'!$E$10,0)-IF(AY$6=MAX(1,'Launch Readiness'!$E$14-1),'Launch Readiness'!$E$17,0),0)</x:f>
        <x:v>0</x:v>
      </x:c>
      <x:c r="AZ27" s="67" t="n">
        <x:f>ROUND(-IF(AZ$6=MAX(1,'Launch Readiness'!$E$6-1),'Launch Readiness'!$E$10,0)-IF(AZ$6=MAX(1,'Launch Readiness'!$E$14-1),'Launch Readiness'!$E$17,0),0)</x:f>
        <x:v>0</x:v>
      </x:c>
      <x:c r="BA27" s="67" t="n">
        <x:f>ROUND(-IF(BA$6=MAX(1,'Launch Readiness'!$E$6-1),'Launch Readiness'!$E$10,0)-IF(BA$6=MAX(1,'Launch Readiness'!$E$14-1),'Launch Readiness'!$E$17,0),0)</x:f>
        <x:v>0</x:v>
      </x:c>
      <x:c r="BB27" s="67" t="n">
        <x:f>ROUND(-IF(BB$6=MAX(1,'Launch Readiness'!$E$6-1),'Launch Readiness'!$E$10,0)-IF(BB$6=MAX(1,'Launch Readiness'!$E$14-1),'Launch Readiness'!$E$17,0),0)</x:f>
        <x:v>0</x:v>
      </x:c>
      <x:c r="BC27" s="67" t="n">
        <x:f>ROUND(-IF(BC$6=MAX(1,'Launch Readiness'!$E$6-1),'Launch Readiness'!$E$10,0)-IF(BC$6=MAX(1,'Launch Readiness'!$E$14-1),'Launch Readiness'!$E$17,0),0)</x:f>
        <x:v>0</x:v>
      </x:c>
      <x:c r="BD27" s="67" t="n">
        <x:f>ROUND(-IF(BD$6=MAX(1,'Launch Readiness'!$E$6-1),'Launch Readiness'!$E$10,0)-IF(BD$6=MAX(1,'Launch Readiness'!$E$14-1),'Launch Readiness'!$E$17,0),0)</x:f>
        <x:v>0</x:v>
      </x:c>
      <x:c r="BE27" s="67" t="n">
        <x:f>ROUND(-IF(BE$6=MAX(1,'Launch Readiness'!$E$6-1),'Launch Readiness'!$E$10,0)-IF(BE$6=MAX(1,'Launch Readiness'!$E$14-1),'Launch Readiness'!$E$17,0),0)</x:f>
        <x:v>0</x:v>
      </x:c>
      <x:c r="BF27" s="67" t="n">
        <x:f>ROUND(-IF(BF$6=MAX(1,'Launch Readiness'!$E$6-1),'Launch Readiness'!$E$10,0)-IF(BF$6=MAX(1,'Launch Readiness'!$E$14-1),'Launch Readiness'!$E$17,0),0)</x:f>
        <x:v>0</x:v>
      </x:c>
      <x:c r="BG27" s="67" t="n">
        <x:f>ROUND(-IF(BG$6=MAX(1,'Launch Readiness'!$E$6-1),'Launch Readiness'!$E$10,0)-IF(BG$6=MAX(1,'Launch Readiness'!$E$14-1),'Launch Readiness'!$E$17,0),0)</x:f>
        <x:v>0</x:v>
      </x:c>
      <x:c r="BH27" s="67" t="n">
        <x:f>ROUND(-IF(BH$6=MAX(1,'Launch Readiness'!$E$6-1),'Launch Readiness'!$E$10,0)-IF(BH$6=MAX(1,'Launch Readiness'!$E$14-1),'Launch Readiness'!$E$17,0),0)</x:f>
        <x:v>0</x:v>
      </x:c>
      <x:c r="BI27" s="67" t="n">
        <x:f>ROUND(-IF(BI$6=MAX(1,'Launch Readiness'!$E$6-1),'Launch Readiness'!$E$10,0)-IF(BI$6=MAX(1,'Launch Readiness'!$E$14-1),'Launch Readiness'!$E$17,0),0)</x:f>
        <x:v>0</x:v>
      </x:c>
      <x:c r="BK27" s="33" t="s">
        <x:v>506</x:v>
      </x:c>
    </x:row>
    <x:row r="28" ht="15" customHeight="1">
      <x:c r="A28" s="24" t="s">
        <x:v>507</x:v>
      </x:c>
      <x:c r="B28" s="92" t="n">
        <x:f t="shared" ref="B28:AG28" si="14">ROUND(SUM(B26:B27),0)</x:f>
        <x:v>1259743</x:v>
      </x:c>
      <x:c r="C28" s="92">
        <x:f t="shared" si="14"/>
        <x:v>0</x:v>
      </x:c>
      <x:c r="D28" s="92">
        <x:f t="shared" si="14"/>
        <x:v>0</x:v>
      </x:c>
      <x:c r="E28" s="92">
        <x:f t="shared" si="14"/>
        <x:v>0</x:v>
      </x:c>
      <x:c r="F28" s="92">
        <x:f t="shared" si="14"/>
        <x:v>0</x:v>
      </x:c>
      <x:c r="G28" s="92">
        <x:f t="shared" si="14"/>
        <x:v>0</x:v>
      </x:c>
      <x:c r="H28" s="92">
        <x:f t="shared" si="14"/>
        <x:v>0</x:v>
      </x:c>
      <x:c r="I28" s="92">
        <x:f t="shared" si="14"/>
        <x:v>0</x:v>
      </x:c>
      <x:c r="J28" s="92">
        <x:f t="shared" si="14"/>
        <x:v>0</x:v>
      </x:c>
      <x:c r="K28" s="92">
        <x:f t="shared" si="14"/>
        <x:v>0</x:v>
      </x:c>
      <x:c r="L28" s="92">
        <x:f t="shared" si="14"/>
        <x:v>0</x:v>
      </x:c>
      <x:c r="M28" s="92">
        <x:f t="shared" si="14"/>
        <x:v>0</x:v>
      </x:c>
      <x:c r="N28" s="92">
        <x:f t="shared" si="14"/>
        <x:v>908073</x:v>
      </x:c>
      <x:c r="O28" s="92">
        <x:f t="shared" si="14"/>
        <x:v>0</x:v>
      </x:c>
      <x:c r="P28" s="92">
        <x:f t="shared" si="14"/>
        <x:v>0</x:v>
      </x:c>
      <x:c r="Q28" s="92">
        <x:f t="shared" si="14"/>
        <x:v>0</x:v>
      </x:c>
      <x:c r="R28" s="92">
        <x:f t="shared" si="14"/>
        <x:v>0</x:v>
      </x:c>
      <x:c r="S28" s="92">
        <x:f t="shared" si="14"/>
        <x:v>0</x:v>
      </x:c>
      <x:c r="T28" s="92">
        <x:f t="shared" si="14"/>
        <x:v>0</x:v>
      </x:c>
      <x:c r="U28" s="92">
        <x:f t="shared" si="14"/>
        <x:v>0</x:v>
      </x:c>
      <x:c r="V28" s="92">
        <x:f t="shared" si="14"/>
        <x:v>0</x:v>
      </x:c>
      <x:c r="W28" s="92">
        <x:f t="shared" si="14"/>
        <x:v>0</x:v>
      </x:c>
      <x:c r="X28" s="92">
        <x:f t="shared" si="14"/>
        <x:v>0</x:v>
      </x:c>
      <x:c r="Y28" s="92">
        <x:f t="shared" si="14"/>
        <x:v>0</x:v>
      </x:c>
      <x:c r="Z28" s="92">
        <x:f t="shared" si="14"/>
        <x:v>460389</x:v>
      </x:c>
      <x:c r="AA28" s="92">
        <x:f t="shared" si="14"/>
        <x:v>0</x:v>
      </x:c>
      <x:c r="AB28" s="92">
        <x:f t="shared" si="14"/>
        <x:v>0</x:v>
      </x:c>
      <x:c r="AC28" s="92">
        <x:f t="shared" si="14"/>
        <x:v>0</x:v>
      </x:c>
      <x:c r="AD28" s="92">
        <x:f t="shared" si="14"/>
        <x:v>0</x:v>
      </x:c>
      <x:c r="AE28" s="92">
        <x:f t="shared" si="14"/>
        <x:v>0</x:v>
      </x:c>
      <x:c r="AF28" s="92">
        <x:f t="shared" si="14"/>
        <x:v>0</x:v>
      </x:c>
      <x:c r="AG28" s="92">
        <x:f t="shared" si="14"/>
        <x:v>0</x:v>
      </x:c>
      <x:c r="AH28" s="92" t="n">
        <x:f t="shared" ref="AH28:BI28" si="15">ROUND(SUM(AH26:AH27),0)</x:f>
        <x:v>0</x:v>
      </x:c>
      <x:c r="AI28" s="92">
        <x:f t="shared" si="15"/>
        <x:v>0</x:v>
      </x:c>
      <x:c r="AJ28" s="92">
        <x:f t="shared" si="15"/>
        <x:v>0</x:v>
      </x:c>
      <x:c r="AK28" s="92">
        <x:f t="shared" si="15"/>
        <x:v>0</x:v>
      </x:c>
      <x:c r="AL28" s="92">
        <x:f t="shared" si="15"/>
        <x:v>212730</x:v>
      </x:c>
      <x:c r="AM28" s="92">
        <x:f t="shared" si="15"/>
        <x:v>0</x:v>
      </x:c>
      <x:c r="AN28" s="92">
        <x:f t="shared" si="15"/>
        <x:v>0</x:v>
      </x:c>
      <x:c r="AO28" s="92">
        <x:f t="shared" si="15"/>
        <x:v>0</x:v>
      </x:c>
      <x:c r="AP28" s="92">
        <x:f t="shared" si="15"/>
        <x:v>0</x:v>
      </x:c>
      <x:c r="AQ28" s="92">
        <x:f t="shared" si="15"/>
        <x:v>0</x:v>
      </x:c>
      <x:c r="AR28" s="92">
        <x:f t="shared" si="15"/>
        <x:v>0</x:v>
      </x:c>
      <x:c r="AS28" s="92">
        <x:f t="shared" si="15"/>
        <x:v>0</x:v>
      </x:c>
      <x:c r="AT28" s="92">
        <x:f t="shared" si="15"/>
        <x:v>0</x:v>
      </x:c>
      <x:c r="AU28" s="92">
        <x:f t="shared" si="15"/>
        <x:v>0</x:v>
      </x:c>
      <x:c r="AV28" s="92">
        <x:f t="shared" si="15"/>
        <x:v>0</x:v>
      </x:c>
      <x:c r="AW28" s="92">
        <x:f t="shared" si="15"/>
        <x:v>0</x:v>
      </x:c>
      <x:c r="AX28" s="92">
        <x:f t="shared" si="15"/>
        <x:v>0</x:v>
      </x:c>
      <x:c r="AY28" s="92">
        <x:f t="shared" si="15"/>
        <x:v>0</x:v>
      </x:c>
      <x:c r="AZ28" s="92">
        <x:f t="shared" si="15"/>
        <x:v>0</x:v>
      </x:c>
      <x:c r="BA28" s="92">
        <x:f t="shared" si="15"/>
        <x:v>0</x:v>
      </x:c>
      <x:c r="BB28" s="92">
        <x:f t="shared" si="15"/>
        <x:v>0</x:v>
      </x:c>
      <x:c r="BC28" s="92">
        <x:f t="shared" si="15"/>
        <x:v>0</x:v>
      </x:c>
      <x:c r="BD28" s="92">
        <x:f t="shared" si="15"/>
        <x:v>0</x:v>
      </x:c>
      <x:c r="BE28" s="92">
        <x:f t="shared" si="15"/>
        <x:v>0</x:v>
      </x:c>
      <x:c r="BF28" s="92">
        <x:f t="shared" si="15"/>
        <x:v>0</x:v>
      </x:c>
      <x:c r="BG28" s="92">
        <x:f t="shared" si="15"/>
        <x:v>0</x:v>
      </x:c>
      <x:c r="BH28" s="92">
        <x:f t="shared" si="15"/>
        <x:v>0</x:v>
      </x:c>
      <x:c r="BI28" s="92">
        <x:f t="shared" si="15"/>
        <x:v>0</x:v>
      </x:c>
    </x:row>
    <x:row r="29" ht="8.100000381469727" customHeight="1">
      <x:c r="A29" s="4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  <x:c r="AA29" s="62"/>
      <x:c r="AB29" s="62"/>
      <x:c r="AC29" s="62"/>
      <x:c r="AD29" s="62"/>
      <x:c r="AE29" s="62"/>
      <x:c r="AF29" s="62"/>
      <x:c r="AG29" s="62"/>
      <x:c r="AH29" s="62"/>
      <x:c r="AI29" s="62"/>
      <x:c r="AJ29" s="62"/>
      <x:c r="AK29" s="62"/>
      <x:c r="AL29" s="62"/>
      <x:c r="AM29" s="62"/>
      <x:c r="AN29" s="62"/>
      <x:c r="AO29" s="62"/>
      <x:c r="AP29" s="62"/>
      <x:c r="AQ29" s="62"/>
      <x:c r="AR29" s="62"/>
      <x:c r="AS29" s="62"/>
      <x:c r="AT29" s="62"/>
      <x:c r="AU29" s="62"/>
      <x:c r="AV29" s="62"/>
      <x:c r="AW29" s="62"/>
      <x:c r="AX29" s="62"/>
      <x:c r="AY29" s="62"/>
      <x:c r="AZ29" s="62"/>
      <x:c r="BA29" s="62"/>
      <x:c r="BB29" s="62"/>
      <x:c r="BC29" s="62"/>
      <x:c r="BD29" s="62"/>
      <x:c r="BE29" s="62"/>
      <x:c r="BF29" s="62"/>
      <x:c r="BG29" s="62"/>
      <x:c r="BH29" s="62"/>
      <x:c r="BI29" s="62"/>
    </x:row>
    <x:row r="30" ht="18.950000762939453" customHeight="1">
      <x:c r="A30" s="5" t="s">
        <x:v>508</x:v>
      </x:c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5"/>
      <x:c r="AH30" s="5"/>
      <x:c r="AI30" s="5"/>
      <x:c r="AJ30" s="5"/>
      <x:c r="AK30" s="5"/>
      <x:c r="AL30" s="5"/>
      <x:c r="AM30" s="5"/>
      <x:c r="AN30" s="5"/>
      <x:c r="AO30" s="5"/>
      <x:c r="AP30" s="5"/>
      <x:c r="AQ30" s="5"/>
      <x:c r="AR30" s="5"/>
      <x:c r="AS30" s="5"/>
      <x:c r="AT30" s="5"/>
      <x:c r="AU30" s="5"/>
      <x:c r="AV30" s="5"/>
      <x:c r="AW30" s="5"/>
      <x:c r="AX30" s="5"/>
      <x:c r="AY30" s="5"/>
      <x:c r="AZ30" s="5"/>
      <x:c r="BA30" s="5"/>
      <x:c r="BB30" s="5"/>
      <x:c r="BC30" s="5"/>
      <x:c r="BD30" s="5"/>
      <x:c r="BE30" s="5"/>
      <x:c r="BF30" s="5"/>
      <x:c r="BG30" s="5"/>
      <x:c r="BH30" s="5"/>
      <x:c r="BI30" s="5"/>
    </x:row>
    <x:row r="31" ht="15" customHeight="1">
      <x:c r="A31" s="12" t="s">
        <x:v>509</x:v>
      </x:c>
      <x:c r="B31" s="56" t="n">
        <x:f>0</x:f>
        <x:v>0</x:v>
      </x:c>
      <x:c r="C31" s="56" t="n">
        <x:f t="shared" ref="C31:AH31" si="16">B33</x:f>
        <x:v>1107638</x:v>
      </x:c>
      <x:c r="D31" s="56">
        <x:f t="shared" si="16"/>
        <x:v>1042090</x:v>
      </x:c>
      <x:c r="E31" s="56">
        <x:f t="shared" si="16"/>
        <x:v>932531</x:v>
      </x:c>
      <x:c r="F31" s="56">
        <x:f t="shared" si="16"/>
        <x:v>822972</x:v>
      </x:c>
      <x:c r="G31" s="56">
        <x:f t="shared" si="16"/>
        <x:v>713413</x:v>
      </x:c>
      <x:c r="H31" s="56">
        <x:f t="shared" si="16"/>
        <x:v>603854</x:v>
      </x:c>
      <x:c r="I31" s="56">
        <x:f t="shared" si="16"/>
        <x:v>534863</x:v>
      </x:c>
      <x:c r="J31" s="56">
        <x:f t="shared" si="16"/>
        <x:v>465872</x:v>
      </x:c>
      <x:c r="K31" s="56">
        <x:f t="shared" si="16"/>
        <x:v>396881</x:v>
      </x:c>
      <x:c r="L31" s="56">
        <x:f t="shared" si="16"/>
        <x:v>327890</x:v>
      </x:c>
      <x:c r="M31" s="56">
        <x:f t="shared" si="16"/>
        <x:v>258899</x:v>
      </x:c>
      <x:c r="N31" s="56">
        <x:f t="shared" si="16"/>
        <x:v>191027</x:v>
      </x:c>
      <x:c r="O31" s="56">
        <x:f t="shared" si="16"/>
        <x:v>998315</x:v>
      </x:c>
      <x:c r="P31" s="56">
        <x:f t="shared" si="16"/>
        <x:v>928793</x:v>
      </x:c>
      <x:c r="Q31" s="56">
        <x:f t="shared" si="16"/>
        <x:v>859271</x:v>
      </x:c>
      <x:c r="R31" s="56">
        <x:f t="shared" si="16"/>
        <x:v>789749</x:v>
      </x:c>
      <x:c r="S31" s="56">
        <x:f t="shared" si="16"/>
        <x:v>720227</x:v>
      </x:c>
      <x:c r="T31" s="56">
        <x:f t="shared" si="16"/>
        <x:v>608159</x:v>
      </x:c>
      <x:c r="U31" s="56">
        <x:f t="shared" si="16"/>
        <x:v>538637</x:v>
      </x:c>
      <x:c r="V31" s="56">
        <x:f t="shared" si="16"/>
        <x:v>469115</x:v>
      </x:c>
      <x:c r="W31" s="56">
        <x:f t="shared" si="16"/>
        <x:v>399593</x:v>
      </x:c>
      <x:c r="X31" s="56">
        <x:f t="shared" si="16"/>
        <x:v>330071</x:v>
      </x:c>
      <x:c r="Y31" s="56">
        <x:f t="shared" si="16"/>
        <x:v>260549</x:v>
      </x:c>
      <x:c r="Z31" s="56">
        <x:f t="shared" si="16"/>
        <x:v>191027</x:v>
      </x:c>
      <x:c r="AA31" s="56">
        <x:f t="shared" si="16"/>
        <x:v>539639</x:v>
      </x:c>
      <x:c r="AB31" s="56">
        <x:f t="shared" si="16"/>
        <x:v>509809</x:v>
      </x:c>
      <x:c r="AC31" s="56">
        <x:f t="shared" si="16"/>
        <x:v>479979</x:v>
      </x:c>
      <x:c r="AD31" s="56">
        <x:f t="shared" si="16"/>
        <x:v>450149</x:v>
      </x:c>
      <x:c r="AE31" s="56">
        <x:f t="shared" si="16"/>
        <x:v>420319</x:v>
      </x:c>
      <x:c r="AF31" s="56">
        <x:f t="shared" si="16"/>
        <x:v>387563</x:v>
      </x:c>
      <x:c r="AG31" s="56">
        <x:f t="shared" si="16"/>
        <x:v>354807</x:v>
      </x:c>
      <x:c r="AH31" s="56">
        <x:f t="shared" si="16"/>
        <x:v>322051</x:v>
      </x:c>
      <x:c r="AI31" s="56" t="n">
        <x:f t="shared" ref="AI31:BI31" si="17">AH33</x:f>
        <x:v>289295</x:v>
      </x:c>
      <x:c r="AJ31" s="56">
        <x:f t="shared" si="17"/>
        <x:v>256539</x:v>
      </x:c>
      <x:c r="AK31" s="56">
        <x:f t="shared" si="17"/>
        <x:v>223783</x:v>
      </x:c>
      <x:c r="AL31" s="56">
        <x:f t="shared" si="17"/>
        <x:v>191027</x:v>
      </x:c>
      <x:c r="AM31" s="56">
        <x:f t="shared" si="17"/>
        <x:v>191027</x:v>
      </x:c>
      <x:c r="AN31" s="56">
        <x:f t="shared" si="17"/>
        <x:v>607862</x:v>
      </x:c>
      <x:c r="AO31" s="56">
        <x:f t="shared" si="17"/>
        <x:v>1024697</x:v>
      </x:c>
      <x:c r="AP31" s="56">
        <x:f t="shared" si="17"/>
        <x:v>1441532</x:v>
      </x:c>
      <x:c r="AQ31" s="56">
        <x:f t="shared" si="17"/>
        <x:v>1858367</x:v>
      </x:c>
      <x:c r="AR31" s="56">
        <x:f t="shared" si="17"/>
        <x:v>2275202</x:v>
      </x:c>
      <x:c r="AS31" s="56">
        <x:f t="shared" si="17"/>
        <x:v>2692037</x:v>
      </x:c>
      <x:c r="AT31" s="56">
        <x:f t="shared" si="17"/>
        <x:v>3108872</x:v>
      </x:c>
      <x:c r="AU31" s="56">
        <x:f t="shared" si="17"/>
        <x:v>3525707</x:v>
      </x:c>
      <x:c r="AV31" s="56">
        <x:f t="shared" si="17"/>
        <x:v>3942542</x:v>
      </x:c>
      <x:c r="AW31" s="56">
        <x:f t="shared" si="17"/>
        <x:v>4359377</x:v>
      </x:c>
      <x:c r="AX31" s="56">
        <x:f t="shared" si="17"/>
        <x:v>4776212</x:v>
      </x:c>
      <x:c r="AY31" s="56">
        <x:f t="shared" si="17"/>
        <x:v>5014802</x:v>
      </x:c>
      <x:c r="AZ31" s="56">
        <x:f t="shared" si="17"/>
        <x:v>5994219</x:v>
      </x:c>
      <x:c r="BA31" s="56">
        <x:f t="shared" si="17"/>
        <x:v>6973636</x:v>
      </x:c>
      <x:c r="BB31" s="56">
        <x:f t="shared" si="17"/>
        <x:v>7953053</x:v>
      </x:c>
      <x:c r="BC31" s="56">
        <x:f t="shared" si="17"/>
        <x:v>8932470</x:v>
      </x:c>
      <x:c r="BD31" s="56">
        <x:f t="shared" si="17"/>
        <x:v>9911887</x:v>
      </x:c>
      <x:c r="BE31" s="56">
        <x:f t="shared" si="17"/>
        <x:v>10891304</x:v>
      </x:c>
      <x:c r="BF31" s="56">
        <x:f t="shared" si="17"/>
        <x:v>11870721</x:v>
      </x:c>
      <x:c r="BG31" s="56">
        <x:f t="shared" si="17"/>
        <x:v>12850138</x:v>
      </x:c>
      <x:c r="BH31" s="56">
        <x:f t="shared" si="17"/>
        <x:v>13829555</x:v>
      </x:c>
      <x:c r="BI31" s="56">
        <x:f t="shared" si="17"/>
        <x:v>14808972</x:v>
      </x:c>
    </x:row>
    <x:row r="32" ht="15" customHeight="1">
      <x:c r="A32" s="24" t="s">
        <x:v>510</x:v>
      </x:c>
      <x:c r="B32" s="92" t="n">
        <x:f t="shared" ref="B32:AG32" si="18">ROUND(B19+B23+B28,0)</x:f>
        <x:v>1107638</x:v>
      </x:c>
      <x:c r="C32" s="92">
        <x:f t="shared" si="18"/>
        <x:v>-109559</x:v>
      </x:c>
      <x:c r="D32" s="92">
        <x:f t="shared" si="18"/>
        <x:v>-109559</x:v>
      </x:c>
      <x:c r="E32" s="92">
        <x:f t="shared" si="18"/>
        <x:v>-109559</x:v>
      </x:c>
      <x:c r="F32" s="92">
        <x:f t="shared" si="18"/>
        <x:v>-109559</x:v>
      </x:c>
      <x:c r="G32" s="92">
        <x:f t="shared" si="18"/>
        <x:v>-109559</x:v>
      </x:c>
      <x:c r="H32" s="92">
        <x:f t="shared" si="18"/>
        <x:v>-68991</x:v>
      </x:c>
      <x:c r="I32" s="92">
        <x:f t="shared" si="18"/>
        <x:v>-68991</x:v>
      </x:c>
      <x:c r="J32" s="92">
        <x:f t="shared" si="18"/>
        <x:v>-68991</x:v>
      </x:c>
      <x:c r="K32" s="92">
        <x:f t="shared" si="18"/>
        <x:v>-68991</x:v>
      </x:c>
      <x:c r="L32" s="92">
        <x:f t="shared" si="18"/>
        <x:v>-68991</x:v>
      </x:c>
      <x:c r="M32" s="92">
        <x:f t="shared" si="18"/>
        <x:v>-67872</x:v>
      </x:c>
      <x:c r="N32" s="92">
        <x:f t="shared" si="18"/>
        <x:v>807288</x:v>
      </x:c>
      <x:c r="O32" s="92">
        <x:f t="shared" si="18"/>
        <x:v>-69522</x:v>
      </x:c>
      <x:c r="P32" s="92">
        <x:f t="shared" si="18"/>
        <x:v>-69522</x:v>
      </x:c>
      <x:c r="Q32" s="92">
        <x:f t="shared" si="18"/>
        <x:v>-69522</x:v>
      </x:c>
      <x:c r="R32" s="92">
        <x:f t="shared" si="18"/>
        <x:v>-69522</x:v>
      </x:c>
      <x:c r="S32" s="92">
        <x:f t="shared" si="18"/>
        <x:v>-112068</x:v>
      </x:c>
      <x:c r="T32" s="92">
        <x:f t="shared" si="18"/>
        <x:v>-69522</x:v>
      </x:c>
      <x:c r="U32" s="92">
        <x:f t="shared" si="18"/>
        <x:v>-69522</x:v>
      </x:c>
      <x:c r="V32" s="92">
        <x:f t="shared" si="18"/>
        <x:v>-69522</x:v>
      </x:c>
      <x:c r="W32" s="92">
        <x:f t="shared" si="18"/>
        <x:v>-69522</x:v>
      </x:c>
      <x:c r="X32" s="92">
        <x:f t="shared" si="18"/>
        <x:v>-69522</x:v>
      </x:c>
      <x:c r="Y32" s="92">
        <x:f t="shared" si="18"/>
        <x:v>-69522</x:v>
      </x:c>
      <x:c r="Z32" s="92">
        <x:f t="shared" si="18"/>
        <x:v>348612</x:v>
      </x:c>
      <x:c r="AA32" s="92">
        <x:f t="shared" si="18"/>
        <x:v>-29830</x:v>
      </x:c>
      <x:c r="AB32" s="92">
        <x:f t="shared" si="18"/>
        <x:v>-29830</x:v>
      </x:c>
      <x:c r="AC32" s="92">
        <x:f t="shared" si="18"/>
        <x:v>-29830</x:v>
      </x:c>
      <x:c r="AD32" s="92">
        <x:f t="shared" si="18"/>
        <x:v>-29830</x:v>
      </x:c>
      <x:c r="AE32" s="92">
        <x:f t="shared" si="18"/>
        <x:v>-32756</x:v>
      </x:c>
      <x:c r="AF32" s="92">
        <x:f t="shared" si="18"/>
        <x:v>-32756</x:v>
      </x:c>
      <x:c r="AG32" s="92">
        <x:f t="shared" si="18"/>
        <x:v>-32756</x:v>
      </x:c>
      <x:c r="AH32" s="92" t="n">
        <x:f t="shared" ref="AH32:BI32" si="19">ROUND(AH19+AH23+AH28,0)</x:f>
        <x:v>-32756</x:v>
      </x:c>
      <x:c r="AI32" s="92">
        <x:f t="shared" si="19"/>
        <x:v>-32756</x:v>
      </x:c>
      <x:c r="AJ32" s="92">
        <x:f t="shared" si="19"/>
        <x:v>-32756</x:v>
      </x:c>
      <x:c r="AK32" s="92">
        <x:f t="shared" si="19"/>
        <x:v>-32756</x:v>
      </x:c>
      <x:c r="AL32" s="92">
        <x:f t="shared" si="19"/>
        <x:v>0</x:v>
      </x:c>
      <x:c r="AM32" s="92">
        <x:f t="shared" si="19"/>
        <x:v>416835</x:v>
      </x:c>
      <x:c r="AN32" s="92">
        <x:f t="shared" si="19"/>
        <x:v>416835</x:v>
      </x:c>
      <x:c r="AO32" s="92">
        <x:f t="shared" si="19"/>
        <x:v>416835</x:v>
      </x:c>
      <x:c r="AP32" s="92">
        <x:f t="shared" si="19"/>
        <x:v>416835</x:v>
      </x:c>
      <x:c r="AQ32" s="92">
        <x:f t="shared" si="19"/>
        <x:v>416835</x:v>
      </x:c>
      <x:c r="AR32" s="92">
        <x:f t="shared" si="19"/>
        <x:v>416835</x:v>
      </x:c>
      <x:c r="AS32" s="92">
        <x:f t="shared" si="19"/>
        <x:v>416835</x:v>
      </x:c>
      <x:c r="AT32" s="92">
        <x:f t="shared" si="19"/>
        <x:v>416835</x:v>
      </x:c>
      <x:c r="AU32" s="92">
        <x:f t="shared" si="19"/>
        <x:v>416835</x:v>
      </x:c>
      <x:c r="AV32" s="92">
        <x:f t="shared" si="19"/>
        <x:v>416835</x:v>
      </x:c>
      <x:c r="AW32" s="92">
        <x:f t="shared" si="19"/>
        <x:v>416835</x:v>
      </x:c>
      <x:c r="AX32" s="92">
        <x:f t="shared" si="19"/>
        <x:v>238590</x:v>
      </x:c>
      <x:c r="AY32" s="92">
        <x:f t="shared" si="19"/>
        <x:v>979417</x:v>
      </x:c>
      <x:c r="AZ32" s="92">
        <x:f t="shared" si="19"/>
        <x:v>979417</x:v>
      </x:c>
      <x:c r="BA32" s="92">
        <x:f t="shared" si="19"/>
        <x:v>979417</x:v>
      </x:c>
      <x:c r="BB32" s="92">
        <x:f t="shared" si="19"/>
        <x:v>979417</x:v>
      </x:c>
      <x:c r="BC32" s="92">
        <x:f t="shared" si="19"/>
        <x:v>979417</x:v>
      </x:c>
      <x:c r="BD32" s="92">
        <x:f t="shared" si="19"/>
        <x:v>979417</x:v>
      </x:c>
      <x:c r="BE32" s="92">
        <x:f t="shared" si="19"/>
        <x:v>979417</x:v>
      </x:c>
      <x:c r="BF32" s="92">
        <x:f t="shared" si="19"/>
        <x:v>979417</x:v>
      </x:c>
      <x:c r="BG32" s="92">
        <x:f t="shared" si="19"/>
        <x:v>979417</x:v>
      </x:c>
      <x:c r="BH32" s="92">
        <x:f t="shared" si="19"/>
        <x:v>979417</x:v>
      </x:c>
      <x:c r="BI32" s="92">
        <x:f t="shared" si="19"/>
        <x:v>979417</x:v>
      </x:c>
    </x:row>
    <x:row r="33" ht="15" customHeight="1">
      <x:c r="A33" s="24" t="s">
        <x:v>511</x:v>
      </x:c>
      <x:c r="B33" s="92" t="n">
        <x:f t="shared" ref="B33:AG33" si="20">ROUND(B31+B32,0)</x:f>
        <x:v>1107638</x:v>
      </x:c>
      <x:c r="C33" s="92">
        <x:f t="shared" si="20"/>
        <x:v>1042090</x:v>
      </x:c>
      <x:c r="D33" s="92">
        <x:f t="shared" si="20"/>
        <x:v>932531</x:v>
      </x:c>
      <x:c r="E33" s="92">
        <x:f t="shared" si="20"/>
        <x:v>822972</x:v>
      </x:c>
      <x:c r="F33" s="92">
        <x:f t="shared" si="20"/>
        <x:v>713413</x:v>
      </x:c>
      <x:c r="G33" s="92">
        <x:f t="shared" si="20"/>
        <x:v>603854</x:v>
      </x:c>
      <x:c r="H33" s="92">
        <x:f t="shared" si="20"/>
        <x:v>534863</x:v>
      </x:c>
      <x:c r="I33" s="92">
        <x:f t="shared" si="20"/>
        <x:v>465872</x:v>
      </x:c>
      <x:c r="J33" s="92">
        <x:f t="shared" si="20"/>
        <x:v>396881</x:v>
      </x:c>
      <x:c r="K33" s="92">
        <x:f t="shared" si="20"/>
        <x:v>327890</x:v>
      </x:c>
      <x:c r="L33" s="92">
        <x:f t="shared" si="20"/>
        <x:v>258899</x:v>
      </x:c>
      <x:c r="M33" s="92">
        <x:f t="shared" si="20"/>
        <x:v>191027</x:v>
      </x:c>
      <x:c r="N33" s="92">
        <x:f t="shared" si="20"/>
        <x:v>998315</x:v>
      </x:c>
      <x:c r="O33" s="92">
        <x:f t="shared" si="20"/>
        <x:v>928793</x:v>
      </x:c>
      <x:c r="P33" s="92">
        <x:f t="shared" si="20"/>
        <x:v>859271</x:v>
      </x:c>
      <x:c r="Q33" s="92">
        <x:f t="shared" si="20"/>
        <x:v>789749</x:v>
      </x:c>
      <x:c r="R33" s="92">
        <x:f t="shared" si="20"/>
        <x:v>720227</x:v>
      </x:c>
      <x:c r="S33" s="92">
        <x:f t="shared" si="20"/>
        <x:v>608159</x:v>
      </x:c>
      <x:c r="T33" s="92">
        <x:f t="shared" si="20"/>
        <x:v>538637</x:v>
      </x:c>
      <x:c r="U33" s="92">
        <x:f t="shared" si="20"/>
        <x:v>469115</x:v>
      </x:c>
      <x:c r="V33" s="92">
        <x:f t="shared" si="20"/>
        <x:v>399593</x:v>
      </x:c>
      <x:c r="W33" s="92">
        <x:f t="shared" si="20"/>
        <x:v>330071</x:v>
      </x:c>
      <x:c r="X33" s="92">
        <x:f t="shared" si="20"/>
        <x:v>260549</x:v>
      </x:c>
      <x:c r="Y33" s="92">
        <x:f t="shared" si="20"/>
        <x:v>191027</x:v>
      </x:c>
      <x:c r="Z33" s="92">
        <x:f t="shared" si="20"/>
        <x:v>539639</x:v>
      </x:c>
      <x:c r="AA33" s="92">
        <x:f t="shared" si="20"/>
        <x:v>509809</x:v>
      </x:c>
      <x:c r="AB33" s="92">
        <x:f t="shared" si="20"/>
        <x:v>479979</x:v>
      </x:c>
      <x:c r="AC33" s="92">
        <x:f t="shared" si="20"/>
        <x:v>450149</x:v>
      </x:c>
      <x:c r="AD33" s="92">
        <x:f t="shared" si="20"/>
        <x:v>420319</x:v>
      </x:c>
      <x:c r="AE33" s="92">
        <x:f t="shared" si="20"/>
        <x:v>387563</x:v>
      </x:c>
      <x:c r="AF33" s="92">
        <x:f t="shared" si="20"/>
        <x:v>354807</x:v>
      </x:c>
      <x:c r="AG33" s="92">
        <x:f t="shared" si="20"/>
        <x:v>322051</x:v>
      </x:c>
      <x:c r="AH33" s="92" t="n">
        <x:f t="shared" ref="AH33:BI33" si="21">ROUND(AH31+AH32,0)</x:f>
        <x:v>289295</x:v>
      </x:c>
      <x:c r="AI33" s="92">
        <x:f t="shared" si="21"/>
        <x:v>256539</x:v>
      </x:c>
      <x:c r="AJ33" s="92">
        <x:f t="shared" si="21"/>
        <x:v>223783</x:v>
      </x:c>
      <x:c r="AK33" s="92">
        <x:f t="shared" si="21"/>
        <x:v>191027</x:v>
      </x:c>
      <x:c r="AL33" s="92">
        <x:f t="shared" si="21"/>
        <x:v>191027</x:v>
      </x:c>
      <x:c r="AM33" s="92">
        <x:f t="shared" si="21"/>
        <x:v>607862</x:v>
      </x:c>
      <x:c r="AN33" s="92">
        <x:f t="shared" si="21"/>
        <x:v>1024697</x:v>
      </x:c>
      <x:c r="AO33" s="92">
        <x:f t="shared" si="21"/>
        <x:v>1441532</x:v>
      </x:c>
      <x:c r="AP33" s="92">
        <x:f t="shared" si="21"/>
        <x:v>1858367</x:v>
      </x:c>
      <x:c r="AQ33" s="92">
        <x:f t="shared" si="21"/>
        <x:v>2275202</x:v>
      </x:c>
      <x:c r="AR33" s="92">
        <x:f t="shared" si="21"/>
        <x:v>2692037</x:v>
      </x:c>
      <x:c r="AS33" s="92">
        <x:f t="shared" si="21"/>
        <x:v>3108872</x:v>
      </x:c>
      <x:c r="AT33" s="92">
        <x:f t="shared" si="21"/>
        <x:v>3525707</x:v>
      </x:c>
      <x:c r="AU33" s="92">
        <x:f t="shared" si="21"/>
        <x:v>3942542</x:v>
      </x:c>
      <x:c r="AV33" s="92">
        <x:f t="shared" si="21"/>
        <x:v>4359377</x:v>
      </x:c>
      <x:c r="AW33" s="92">
        <x:f t="shared" si="21"/>
        <x:v>4776212</x:v>
      </x:c>
      <x:c r="AX33" s="92">
        <x:f t="shared" si="21"/>
        <x:v>5014802</x:v>
      </x:c>
      <x:c r="AY33" s="92">
        <x:f t="shared" si="21"/>
        <x:v>5994219</x:v>
      </x:c>
      <x:c r="AZ33" s="92">
        <x:f t="shared" si="21"/>
        <x:v>6973636</x:v>
      </x:c>
      <x:c r="BA33" s="92">
        <x:f t="shared" si="21"/>
        <x:v>7953053</x:v>
      </x:c>
      <x:c r="BB33" s="92">
        <x:f t="shared" si="21"/>
        <x:v>8932470</x:v>
      </x:c>
      <x:c r="BC33" s="92">
        <x:f t="shared" si="21"/>
        <x:v>9911887</x:v>
      </x:c>
      <x:c r="BD33" s="92">
        <x:f t="shared" si="21"/>
        <x:v>10891304</x:v>
      </x:c>
      <x:c r="BE33" s="92">
        <x:f t="shared" si="21"/>
        <x:v>11870721</x:v>
      </x:c>
      <x:c r="BF33" s="92">
        <x:f t="shared" si="21"/>
        <x:v>12850138</x:v>
      </x:c>
      <x:c r="BG33" s="92">
        <x:f t="shared" si="21"/>
        <x:v>13829555</x:v>
      </x:c>
      <x:c r="BH33" s="92">
        <x:f t="shared" si="21"/>
        <x:v>14808972</x:v>
      </x:c>
      <x:c r="BI33" s="92">
        <x:f t="shared" si="21"/>
        <x:v>15788389</x:v>
      </x:c>
    </x:row>
    <x:row r="34" ht="15" customHeight="1">
      <x:c r="A34" s="12" t="s">
        <x:v>512</x:v>
      </x:c>
      <x:c r="B34" s="56" t="n">
        <x:f>ROUND(-SUM($B$27:B$27),0)</x:f>
        <x:v>0</x:v>
      </x:c>
      <x:c r="C34" s="56" t="n">
        <x:f t="shared" ref="C34:AH34" si="22">ROUND(-SUM($B$27:C$27),0)</x:f>
        <x:v>0</x:v>
      </x:c>
      <x:c r="D34" s="56">
        <x:f t="shared" si="22"/>
        <x:v>0</x:v>
      </x:c>
      <x:c r="E34" s="56">
        <x:f t="shared" si="22"/>
        <x:v>0</x:v>
      </x:c>
      <x:c r="F34" s="56">
        <x:f t="shared" si="22"/>
        <x:v>0</x:v>
      </x:c>
      <x:c r="G34" s="56">
        <x:f t="shared" si="22"/>
        <x:v>0</x:v>
      </x:c>
      <x:c r="H34" s="56">
        <x:f t="shared" si="22"/>
        <x:v>0</x:v>
      </x:c>
      <x:c r="I34" s="56">
        <x:f t="shared" si="22"/>
        <x:v>0</x:v>
      </x:c>
      <x:c r="J34" s="56">
        <x:f t="shared" si="22"/>
        <x:v>0</x:v>
      </x:c>
      <x:c r="K34" s="56">
        <x:f t="shared" si="22"/>
        <x:v>0</x:v>
      </x:c>
      <x:c r="L34" s="56">
        <x:f t="shared" si="22"/>
        <x:v>0</x:v>
      </x:c>
      <x:c r="M34" s="56">
        <x:f t="shared" si="22"/>
        <x:v>0</x:v>
      </x:c>
      <x:c r="N34" s="56">
        <x:f t="shared" si="22"/>
        <x:v>0</x:v>
      </x:c>
      <x:c r="O34" s="56">
        <x:f t="shared" si="22"/>
        <x:v>0</x:v>
      </x:c>
      <x:c r="P34" s="56">
        <x:f t="shared" si="22"/>
        <x:v>0</x:v>
      </x:c>
      <x:c r="Q34" s="56">
        <x:f t="shared" si="22"/>
        <x:v>0</x:v>
      </x:c>
      <x:c r="R34" s="56">
        <x:f t="shared" si="22"/>
        <x:v>0</x:v>
      </x:c>
      <x:c r="S34" s="56">
        <x:f t="shared" si="22"/>
        <x:v>0</x:v>
      </x:c>
      <x:c r="T34" s="56">
        <x:f t="shared" si="22"/>
        <x:v>0</x:v>
      </x:c>
      <x:c r="U34" s="56">
        <x:f t="shared" si="22"/>
        <x:v>0</x:v>
      </x:c>
      <x:c r="V34" s="56">
        <x:f t="shared" si="22"/>
        <x:v>0</x:v>
      </x:c>
      <x:c r="W34" s="56">
        <x:f t="shared" si="22"/>
        <x:v>0</x:v>
      </x:c>
      <x:c r="X34" s="56">
        <x:f t="shared" si="22"/>
        <x:v>0</x:v>
      </x:c>
      <x:c r="Y34" s="56">
        <x:f t="shared" si="22"/>
        <x:v>0</x:v>
      </x:c>
      <x:c r="Z34" s="56">
        <x:f t="shared" si="22"/>
        <x:v>0</x:v>
      </x:c>
      <x:c r="AA34" s="56">
        <x:f t="shared" si="22"/>
        <x:v>0</x:v>
      </x:c>
      <x:c r="AB34" s="56">
        <x:f t="shared" si="22"/>
        <x:v>0</x:v>
      </x:c>
      <x:c r="AC34" s="56">
        <x:f t="shared" si="22"/>
        <x:v>0</x:v>
      </x:c>
      <x:c r="AD34" s="56">
        <x:f t="shared" si="22"/>
        <x:v>319095</x:v>
      </x:c>
      <x:c r="AE34" s="56">
        <x:f t="shared" si="22"/>
        <x:v>319095</x:v>
      </x:c>
      <x:c r="AF34" s="56">
        <x:f t="shared" si="22"/>
        <x:v>319095</x:v>
      </x:c>
      <x:c r="AG34" s="56">
        <x:f t="shared" si="22"/>
        <x:v>319095</x:v>
      </x:c>
      <x:c r="AH34" s="56">
        <x:f t="shared" si="22"/>
        <x:v>319095</x:v>
      </x:c>
      <x:c r="AI34" s="56" t="n">
        <x:f t="shared" ref="AI34:BI34" si="23">ROUND(-SUM($B$27:AI$27),0)</x:f>
        <x:v>319095</x:v>
      </x:c>
      <x:c r="AJ34" s="56">
        <x:f t="shared" si="23"/>
        <x:v>319095</x:v>
      </x:c>
      <x:c r="AK34" s="56">
        <x:f t="shared" si="23"/>
        <x:v>319095</x:v>
      </x:c>
      <x:c r="AL34" s="56">
        <x:f t="shared" si="23"/>
        <x:v>319095</x:v>
      </x:c>
      <x:c r="AM34" s="56">
        <x:f t="shared" si="23"/>
        <x:v>319095</x:v>
      </x:c>
      <x:c r="AN34" s="56">
        <x:f t="shared" si="23"/>
        <x:v>319095</x:v>
      </x:c>
      <x:c r="AO34" s="56">
        <x:f t="shared" si="23"/>
        <x:v>319095</x:v>
      </x:c>
      <x:c r="AP34" s="56">
        <x:f t="shared" si="23"/>
        <x:v>319095</x:v>
      </x:c>
      <x:c r="AQ34" s="56">
        <x:f t="shared" si="23"/>
        <x:v>319095</x:v>
      </x:c>
      <x:c r="AR34" s="56">
        <x:f t="shared" si="23"/>
        <x:v>319095</x:v>
      </x:c>
      <x:c r="AS34" s="56">
        <x:f t="shared" si="23"/>
        <x:v>319095</x:v>
      </x:c>
      <x:c r="AT34" s="56">
        <x:f t="shared" si="23"/>
        <x:v>319095</x:v>
      </x:c>
      <x:c r="AU34" s="56">
        <x:f t="shared" si="23"/>
        <x:v>319095</x:v>
      </x:c>
      <x:c r="AV34" s="56">
        <x:f t="shared" si="23"/>
        <x:v>319095</x:v>
      </x:c>
      <x:c r="AW34" s="56">
        <x:f t="shared" si="23"/>
        <x:v>319095</x:v>
      </x:c>
      <x:c r="AX34" s="56">
        <x:f t="shared" si="23"/>
        <x:v>319095</x:v>
      </x:c>
      <x:c r="AY34" s="56">
        <x:f t="shared" si="23"/>
        <x:v>319095</x:v>
      </x:c>
      <x:c r="AZ34" s="56">
        <x:f t="shared" si="23"/>
        <x:v>319095</x:v>
      </x:c>
      <x:c r="BA34" s="56">
        <x:f t="shared" si="23"/>
        <x:v>319095</x:v>
      </x:c>
      <x:c r="BB34" s="56">
        <x:f t="shared" si="23"/>
        <x:v>319095</x:v>
      </x:c>
      <x:c r="BC34" s="56">
        <x:f t="shared" si="23"/>
        <x:v>319095</x:v>
      </x:c>
      <x:c r="BD34" s="56">
        <x:f t="shared" si="23"/>
        <x:v>319095</x:v>
      </x:c>
      <x:c r="BE34" s="56">
        <x:f t="shared" si="23"/>
        <x:v>319095</x:v>
      </x:c>
      <x:c r="BF34" s="56">
        <x:f t="shared" si="23"/>
        <x:v>319095</x:v>
      </x:c>
      <x:c r="BG34" s="56">
        <x:f t="shared" si="23"/>
        <x:v>319095</x:v>
      </x:c>
      <x:c r="BH34" s="56">
        <x:f t="shared" si="23"/>
        <x:v>319095</x:v>
      </x:c>
      <x:c r="BI34" s="56">
        <x:f t="shared" si="23"/>
        <x:v>319095</x:v>
      </x:c>
    </x:row>
    <x:row r="35" ht="15" customHeight="1">
      <x:c r="A35" s="24" t="s">
        <x:v>513</x:v>
      </x:c>
      <x:c r="B35" s="92" t="n">
        <x:f t="shared" ref="B35:AG35" si="24">ROUND(B33+B34,0)</x:f>
        <x:v>1107638</x:v>
      </x:c>
      <x:c r="C35" s="92">
        <x:f t="shared" si="24"/>
        <x:v>1042090</x:v>
      </x:c>
      <x:c r="D35" s="92">
        <x:f t="shared" si="24"/>
        <x:v>932531</x:v>
      </x:c>
      <x:c r="E35" s="92">
        <x:f t="shared" si="24"/>
        <x:v>822972</x:v>
      </x:c>
      <x:c r="F35" s="92">
        <x:f t="shared" si="24"/>
        <x:v>713413</x:v>
      </x:c>
      <x:c r="G35" s="92">
        <x:f t="shared" si="24"/>
        <x:v>603854</x:v>
      </x:c>
      <x:c r="H35" s="92">
        <x:f t="shared" si="24"/>
        <x:v>534863</x:v>
      </x:c>
      <x:c r="I35" s="92">
        <x:f t="shared" si="24"/>
        <x:v>465872</x:v>
      </x:c>
      <x:c r="J35" s="92">
        <x:f t="shared" si="24"/>
        <x:v>396881</x:v>
      </x:c>
      <x:c r="K35" s="92">
        <x:f t="shared" si="24"/>
        <x:v>327890</x:v>
      </x:c>
      <x:c r="L35" s="92">
        <x:f t="shared" si="24"/>
        <x:v>258899</x:v>
      </x:c>
      <x:c r="M35" s="92">
        <x:f t="shared" si="24"/>
        <x:v>191027</x:v>
      </x:c>
      <x:c r="N35" s="92">
        <x:f t="shared" si="24"/>
        <x:v>998315</x:v>
      </x:c>
      <x:c r="O35" s="92">
        <x:f t="shared" si="24"/>
        <x:v>928793</x:v>
      </x:c>
      <x:c r="P35" s="92">
        <x:f t="shared" si="24"/>
        <x:v>859271</x:v>
      </x:c>
      <x:c r="Q35" s="92">
        <x:f t="shared" si="24"/>
        <x:v>789749</x:v>
      </x:c>
      <x:c r="R35" s="92">
        <x:f t="shared" si="24"/>
        <x:v>720227</x:v>
      </x:c>
      <x:c r="S35" s="92">
        <x:f t="shared" si="24"/>
        <x:v>608159</x:v>
      </x:c>
      <x:c r="T35" s="92">
        <x:f t="shared" si="24"/>
        <x:v>538637</x:v>
      </x:c>
      <x:c r="U35" s="92">
        <x:f t="shared" si="24"/>
        <x:v>469115</x:v>
      </x:c>
      <x:c r="V35" s="92">
        <x:f t="shared" si="24"/>
        <x:v>399593</x:v>
      </x:c>
      <x:c r="W35" s="92">
        <x:f t="shared" si="24"/>
        <x:v>330071</x:v>
      </x:c>
      <x:c r="X35" s="92">
        <x:f t="shared" si="24"/>
        <x:v>260549</x:v>
      </x:c>
      <x:c r="Y35" s="92">
        <x:f t="shared" si="24"/>
        <x:v>191027</x:v>
      </x:c>
      <x:c r="Z35" s="92">
        <x:f t="shared" si="24"/>
        <x:v>539639</x:v>
      </x:c>
      <x:c r="AA35" s="92">
        <x:f t="shared" si="24"/>
        <x:v>509809</x:v>
      </x:c>
      <x:c r="AB35" s="92">
        <x:f t="shared" si="24"/>
        <x:v>479979</x:v>
      </x:c>
      <x:c r="AC35" s="92">
        <x:f t="shared" si="24"/>
        <x:v>450149</x:v>
      </x:c>
      <x:c r="AD35" s="92">
        <x:f t="shared" si="24"/>
        <x:v>739414</x:v>
      </x:c>
      <x:c r="AE35" s="92">
        <x:f t="shared" si="24"/>
        <x:v>706658</x:v>
      </x:c>
      <x:c r="AF35" s="92">
        <x:f t="shared" si="24"/>
        <x:v>673902</x:v>
      </x:c>
      <x:c r="AG35" s="92">
        <x:f t="shared" si="24"/>
        <x:v>641146</x:v>
      </x:c>
      <x:c r="AH35" s="92" t="n">
        <x:f t="shared" ref="AH35:BI35" si="25">ROUND(AH33+AH34,0)</x:f>
        <x:v>608390</x:v>
      </x:c>
      <x:c r="AI35" s="92">
        <x:f t="shared" si="25"/>
        <x:v>575634</x:v>
      </x:c>
      <x:c r="AJ35" s="92">
        <x:f t="shared" si="25"/>
        <x:v>542878</x:v>
      </x:c>
      <x:c r="AK35" s="92">
        <x:f t="shared" si="25"/>
        <x:v>510122</x:v>
      </x:c>
      <x:c r="AL35" s="92">
        <x:f t="shared" si="25"/>
        <x:v>510122</x:v>
      </x:c>
      <x:c r="AM35" s="92">
        <x:f t="shared" si="25"/>
        <x:v>926957</x:v>
      </x:c>
      <x:c r="AN35" s="92">
        <x:f t="shared" si="25"/>
        <x:v>1343792</x:v>
      </x:c>
      <x:c r="AO35" s="92">
        <x:f t="shared" si="25"/>
        <x:v>1760627</x:v>
      </x:c>
      <x:c r="AP35" s="92">
        <x:f t="shared" si="25"/>
        <x:v>2177462</x:v>
      </x:c>
      <x:c r="AQ35" s="92">
        <x:f t="shared" si="25"/>
        <x:v>2594297</x:v>
      </x:c>
      <x:c r="AR35" s="92">
        <x:f t="shared" si="25"/>
        <x:v>3011132</x:v>
      </x:c>
      <x:c r="AS35" s="92">
        <x:f t="shared" si="25"/>
        <x:v>3427967</x:v>
      </x:c>
      <x:c r="AT35" s="92">
        <x:f t="shared" si="25"/>
        <x:v>3844802</x:v>
      </x:c>
      <x:c r="AU35" s="92">
        <x:f t="shared" si="25"/>
        <x:v>4261637</x:v>
      </x:c>
      <x:c r="AV35" s="92">
        <x:f t="shared" si="25"/>
        <x:v>4678472</x:v>
      </x:c>
      <x:c r="AW35" s="92">
        <x:f t="shared" si="25"/>
        <x:v>5095307</x:v>
      </x:c>
      <x:c r="AX35" s="92">
        <x:f t="shared" si="25"/>
        <x:v>5333897</x:v>
      </x:c>
      <x:c r="AY35" s="92">
        <x:f t="shared" si="25"/>
        <x:v>6313314</x:v>
      </x:c>
      <x:c r="AZ35" s="92">
        <x:f t="shared" si="25"/>
        <x:v>7292731</x:v>
      </x:c>
      <x:c r="BA35" s="92">
        <x:f t="shared" si="25"/>
        <x:v>8272148</x:v>
      </x:c>
      <x:c r="BB35" s="92">
        <x:f t="shared" si="25"/>
        <x:v>9251565</x:v>
      </x:c>
      <x:c r="BC35" s="92">
        <x:f t="shared" si="25"/>
        <x:v>10230982</x:v>
      </x:c>
      <x:c r="BD35" s="92">
        <x:f t="shared" si="25"/>
        <x:v>11210399</x:v>
      </x:c>
      <x:c r="BE35" s="92">
        <x:f t="shared" si="25"/>
        <x:v>12189816</x:v>
      </x:c>
      <x:c r="BF35" s="92">
        <x:f t="shared" si="25"/>
        <x:v>13169233</x:v>
      </x:c>
      <x:c r="BG35" s="92">
        <x:f t="shared" si="25"/>
        <x:v>14148650</x:v>
      </x:c>
      <x:c r="BH35" s="92">
        <x:f t="shared" si="25"/>
        <x:v>15128067</x:v>
      </x:c>
      <x:c r="BI35" s="92">
        <x:f t="shared" si="25"/>
        <x:v>16107484</x:v>
      </x:c>
    </x:row>
    <x:row r="36" ht="8.100000381469727" customHeight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2"/>
      <x:c r="AE36" s="42"/>
      <x:c r="AF36" s="42"/>
      <x:c r="AG36" s="42"/>
      <x:c r="AH36" s="42"/>
      <x:c r="AI36" s="42"/>
      <x:c r="AJ36" s="42"/>
      <x:c r="AK36" s="42"/>
      <x:c r="AL36" s="42"/>
      <x:c r="AM36" s="42"/>
      <x:c r="AN36" s="42"/>
      <x:c r="AO36" s="42"/>
      <x:c r="AP36" s="42"/>
      <x:c r="AQ36" s="42"/>
      <x:c r="AR36" s="42"/>
      <x:c r="AS36" s="42"/>
      <x:c r="AT36" s="42"/>
      <x:c r="AU36" s="42"/>
      <x:c r="AV36" s="42"/>
      <x:c r="AW36" s="42"/>
      <x:c r="AX36" s="42"/>
      <x:c r="AY36" s="42"/>
      <x:c r="AZ36" s="42"/>
      <x:c r="BA36" s="42"/>
      <x:c r="BB36" s="42"/>
      <x:c r="BC36" s="42"/>
      <x:c r="BD36" s="42"/>
      <x:c r="BE36" s="42"/>
      <x:c r="BF36" s="42"/>
      <x:c r="BG36" s="42"/>
      <x:c r="BH36" s="42"/>
      <x:c r="BI36" s="42"/>
    </x:row>
    <x:row r="37" ht="18.950000762939453" customHeight="1">
      <x:c r="A37" s="5" t="s">
        <x:v>514</x:v>
      </x:c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5"/>
      <x:c r="AM37" s="5"/>
      <x:c r="AN37" s="5"/>
      <x:c r="AO37" s="5"/>
      <x:c r="AP37" s="5"/>
      <x:c r="AQ37" s="5"/>
      <x:c r="AR37" s="5"/>
      <x:c r="AS37" s="5"/>
      <x:c r="AT37" s="5"/>
      <x:c r="AU37" s="5"/>
      <x:c r="AV37" s="5"/>
      <x:c r="AW37" s="5"/>
      <x:c r="AX37" s="5"/>
      <x:c r="AY37" s="5"/>
      <x:c r="AZ37" s="5"/>
      <x:c r="BA37" s="5"/>
      <x:c r="BB37" s="5"/>
      <x:c r="BC37" s="5"/>
      <x:c r="BD37" s="5"/>
      <x:c r="BE37" s="5"/>
      <x:c r="BF37" s="5"/>
      <x:c r="BG37" s="5"/>
      <x:c r="BH37" s="5"/>
      <x:c r="BI37" s="5"/>
    </x:row>
    <x:row r="38" ht="15" customHeight="1">
      <x:c r="A38" s="24" t="s">
        <x:v>515</x:v>
      </x:c>
      <x:c r="B38" s="92" t="n">
        <x:f>ROUND(B19+B23,0)</x:f>
        <x:v>-152105</x:v>
      </x:c>
      <x:c r="C38" s="92" t="n">
        <x:f t="shared" ref="C38:AH38" si="26">ROUND(B38+C19+C23,0)</x:f>
        <x:v>-261664</x:v>
      </x:c>
      <x:c r="D38" s="92">
        <x:f t="shared" si="26"/>
        <x:v>-326723</x:v>
      </x:c>
      <x:c r="E38" s="92">
        <x:f t="shared" si="26"/>
        <x:v>-436282</x:v>
      </x:c>
      <x:c r="F38" s="92">
        <x:f t="shared" si="26"/>
        <x:v>-545841</x:v>
      </x:c>
      <x:c r="G38" s="92">
        <x:f t="shared" si="26"/>
        <x:v>-655400</x:v>
      </x:c>
      <x:c r="H38" s="92">
        <x:f t="shared" si="26"/>
        <x:v>-724391</x:v>
      </x:c>
      <x:c r="I38" s="92">
        <x:f t="shared" si="26"/>
        <x:v>-793382</x:v>
      </x:c>
      <x:c r="J38" s="92">
        <x:f t="shared" si="26"/>
        <x:v>-862373</x:v>
      </x:c>
      <x:c r="K38" s="92">
        <x:f t="shared" si="26"/>
        <x:v>-931364</x:v>
      </x:c>
      <x:c r="L38" s="92">
        <x:f t="shared" si="26"/>
        <x:v>-1000355</x:v>
      </x:c>
      <x:c r="M38" s="92">
        <x:f t="shared" si="26"/>
        <x:v>-1068227</x:v>
      </x:c>
      <x:c r="N38" s="92">
        <x:f t="shared" si="26"/>
        <x:v>-1169012</x:v>
      </x:c>
      <x:c r="O38" s="92">
        <x:f t="shared" si="26"/>
        <x:v>-1238534</x:v>
      </x:c>
      <x:c r="P38" s="92">
        <x:f t="shared" si="26"/>
        <x:v>-1308056</x:v>
      </x:c>
      <x:c r="Q38" s="92">
        <x:f t="shared" si="26"/>
        <x:v>-1377578</x:v>
      </x:c>
      <x:c r="R38" s="92">
        <x:f t="shared" si="26"/>
        <x:v>-1447100</x:v>
      </x:c>
      <x:c r="S38" s="92">
        <x:f t="shared" si="26"/>
        <x:v>-1559168</x:v>
      </x:c>
      <x:c r="T38" s="92">
        <x:f t="shared" si="26"/>
        <x:v>-1628690</x:v>
      </x:c>
      <x:c r="U38" s="92">
        <x:f t="shared" si="26"/>
        <x:v>-1698212</x:v>
      </x:c>
      <x:c r="V38" s="92">
        <x:f t="shared" si="26"/>
        <x:v>-1767734</x:v>
      </x:c>
      <x:c r="W38" s="92">
        <x:f t="shared" si="26"/>
        <x:v>-1837256</x:v>
      </x:c>
      <x:c r="X38" s="92">
        <x:f t="shared" si="26"/>
        <x:v>-1906778</x:v>
      </x:c>
      <x:c r="Y38" s="92">
        <x:f t="shared" si="26"/>
        <x:v>-1976300</x:v>
      </x:c>
      <x:c r="Z38" s="92">
        <x:f t="shared" si="26"/>
        <x:v>-2088077</x:v>
      </x:c>
      <x:c r="AA38" s="92">
        <x:f t="shared" si="26"/>
        <x:v>-2117907</x:v>
      </x:c>
      <x:c r="AB38" s="92">
        <x:f t="shared" si="26"/>
        <x:v>-2147737</x:v>
      </x:c>
      <x:c r="AC38" s="92">
        <x:f t="shared" si="26"/>
        <x:v>-2177567</x:v>
      </x:c>
      <x:c r="AD38" s="92">
        <x:f t="shared" si="26"/>
        <x:v>-2207397</x:v>
      </x:c>
      <x:c r="AE38" s="92">
        <x:f t="shared" si="26"/>
        <x:v>-2240153</x:v>
      </x:c>
      <x:c r="AF38" s="92">
        <x:f t="shared" si="26"/>
        <x:v>-2272909</x:v>
      </x:c>
      <x:c r="AG38" s="92">
        <x:f t="shared" si="26"/>
        <x:v>-2305665</x:v>
      </x:c>
      <x:c r="AH38" s="92">
        <x:f t="shared" si="26"/>
        <x:v>-2338421</x:v>
      </x:c>
      <x:c r="AI38" s="92" t="n">
        <x:f t="shared" ref="AI38:BI38" si="27">ROUND(AH38+AI19+AI23,0)</x:f>
        <x:v>-2371177</x:v>
      </x:c>
      <x:c r="AJ38" s="92">
        <x:f t="shared" si="27"/>
        <x:v>-2403933</x:v>
      </x:c>
      <x:c r="AK38" s="92">
        <x:f t="shared" si="27"/>
        <x:v>-2436689</x:v>
      </x:c>
      <x:c r="AL38" s="92">
        <x:f t="shared" si="27"/>
        <x:v>-2649419</x:v>
      </x:c>
      <x:c r="AM38" s="92">
        <x:f t="shared" si="27"/>
        <x:v>-2232584</x:v>
      </x:c>
      <x:c r="AN38" s="92">
        <x:f t="shared" si="27"/>
        <x:v>-1815749</x:v>
      </x:c>
      <x:c r="AO38" s="92">
        <x:f t="shared" si="27"/>
        <x:v>-1398914</x:v>
      </x:c>
      <x:c r="AP38" s="92">
        <x:f t="shared" si="27"/>
        <x:v>-982079</x:v>
      </x:c>
      <x:c r="AQ38" s="92">
        <x:f t="shared" si="27"/>
        <x:v>-565244</x:v>
      </x:c>
      <x:c r="AR38" s="92">
        <x:f t="shared" si="27"/>
        <x:v>-148409</x:v>
      </x:c>
      <x:c r="AS38" s="92">
        <x:f t="shared" si="27"/>
        <x:v>268426</x:v>
      </x:c>
      <x:c r="AT38" s="92">
        <x:f t="shared" si="27"/>
        <x:v>685261</x:v>
      </x:c>
      <x:c r="AU38" s="92">
        <x:f t="shared" si="27"/>
        <x:v>1102096</x:v>
      </x:c>
      <x:c r="AV38" s="92">
        <x:f t="shared" si="27"/>
        <x:v>1518931</x:v>
      </x:c>
      <x:c r="AW38" s="92">
        <x:f t="shared" si="27"/>
        <x:v>1935766</x:v>
      </x:c>
      <x:c r="AX38" s="92">
        <x:f t="shared" si="27"/>
        <x:v>2174356</x:v>
      </x:c>
      <x:c r="AY38" s="92">
        <x:f t="shared" si="27"/>
        <x:v>3153773</x:v>
      </x:c>
      <x:c r="AZ38" s="92">
        <x:f t="shared" si="27"/>
        <x:v>4133190</x:v>
      </x:c>
      <x:c r="BA38" s="92">
        <x:f t="shared" si="27"/>
        <x:v>5112607</x:v>
      </x:c>
      <x:c r="BB38" s="92">
        <x:f t="shared" si="27"/>
        <x:v>6092024</x:v>
      </x:c>
      <x:c r="BC38" s="92">
        <x:f t="shared" si="27"/>
        <x:v>7071441</x:v>
      </x:c>
      <x:c r="BD38" s="92">
        <x:f t="shared" si="27"/>
        <x:v>8050858</x:v>
      </x:c>
      <x:c r="BE38" s="92">
        <x:f t="shared" si="27"/>
        <x:v>9030275</x:v>
      </x:c>
      <x:c r="BF38" s="92">
        <x:f t="shared" si="27"/>
        <x:v>10009692</x:v>
      </x:c>
      <x:c r="BG38" s="92">
        <x:f t="shared" si="27"/>
        <x:v>10989109</x:v>
      </x:c>
      <x:c r="BH38" s="92">
        <x:f t="shared" si="27"/>
        <x:v>11968526</x:v>
      </x:c>
      <x:c r="BI38" s="92">
        <x:f t="shared" si="27"/>
        <x:v>12947943</x:v>
      </x:c>
      <x:c r="BK38" s="33" t="s">
        <x:v>516</x:v>
      </x:c>
    </x:row>
    <x:row r="39" ht="15" customHeight="1">
      <x:c r="A39" s="12" t="s">
        <x:v>517</x:v>
      </x:c>
      <x:c r="B39" s="102" t="str">
        <x:f t="shared" ref="B39:AG39" si="28">IF(B38&gt;=0,"Reached","Not yet")</x:f>
        <x:v>Not yet</x:v>
      </x:c>
      <x:c r="C39" s="102" t="str">
        <x:f t="shared" si="28"/>
        <x:v>Not yet</x:v>
      </x:c>
      <x:c r="D39" s="102" t="str">
        <x:f t="shared" si="28"/>
        <x:v>Not yet</x:v>
      </x:c>
      <x:c r="E39" s="102" t="str">
        <x:f t="shared" si="28"/>
        <x:v>Not yet</x:v>
      </x:c>
      <x:c r="F39" s="102" t="str">
        <x:f t="shared" si="28"/>
        <x:v>Not yet</x:v>
      </x:c>
      <x:c r="G39" s="102" t="str">
        <x:f t="shared" si="28"/>
        <x:v>Not yet</x:v>
      </x:c>
      <x:c r="H39" s="102" t="str">
        <x:f t="shared" si="28"/>
        <x:v>Not yet</x:v>
      </x:c>
      <x:c r="I39" s="102" t="str">
        <x:f t="shared" si="28"/>
        <x:v>Not yet</x:v>
      </x:c>
      <x:c r="J39" s="102" t="str">
        <x:f t="shared" si="28"/>
        <x:v>Not yet</x:v>
      </x:c>
      <x:c r="K39" s="102" t="str">
        <x:f t="shared" si="28"/>
        <x:v>Not yet</x:v>
      </x:c>
      <x:c r="L39" s="102" t="str">
        <x:f t="shared" si="28"/>
        <x:v>Not yet</x:v>
      </x:c>
      <x:c r="M39" s="102" t="str">
        <x:f t="shared" si="28"/>
        <x:v>Not yet</x:v>
      </x:c>
      <x:c r="N39" s="102" t="str">
        <x:f t="shared" si="28"/>
        <x:v>Not yet</x:v>
      </x:c>
      <x:c r="O39" s="102" t="str">
        <x:f t="shared" si="28"/>
        <x:v>Not yet</x:v>
      </x:c>
      <x:c r="P39" s="102" t="str">
        <x:f t="shared" si="28"/>
        <x:v>Not yet</x:v>
      </x:c>
      <x:c r="Q39" s="102" t="str">
        <x:f t="shared" si="28"/>
        <x:v>Not yet</x:v>
      </x:c>
      <x:c r="R39" s="102" t="str">
        <x:f t="shared" si="28"/>
        <x:v>Not yet</x:v>
      </x:c>
      <x:c r="S39" s="102" t="str">
        <x:f t="shared" si="28"/>
        <x:v>Not yet</x:v>
      </x:c>
      <x:c r="T39" s="102" t="str">
        <x:f t="shared" si="28"/>
        <x:v>Not yet</x:v>
      </x:c>
      <x:c r="U39" s="102" t="str">
        <x:f t="shared" si="28"/>
        <x:v>Not yet</x:v>
      </x:c>
      <x:c r="V39" s="102" t="str">
        <x:f t="shared" si="28"/>
        <x:v>Not yet</x:v>
      </x:c>
      <x:c r="W39" s="102" t="str">
        <x:f t="shared" si="28"/>
        <x:v>Not yet</x:v>
      </x:c>
      <x:c r="X39" s="102" t="str">
        <x:f t="shared" si="28"/>
        <x:v>Not yet</x:v>
      </x:c>
      <x:c r="Y39" s="102" t="str">
        <x:f t="shared" si="28"/>
        <x:v>Not yet</x:v>
      </x:c>
      <x:c r="Z39" s="102" t="str">
        <x:f t="shared" si="28"/>
        <x:v>Not yet</x:v>
      </x:c>
      <x:c r="AA39" s="102" t="str">
        <x:f t="shared" si="28"/>
        <x:v>Not yet</x:v>
      </x:c>
      <x:c r="AB39" s="102" t="str">
        <x:f t="shared" si="28"/>
        <x:v>Not yet</x:v>
      </x:c>
      <x:c r="AC39" s="102" t="str">
        <x:f t="shared" si="28"/>
        <x:v>Not yet</x:v>
      </x:c>
      <x:c r="AD39" s="102" t="str">
        <x:f t="shared" si="28"/>
        <x:v>Not yet</x:v>
      </x:c>
      <x:c r="AE39" s="102" t="str">
        <x:f t="shared" si="28"/>
        <x:v>Not yet</x:v>
      </x:c>
      <x:c r="AF39" s="102" t="str">
        <x:f t="shared" si="28"/>
        <x:v>Not yet</x:v>
      </x:c>
      <x:c r="AG39" s="102" t="str">
        <x:f t="shared" si="28"/>
        <x:v>Not yet</x:v>
      </x:c>
      <x:c r="AH39" s="102" t="str">
        <x:f t="shared" ref="AH39:BI39" si="29">IF(AH38&gt;=0,"Reached","Not yet")</x:f>
        <x:v>Not yet</x:v>
      </x:c>
      <x:c r="AI39" s="102" t="str">
        <x:f t="shared" si="29"/>
        <x:v>Not yet</x:v>
      </x:c>
      <x:c r="AJ39" s="102" t="str">
        <x:f t="shared" si="29"/>
        <x:v>Not yet</x:v>
      </x:c>
      <x:c r="AK39" s="102" t="str">
        <x:f t="shared" si="29"/>
        <x:v>Not yet</x:v>
      </x:c>
      <x:c r="AL39" s="102" t="str">
        <x:f t="shared" si="29"/>
        <x:v>Not yet</x:v>
      </x:c>
      <x:c r="AM39" s="102" t="str">
        <x:f t="shared" si="29"/>
        <x:v>Not yet</x:v>
      </x:c>
      <x:c r="AN39" s="102" t="str">
        <x:f t="shared" si="29"/>
        <x:v>Not yet</x:v>
      </x:c>
      <x:c r="AO39" s="102" t="str">
        <x:f t="shared" si="29"/>
        <x:v>Not yet</x:v>
      </x:c>
      <x:c r="AP39" s="102" t="str">
        <x:f t="shared" si="29"/>
        <x:v>Not yet</x:v>
      </x:c>
      <x:c r="AQ39" s="102" t="str">
        <x:f t="shared" si="29"/>
        <x:v>Not yet</x:v>
      </x:c>
      <x:c r="AR39" s="102" t="str">
        <x:f t="shared" si="29"/>
        <x:v>Not yet</x:v>
      </x:c>
      <x:c r="AS39" s="102" t="str">
        <x:f t="shared" si="29"/>
        <x:v>Reached</x:v>
      </x:c>
      <x:c r="AT39" s="102" t="str">
        <x:f t="shared" si="29"/>
        <x:v>Reached</x:v>
      </x:c>
      <x:c r="AU39" s="102" t="str">
        <x:f t="shared" si="29"/>
        <x:v>Reached</x:v>
      </x:c>
      <x:c r="AV39" s="102" t="str">
        <x:f t="shared" si="29"/>
        <x:v>Reached</x:v>
      </x:c>
      <x:c r="AW39" s="102" t="str">
        <x:f t="shared" si="29"/>
        <x:v>Reached</x:v>
      </x:c>
      <x:c r="AX39" s="102" t="str">
        <x:f t="shared" si="29"/>
        <x:v>Reached</x:v>
      </x:c>
      <x:c r="AY39" s="102" t="str">
        <x:f t="shared" si="29"/>
        <x:v>Reached</x:v>
      </x:c>
      <x:c r="AZ39" s="102" t="str">
        <x:f t="shared" si="29"/>
        <x:v>Reached</x:v>
      </x:c>
      <x:c r="BA39" s="102" t="str">
        <x:f t="shared" si="29"/>
        <x:v>Reached</x:v>
      </x:c>
      <x:c r="BB39" s="102" t="str">
        <x:f t="shared" si="29"/>
        <x:v>Reached</x:v>
      </x:c>
      <x:c r="BC39" s="102" t="str">
        <x:f t="shared" si="29"/>
        <x:v>Reached</x:v>
      </x:c>
      <x:c r="BD39" s="102" t="str">
        <x:f t="shared" si="29"/>
        <x:v>Reached</x:v>
      </x:c>
      <x:c r="BE39" s="102" t="str">
        <x:f t="shared" si="29"/>
        <x:v>Reached</x:v>
      </x:c>
      <x:c r="BF39" s="102" t="str">
        <x:f t="shared" si="29"/>
        <x:v>Reached</x:v>
      </x:c>
      <x:c r="BG39" s="102" t="str">
        <x:f t="shared" si="29"/>
        <x:v>Reached</x:v>
      </x:c>
      <x:c r="BH39" s="102" t="str">
        <x:f t="shared" si="29"/>
        <x:v>Reached</x:v>
      </x:c>
      <x:c r="BI39" s="102" t="str">
        <x:f t="shared" si="29"/>
        <x:v>Reached</x:v>
      </x:c>
    </x:row>
    <x:row r="40" ht="15" customHeight="1">
      <x:c r="A40" s="12" t="s">
        <x:v>518</x:v>
      </x:c>
      <x:c r="B40" s="102" t="str">
        <x:f t="shared" ref="B40:AG40" si="30">IF(B33&lt;0,"Cash shortfall","Funded")</x:f>
        <x:v>Funded</x:v>
      </x:c>
      <x:c r="C40" s="102" t="str">
        <x:f t="shared" si="30"/>
        <x:v>Funded</x:v>
      </x:c>
      <x:c r="D40" s="102" t="str">
        <x:f t="shared" si="30"/>
        <x:v>Funded</x:v>
      </x:c>
      <x:c r="E40" s="102" t="str">
        <x:f t="shared" si="30"/>
        <x:v>Funded</x:v>
      </x:c>
      <x:c r="F40" s="102" t="str">
        <x:f t="shared" si="30"/>
        <x:v>Funded</x:v>
      </x:c>
      <x:c r="G40" s="102" t="str">
        <x:f t="shared" si="30"/>
        <x:v>Funded</x:v>
      </x:c>
      <x:c r="H40" s="102" t="str">
        <x:f t="shared" si="30"/>
        <x:v>Funded</x:v>
      </x:c>
      <x:c r="I40" s="102" t="str">
        <x:f t="shared" si="30"/>
        <x:v>Funded</x:v>
      </x:c>
      <x:c r="J40" s="102" t="str">
        <x:f t="shared" si="30"/>
        <x:v>Funded</x:v>
      </x:c>
      <x:c r="K40" s="102" t="str">
        <x:f t="shared" si="30"/>
        <x:v>Funded</x:v>
      </x:c>
      <x:c r="L40" s="102" t="str">
        <x:f t="shared" si="30"/>
        <x:v>Funded</x:v>
      </x:c>
      <x:c r="M40" s="102" t="str">
        <x:f t="shared" si="30"/>
        <x:v>Funded</x:v>
      </x:c>
      <x:c r="N40" s="102" t="str">
        <x:f t="shared" si="30"/>
        <x:v>Funded</x:v>
      </x:c>
      <x:c r="O40" s="102" t="str">
        <x:f t="shared" si="30"/>
        <x:v>Funded</x:v>
      </x:c>
      <x:c r="P40" s="102" t="str">
        <x:f t="shared" si="30"/>
        <x:v>Funded</x:v>
      </x:c>
      <x:c r="Q40" s="102" t="str">
        <x:f t="shared" si="30"/>
        <x:v>Funded</x:v>
      </x:c>
      <x:c r="R40" s="102" t="str">
        <x:f t="shared" si="30"/>
        <x:v>Funded</x:v>
      </x:c>
      <x:c r="S40" s="102" t="str">
        <x:f t="shared" si="30"/>
        <x:v>Funded</x:v>
      </x:c>
      <x:c r="T40" s="102" t="str">
        <x:f t="shared" si="30"/>
        <x:v>Funded</x:v>
      </x:c>
      <x:c r="U40" s="102" t="str">
        <x:f t="shared" si="30"/>
        <x:v>Funded</x:v>
      </x:c>
      <x:c r="V40" s="102" t="str">
        <x:f t="shared" si="30"/>
        <x:v>Funded</x:v>
      </x:c>
      <x:c r="W40" s="102" t="str">
        <x:f t="shared" si="30"/>
        <x:v>Funded</x:v>
      </x:c>
      <x:c r="X40" s="102" t="str">
        <x:f t="shared" si="30"/>
        <x:v>Funded</x:v>
      </x:c>
      <x:c r="Y40" s="102" t="str">
        <x:f t="shared" si="30"/>
        <x:v>Funded</x:v>
      </x:c>
      <x:c r="Z40" s="102" t="str">
        <x:f t="shared" si="30"/>
        <x:v>Funded</x:v>
      </x:c>
      <x:c r="AA40" s="102" t="str">
        <x:f t="shared" si="30"/>
        <x:v>Funded</x:v>
      </x:c>
      <x:c r="AB40" s="102" t="str">
        <x:f t="shared" si="30"/>
        <x:v>Funded</x:v>
      </x:c>
      <x:c r="AC40" s="102" t="str">
        <x:f t="shared" si="30"/>
        <x:v>Funded</x:v>
      </x:c>
      <x:c r="AD40" s="102" t="str">
        <x:f t="shared" si="30"/>
        <x:v>Funded</x:v>
      </x:c>
      <x:c r="AE40" s="102" t="str">
        <x:f t="shared" si="30"/>
        <x:v>Funded</x:v>
      </x:c>
      <x:c r="AF40" s="102" t="str">
        <x:f t="shared" si="30"/>
        <x:v>Funded</x:v>
      </x:c>
      <x:c r="AG40" s="102" t="str">
        <x:f t="shared" si="30"/>
        <x:v>Funded</x:v>
      </x:c>
      <x:c r="AH40" s="102" t="str">
        <x:f t="shared" ref="AH40:BI40" si="31">IF(AH33&lt;0,"Cash shortfall","Funded")</x:f>
        <x:v>Funded</x:v>
      </x:c>
      <x:c r="AI40" s="102" t="str">
        <x:f t="shared" si="31"/>
        <x:v>Funded</x:v>
      </x:c>
      <x:c r="AJ40" s="102" t="str">
        <x:f t="shared" si="31"/>
        <x:v>Funded</x:v>
      </x:c>
      <x:c r="AK40" s="102" t="str">
        <x:f t="shared" si="31"/>
        <x:v>Funded</x:v>
      </x:c>
      <x:c r="AL40" s="102" t="str">
        <x:f t="shared" si="31"/>
        <x:v>Funded</x:v>
      </x:c>
      <x:c r="AM40" s="102" t="str">
        <x:f t="shared" si="31"/>
        <x:v>Funded</x:v>
      </x:c>
      <x:c r="AN40" s="102" t="str">
        <x:f t="shared" si="31"/>
        <x:v>Funded</x:v>
      </x:c>
      <x:c r="AO40" s="102" t="str">
        <x:f t="shared" si="31"/>
        <x:v>Funded</x:v>
      </x:c>
      <x:c r="AP40" s="102" t="str">
        <x:f t="shared" si="31"/>
        <x:v>Funded</x:v>
      </x:c>
      <x:c r="AQ40" s="102" t="str">
        <x:f t="shared" si="31"/>
        <x:v>Funded</x:v>
      </x:c>
      <x:c r="AR40" s="102" t="str">
        <x:f t="shared" si="31"/>
        <x:v>Funded</x:v>
      </x:c>
      <x:c r="AS40" s="102" t="str">
        <x:f t="shared" si="31"/>
        <x:v>Funded</x:v>
      </x:c>
      <x:c r="AT40" s="102" t="str">
        <x:f t="shared" si="31"/>
        <x:v>Funded</x:v>
      </x:c>
      <x:c r="AU40" s="102" t="str">
        <x:f t="shared" si="31"/>
        <x:v>Funded</x:v>
      </x:c>
      <x:c r="AV40" s="102" t="str">
        <x:f t="shared" si="31"/>
        <x:v>Funded</x:v>
      </x:c>
      <x:c r="AW40" s="102" t="str">
        <x:f t="shared" si="31"/>
        <x:v>Funded</x:v>
      </x:c>
      <x:c r="AX40" s="102" t="str">
        <x:f t="shared" si="31"/>
        <x:v>Funded</x:v>
      </x:c>
      <x:c r="AY40" s="102" t="str">
        <x:f t="shared" si="31"/>
        <x:v>Funded</x:v>
      </x:c>
      <x:c r="AZ40" s="102" t="str">
        <x:f t="shared" si="31"/>
        <x:v>Funded</x:v>
      </x:c>
      <x:c r="BA40" s="102" t="str">
        <x:f t="shared" si="31"/>
        <x:v>Funded</x:v>
      </x:c>
      <x:c r="BB40" s="102" t="str">
        <x:f t="shared" si="31"/>
        <x:v>Funded</x:v>
      </x:c>
      <x:c r="BC40" s="102" t="str">
        <x:f t="shared" si="31"/>
        <x:v>Funded</x:v>
      </x:c>
      <x:c r="BD40" s="102" t="str">
        <x:f t="shared" si="31"/>
        <x:v>Funded</x:v>
      </x:c>
      <x:c r="BE40" s="102" t="str">
        <x:f t="shared" si="31"/>
        <x:v>Funded</x:v>
      </x:c>
      <x:c r="BF40" s="102" t="str">
        <x:f t="shared" si="31"/>
        <x:v>Funded</x:v>
      </x:c>
      <x:c r="BG40" s="102" t="str">
        <x:f t="shared" si="31"/>
        <x:v>Funded</x:v>
      </x:c>
      <x:c r="BH40" s="102" t="str">
        <x:f t="shared" si="31"/>
        <x:v>Funded</x:v>
      </x:c>
      <x:c r="BI40" s="102" t="str">
        <x:f t="shared" si="31"/>
        <x:v>Funded</x:v>
      </x:c>
    </x:row>
    <x:row r="41" ht="8.100000381469727" customHeight="1"/>
    <x:row r="42" ht="8.100000381469727" customHeight="1"/>
    <x:row r="43" ht="20.100000381469727" customHeight="1">
      <x:c r="A43" s="179" t="s">
        <x:v>519</x:v>
      </x:c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2"/>
      <x:c r="AE43" s="42"/>
      <x:c r="AF43" s="42"/>
      <x:c r="AG43" s="42"/>
      <x:c r="AH43" s="42"/>
      <x:c r="AI43" s="42"/>
      <x:c r="AJ43" s="42"/>
      <x:c r="AK43" s="42"/>
      <x:c r="AL43" s="42"/>
      <x:c r="AM43" s="42"/>
      <x:c r="AN43" s="42"/>
      <x:c r="AO43" s="42"/>
      <x:c r="AP43" s="42"/>
      <x:c r="AQ43" s="42"/>
      <x:c r="AR43" s="42"/>
      <x:c r="AS43" s="42"/>
      <x:c r="AT43" s="42"/>
      <x:c r="AU43" s="42"/>
      <x:c r="AV43" s="42"/>
      <x:c r="AW43" s="42"/>
      <x:c r="AX43" s="42"/>
      <x:c r="AY43" s="42"/>
      <x:c r="AZ43" s="42"/>
      <x:c r="BA43" s="42"/>
      <x:c r="BB43" s="42"/>
      <x:c r="BC43" s="42"/>
      <x:c r="BD43" s="42"/>
      <x:c r="BE43" s="42"/>
      <x:c r="BF43" s="42"/>
      <x:c r="BG43" s="42"/>
      <x:c r="BH43" s="42"/>
      <x:c r="BI43" s="42"/>
    </x:row>
    <x:row r="44" ht="26.100000381469727" customHeight="1">
      <x:c r="A44" s="10" t="s">
        <x:v>520</x:v>
      </x:c>
      <x:c r="B44" s="9" t="s">
        <x:v>479</x:v>
      </x:c>
      <x:c r="C44" s="9" t="s">
        <x:v>432</x:v>
      </x:c>
      <x:c r="D44" s="9" t="s">
        <x:v>477</x:v>
      </x:c>
      <x:c r="E44" s="9" t="s">
        <x:v>521</x:v>
      </x:c>
      <x:c r="F44" s="9" t="s">
        <x:v>522</x:v>
      </x:c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2"/>
      <x:c r="AE44" s="42"/>
      <x:c r="AF44" s="42"/>
      <x:c r="AG44" s="42"/>
      <x:c r="AH44" s="42"/>
      <x:c r="AI44" s="42"/>
      <x:c r="AJ44" s="42"/>
      <x:c r="AK44" s="42"/>
      <x:c r="AL44" s="42"/>
      <x:c r="AM44" s="42"/>
      <x:c r="AN44" s="42"/>
      <x:c r="AO44" s="42"/>
      <x:c r="AP44" s="42"/>
      <x:c r="AQ44" s="42"/>
      <x:c r="AR44" s="42"/>
      <x:c r="AS44" s="42"/>
      <x:c r="AT44" s="42"/>
      <x:c r="AU44" s="42"/>
      <x:c r="AV44" s="42"/>
      <x:c r="AW44" s="42"/>
      <x:c r="AX44" s="42"/>
      <x:c r="AY44" s="42"/>
      <x:c r="AZ44" s="42"/>
      <x:c r="BA44" s="42"/>
      <x:c r="BB44" s="42"/>
      <x:c r="BC44" s="42"/>
      <x:c r="BD44" s="42"/>
      <x:c r="BE44" s="42"/>
      <x:c r="BF44" s="42"/>
      <x:c r="BG44" s="42"/>
      <x:c r="BH44" s="42"/>
      <x:c r="BI44" s="42"/>
    </x:row>
    <x:row r="45" ht="15.949999809265137" customHeight="1">
      <x:c r="A45" s="14" t="s">
        <x:v>135</x:v>
      </x:c>
      <x:c r="B45" s="18" t="str">
        <x:f>IF(MAX(B52:BI52)&lt;0,"Beyond Month 60",INDEX($B$9:$BI$9,1,MATCH("Reached",B55:BI55,0)))</x:f>
        <x:v>Beyond Month 60</x:v>
      </x:c>
      <x:c r="C45" s="56" t="n">
        <x:f>-MIN(0,B52:BI52)</x:f>
        <x:v>3952921</x:v>
      </x:c>
      <x:c r="D45" s="56" t="n">
        <x:f>BI52</x:f>
        <x:v>-2961337</x:v>
      </x:c>
      <x:c r="E45" s="97" t="str">
        <x:f>IF('Scenario Engine'!$B$57&gt;=0,"Year 1",IF('Scenario Engine'!$C$57&gt;=0,"Year 2",IF('Scenario Engine'!$D$57&gt;=0,"Year 3",IF('Scenario Engine'!$E$57&gt;=0,"Year 4",IF('Scenario Engine'!$F$57&gt;=0,"Year 5","Beyond Year 5")))))</x:f>
        <x:v>Year 5</x:v>
      </x:c>
      <x:c r="F45" s="67" t="n">
        <x:f>MAX('Scenario Engine'!$B$60:$F$60)</x:f>
        <x:v>4144437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  <x:c r="AA45" s="62"/>
      <x:c r="AB45" s="62"/>
      <x:c r="AC45" s="62"/>
      <x:c r="AD45" s="62"/>
      <x:c r="AE45" s="62"/>
      <x:c r="AF45" s="62"/>
      <x:c r="AG45" s="62"/>
      <x:c r="AH45" s="62"/>
      <x:c r="AI45" s="62"/>
      <x:c r="AJ45" s="62"/>
      <x:c r="AK45" s="62"/>
      <x:c r="AL45" s="62"/>
      <x:c r="AM45" s="62"/>
      <x:c r="AN45" s="62"/>
      <x:c r="AO45" s="62"/>
      <x:c r="AP45" s="62"/>
      <x:c r="AQ45" s="62"/>
      <x:c r="AR45" s="62"/>
      <x:c r="AS45" s="62"/>
      <x:c r="AT45" s="62"/>
      <x:c r="AU45" s="62"/>
      <x:c r="AV45" s="62"/>
      <x:c r="AW45" s="62"/>
      <x:c r="AX45" s="62"/>
      <x:c r="AY45" s="62"/>
      <x:c r="AZ45" s="62"/>
      <x:c r="BA45" s="62"/>
      <x:c r="BB45" s="62"/>
      <x:c r="BC45" s="62"/>
      <x:c r="BD45" s="62"/>
      <x:c r="BE45" s="62"/>
      <x:c r="BF45" s="62"/>
      <x:c r="BG45" s="62"/>
      <x:c r="BH45" s="62"/>
      <x:c r="BI45" s="62"/>
    </x:row>
    <x:row r="46" ht="15.949999809265137" customHeight="1">
      <x:c r="A46" s="28" t="s">
        <x:v>138</x:v>
      </x:c>
      <x:c r="B46" s="28" t="str">
        <x:f>IF(MAX(B53:BI53)&lt;0,"Beyond Month 60",INDEX($B$9:$BI$9,1,MATCH("Reached",B56:BI56,0)))</x:f>
        <x:v>Y4 M8</x:v>
      </x:c>
      <x:c r="C46" s="75" t="n">
        <x:f>-MIN(0,B53:BI53)</x:f>
        <x:v>2686484</x:v>
      </x:c>
      <x:c r="D46" s="75" t="n">
        <x:f>BI53</x:f>
        <x:v>12910901</x:v>
      </x:c>
      <x:c r="E46" s="104" t="str">
        <x:f>IF('Scenario Engine'!$H$57&gt;=0,"Year 1",IF('Scenario Engine'!$I$57&gt;=0,"Year 2",IF('Scenario Engine'!$J$57&gt;=0,"Year 3",IF('Scenario Engine'!$K$57&gt;=0,"Year 4",IF('Scenario Engine'!$L$57&gt;=0,"Year 5","Beyond Year 5")))))</x:f>
        <x:v>Year 4</x:v>
      </x:c>
      <x:c r="F46" s="75" t="n">
        <x:f>MAX('Scenario Engine'!$H$60:$L$60)</x:f>
        <x:v>2840935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  <x:c r="AA46" s="62"/>
      <x:c r="AB46" s="62"/>
      <x:c r="AC46" s="62"/>
      <x:c r="AD46" s="62"/>
      <x:c r="AE46" s="62"/>
      <x:c r="AF46" s="62"/>
      <x:c r="AG46" s="62"/>
      <x:c r="AH46" s="62"/>
      <x:c r="AI46" s="62"/>
      <x:c r="AJ46" s="62"/>
      <x:c r="AK46" s="62"/>
      <x:c r="AL46" s="62"/>
      <x:c r="AM46" s="62"/>
      <x:c r="AN46" s="62"/>
      <x:c r="AO46" s="62"/>
      <x:c r="AP46" s="62"/>
      <x:c r="AQ46" s="62"/>
      <x:c r="AR46" s="62"/>
      <x:c r="AS46" s="62"/>
      <x:c r="AT46" s="62"/>
      <x:c r="AU46" s="62"/>
      <x:c r="AV46" s="62"/>
      <x:c r="AW46" s="62"/>
      <x:c r="AX46" s="62"/>
      <x:c r="AY46" s="62"/>
      <x:c r="AZ46" s="62"/>
      <x:c r="BA46" s="62"/>
      <x:c r="BB46" s="62"/>
      <x:c r="BC46" s="62"/>
      <x:c r="BD46" s="62"/>
      <x:c r="BE46" s="62"/>
      <x:c r="BF46" s="62"/>
      <x:c r="BG46" s="62"/>
      <x:c r="BH46" s="62"/>
      <x:c r="BI46" s="62"/>
    </x:row>
    <x:row r="47" ht="15.949999809265137" customHeight="1">
      <x:c r="A47" s="14" t="s">
        <x:v>142</x:v>
      </x:c>
      <x:c r="B47" s="18" t="str">
        <x:f>IF(MAX(B54:BI54)&lt;0,"Beyond Month 60",INDEX($B$9:$BI$9,1,MATCH("Reached",B57:BI57,0)))</x:f>
        <x:v>Y4 M4</x:v>
      </x:c>
      <x:c r="C47" s="56" t="n">
        <x:f>-MIN(0,B54:BI54)</x:f>
        <x:v>1983265</x:v>
      </x:c>
      <x:c r="D47" s="56" t="n">
        <x:f>BI54</x:f>
        <x:v>33884644</x:v>
      </x:c>
      <x:c r="E47" s="97" t="str">
        <x:f>IF('Scenario Engine'!$N$57&gt;=0,"Year 1",IF('Scenario Engine'!$O$57&gt;=0,"Year 2",IF('Scenario Engine'!$P$57&gt;=0,"Year 3",IF('Scenario Engine'!$Q$57&gt;=0,"Year 4",IF('Scenario Engine'!$R$57&gt;=0,"Year 5","Beyond Year 5")))))</x:f>
        <x:v>Year 3</x:v>
      </x:c>
      <x:c r="F47" s="67" t="n">
        <x:f>MAX('Scenario Engine'!$N$60:$R$60)</x:f>
        <x:v>2174781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  <x:c r="AA47" s="62"/>
      <x:c r="AB47" s="62"/>
      <x:c r="AC47" s="62"/>
      <x:c r="AD47" s="62"/>
      <x:c r="AE47" s="62"/>
      <x:c r="AF47" s="62"/>
      <x:c r="AG47" s="62"/>
      <x:c r="AH47" s="62"/>
      <x:c r="AI47" s="62"/>
      <x:c r="AJ47" s="62"/>
      <x:c r="AK47" s="62"/>
      <x:c r="AL47" s="62"/>
      <x:c r="AM47" s="62"/>
      <x:c r="AN47" s="62"/>
      <x:c r="AO47" s="62"/>
      <x:c r="AP47" s="62"/>
      <x:c r="AQ47" s="62"/>
      <x:c r="AR47" s="62"/>
      <x:c r="AS47" s="62"/>
      <x:c r="AT47" s="62"/>
      <x:c r="AU47" s="62"/>
      <x:c r="AV47" s="62"/>
      <x:c r="AW47" s="62"/>
      <x:c r="AX47" s="62"/>
      <x:c r="AY47" s="62"/>
      <x:c r="AZ47" s="62"/>
      <x:c r="BA47" s="62"/>
      <x:c r="BB47" s="62"/>
      <x:c r="BC47" s="62"/>
      <x:c r="BD47" s="62"/>
      <x:c r="BE47" s="62"/>
      <x:c r="BF47" s="62"/>
      <x:c r="BG47" s="62"/>
      <x:c r="BH47" s="62"/>
      <x:c r="BI47" s="62"/>
    </x:row>
    <x:row r="48" ht="8.100000381469727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2"/>
      <x:c r="AE48" s="42"/>
      <x:c r="AF48" s="42"/>
      <x:c r="AG48" s="42"/>
      <x:c r="AH48" s="42"/>
      <x:c r="AI48" s="42"/>
      <x:c r="AJ48" s="42"/>
      <x:c r="AK48" s="42"/>
      <x:c r="AL48" s="42"/>
      <x:c r="AM48" s="42"/>
      <x:c r="AN48" s="42"/>
      <x:c r="AO48" s="42"/>
      <x:c r="AP48" s="42"/>
      <x:c r="AQ48" s="42"/>
      <x:c r="AR48" s="42"/>
      <x:c r="AS48" s="42"/>
      <x:c r="AT48" s="42"/>
      <x:c r="AU48" s="42"/>
      <x:c r="AV48" s="42"/>
      <x:c r="AW48" s="42"/>
      <x:c r="AX48" s="42"/>
      <x:c r="AY48" s="42"/>
      <x:c r="AZ48" s="42"/>
      <x:c r="BA48" s="42"/>
      <x:c r="BB48" s="42"/>
      <x:c r="BC48" s="42"/>
      <x:c r="BD48" s="42"/>
      <x:c r="BE48" s="42"/>
      <x:c r="BF48" s="42"/>
      <x:c r="BG48" s="42"/>
      <x:c r="BH48" s="42"/>
      <x:c r="BI48" s="42"/>
    </x:row>
    <x:row r="49" ht="18" customHeight="1">
      <x:c r="A49" s="200" t="s">
        <x:v>523</x:v>
      </x:c>
      <x:c r="B49" s="200"/>
      <x:c r="C49" s="200"/>
      <x:c r="D49" s="200"/>
      <x:c r="E49" s="200"/>
      <x:c r="F49" s="200"/>
      <x:c r="G49" s="200"/>
      <x:c r="H49" s="200"/>
      <x:c r="I49" s="200"/>
      <x:c r="J49" s="200"/>
      <x:c r="K49" s="200"/>
      <x:c r="L49" s="200"/>
      <x:c r="M49" s="200"/>
      <x:c r="N49" s="200"/>
      <x:c r="O49" s="200"/>
      <x:c r="P49" s="200"/>
      <x:c r="Q49" s="200"/>
      <x:c r="R49" s="200"/>
      <x:c r="S49" s="200"/>
      <x:c r="T49" s="200"/>
      <x:c r="U49" s="200"/>
      <x:c r="V49" s="200"/>
      <x:c r="W49" s="200"/>
      <x:c r="X49" s="200"/>
      <x:c r="Y49" s="200"/>
      <x:c r="Z49" s="200"/>
      <x:c r="AA49" s="200"/>
      <x:c r="AB49" s="200"/>
      <x:c r="AC49" s="200"/>
      <x:c r="AD49" s="200"/>
      <x:c r="AE49" s="200"/>
      <x:c r="AF49" s="200"/>
      <x:c r="AG49" s="200"/>
      <x:c r="AH49" s="200"/>
      <x:c r="AI49" s="200"/>
      <x:c r="AJ49" s="200"/>
      <x:c r="AK49" s="200"/>
      <x:c r="AL49" s="200"/>
      <x:c r="AM49" s="200"/>
      <x:c r="AN49" s="200"/>
      <x:c r="AO49" s="200"/>
      <x:c r="AP49" s="200"/>
      <x:c r="AQ49" s="200"/>
      <x:c r="AR49" s="200"/>
      <x:c r="AS49" s="200"/>
      <x:c r="AT49" s="200"/>
      <x:c r="AU49" s="200"/>
      <x:c r="AV49" s="200"/>
      <x:c r="AW49" s="200"/>
      <x:c r="AX49" s="200"/>
      <x:c r="AY49" s="200"/>
      <x:c r="AZ49" s="200"/>
      <x:c r="BA49" s="200"/>
      <x:c r="BB49" s="200"/>
      <x:c r="BC49" s="200"/>
      <x:c r="BD49" s="200"/>
      <x:c r="BE49" s="200"/>
      <x:c r="BF49" s="200"/>
      <x:c r="BG49" s="200"/>
      <x:c r="BH49" s="200"/>
      <x:c r="BI49" s="200"/>
    </x:row>
    <x:row r="50" ht="8.100000381469727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2"/>
      <x:c r="AE50" s="42"/>
      <x:c r="AF50" s="42"/>
      <x:c r="AG50" s="42"/>
      <x:c r="AH50" s="42"/>
      <x:c r="AI50" s="42"/>
      <x:c r="AJ50" s="42"/>
      <x:c r="AK50" s="42"/>
      <x:c r="AL50" s="42"/>
      <x:c r="AM50" s="42"/>
      <x:c r="AN50" s="42"/>
      <x:c r="AO50" s="42"/>
      <x:c r="AP50" s="42"/>
      <x:c r="AQ50" s="42"/>
      <x:c r="AR50" s="42"/>
      <x:c r="AS50" s="42"/>
      <x:c r="AT50" s="42"/>
      <x:c r="AU50" s="42"/>
      <x:c r="AV50" s="42"/>
      <x:c r="AW50" s="42"/>
      <x:c r="AX50" s="42"/>
      <x:c r="AY50" s="42"/>
      <x:c r="AZ50" s="42"/>
      <x:c r="BA50" s="42"/>
      <x:c r="BB50" s="42"/>
      <x:c r="BC50" s="42"/>
      <x:c r="BD50" s="42"/>
      <x:c r="BE50" s="42"/>
      <x:c r="BF50" s="42"/>
      <x:c r="BG50" s="42"/>
      <x:c r="BH50" s="42"/>
      <x:c r="BI50" s="42"/>
    </x:row>
    <x:row r="51" ht="12.949999809265137" customHeight="1">
      <x:c r="A51" s="48" t="s">
        <x:v>520</x:v>
      </x:c>
      <x:c r="B51" s="48" t="str">
        <x:f>'Cash Flow Statement'!B9</x:f>
        <x:v>Y1 M1</x:v>
      </x:c>
      <x:c r="C51" s="48" t="str">
        <x:f>'Cash Flow Statement'!C9</x:f>
        <x:v>Y1 M2</x:v>
      </x:c>
      <x:c r="D51" s="48" t="str">
        <x:f>'Cash Flow Statement'!D9</x:f>
        <x:v>Y1 M3</x:v>
      </x:c>
      <x:c r="E51" s="48" t="str">
        <x:f>'Cash Flow Statement'!E9</x:f>
        <x:v>Y1 M4</x:v>
      </x:c>
      <x:c r="F51" s="48" t="str">
        <x:f>'Cash Flow Statement'!F9</x:f>
        <x:v>Y1 M5</x:v>
      </x:c>
      <x:c r="G51" s="48" t="str">
        <x:f>'Cash Flow Statement'!G9</x:f>
        <x:v>Y1 M6</x:v>
      </x:c>
      <x:c r="H51" s="48" t="str">
        <x:f>'Cash Flow Statement'!H9</x:f>
        <x:v>Y1 M7</x:v>
      </x:c>
      <x:c r="I51" s="48" t="str">
        <x:f>'Cash Flow Statement'!I9</x:f>
        <x:v>Y1 M8</x:v>
      </x:c>
      <x:c r="J51" s="48" t="str">
        <x:f>'Cash Flow Statement'!J9</x:f>
        <x:v>Y1 M9</x:v>
      </x:c>
      <x:c r="K51" s="48" t="str">
        <x:f>'Cash Flow Statement'!K9</x:f>
        <x:v>Y1 M10</x:v>
      </x:c>
      <x:c r="L51" s="48" t="str">
        <x:f>'Cash Flow Statement'!L9</x:f>
        <x:v>Y1 M11</x:v>
      </x:c>
      <x:c r="M51" s="48" t="str">
        <x:f>'Cash Flow Statement'!M9</x:f>
        <x:v>Y1 M12</x:v>
      </x:c>
      <x:c r="N51" s="48" t="str">
        <x:f>'Cash Flow Statement'!N9</x:f>
        <x:v>Y2 M1</x:v>
      </x:c>
      <x:c r="O51" s="48" t="str">
        <x:f>'Cash Flow Statement'!O9</x:f>
        <x:v>Y2 M2</x:v>
      </x:c>
      <x:c r="P51" s="48" t="str">
        <x:f>'Cash Flow Statement'!P9</x:f>
        <x:v>Y2 M3</x:v>
      </x:c>
      <x:c r="Q51" s="48" t="str">
        <x:f>'Cash Flow Statement'!Q9</x:f>
        <x:v>Y2 M4</x:v>
      </x:c>
      <x:c r="R51" s="48" t="str">
        <x:f>'Cash Flow Statement'!R9</x:f>
        <x:v>Y2 M5</x:v>
      </x:c>
      <x:c r="S51" s="48" t="str">
        <x:f>'Cash Flow Statement'!S9</x:f>
        <x:v>Y2 M6</x:v>
      </x:c>
      <x:c r="T51" s="48" t="str">
        <x:f>'Cash Flow Statement'!T9</x:f>
        <x:v>Y2 M7</x:v>
      </x:c>
      <x:c r="U51" s="48" t="str">
        <x:f>'Cash Flow Statement'!U9</x:f>
        <x:v>Y2 M8</x:v>
      </x:c>
      <x:c r="V51" s="48" t="str">
        <x:f>'Cash Flow Statement'!V9</x:f>
        <x:v>Y2 M9</x:v>
      </x:c>
      <x:c r="W51" s="48" t="str">
        <x:f>'Cash Flow Statement'!W9</x:f>
        <x:v>Y2 M10</x:v>
      </x:c>
      <x:c r="X51" s="48" t="str">
        <x:f>'Cash Flow Statement'!X9</x:f>
        <x:v>Y2 M11</x:v>
      </x:c>
      <x:c r="Y51" s="48" t="str">
        <x:f>'Cash Flow Statement'!Y9</x:f>
        <x:v>Y2 M12</x:v>
      </x:c>
      <x:c r="Z51" s="48" t="str">
        <x:f>'Cash Flow Statement'!Z9</x:f>
        <x:v>Y3 M1</x:v>
      </x:c>
      <x:c r="AA51" s="48" t="str">
        <x:f>'Cash Flow Statement'!AA9</x:f>
        <x:v>Y3 M2</x:v>
      </x:c>
      <x:c r="AB51" s="48" t="str">
        <x:f>'Cash Flow Statement'!AB9</x:f>
        <x:v>Y3 M3</x:v>
      </x:c>
      <x:c r="AC51" s="48" t="str">
        <x:f>'Cash Flow Statement'!AC9</x:f>
        <x:v>Y3 M4</x:v>
      </x:c>
      <x:c r="AD51" s="48" t="str">
        <x:f>'Cash Flow Statement'!AD9</x:f>
        <x:v>Y3 M5</x:v>
      </x:c>
      <x:c r="AE51" s="48" t="str">
        <x:f>'Cash Flow Statement'!AE9</x:f>
        <x:v>Y3 M6</x:v>
      </x:c>
      <x:c r="AF51" s="48" t="str">
        <x:f>'Cash Flow Statement'!AF9</x:f>
        <x:v>Y3 M7</x:v>
      </x:c>
      <x:c r="AG51" s="48" t="str">
        <x:f>'Cash Flow Statement'!AG9</x:f>
        <x:v>Y3 M8</x:v>
      </x:c>
      <x:c r="AH51" s="48" t="str">
        <x:f>'Cash Flow Statement'!AH9</x:f>
        <x:v>Y3 M9</x:v>
      </x:c>
      <x:c r="AI51" s="48" t="str">
        <x:f>'Cash Flow Statement'!AI9</x:f>
        <x:v>Y3 M10</x:v>
      </x:c>
      <x:c r="AJ51" s="48" t="str">
        <x:f>'Cash Flow Statement'!AJ9</x:f>
        <x:v>Y3 M11</x:v>
      </x:c>
      <x:c r="AK51" s="48" t="str">
        <x:f>'Cash Flow Statement'!AK9</x:f>
        <x:v>Y3 M12</x:v>
      </x:c>
      <x:c r="AL51" s="48" t="str">
        <x:f>'Cash Flow Statement'!AL9</x:f>
        <x:v>Y4 M1</x:v>
      </x:c>
      <x:c r="AM51" s="48" t="str">
        <x:f>'Cash Flow Statement'!AM9</x:f>
        <x:v>Y4 M2</x:v>
      </x:c>
      <x:c r="AN51" s="48" t="str">
        <x:f>'Cash Flow Statement'!AN9</x:f>
        <x:v>Y4 M3</x:v>
      </x:c>
      <x:c r="AO51" s="48" t="str">
        <x:f>'Cash Flow Statement'!AO9</x:f>
        <x:v>Y4 M4</x:v>
      </x:c>
      <x:c r="AP51" s="48" t="str">
        <x:f>'Cash Flow Statement'!AP9</x:f>
        <x:v>Y4 M5</x:v>
      </x:c>
      <x:c r="AQ51" s="48" t="str">
        <x:f>'Cash Flow Statement'!AQ9</x:f>
        <x:v>Y4 M6</x:v>
      </x:c>
      <x:c r="AR51" s="48" t="str">
        <x:f>'Cash Flow Statement'!AR9</x:f>
        <x:v>Y4 M7</x:v>
      </x:c>
      <x:c r="AS51" s="48" t="str">
        <x:f>'Cash Flow Statement'!AS9</x:f>
        <x:v>Y4 M8</x:v>
      </x:c>
      <x:c r="AT51" s="48" t="str">
        <x:f>'Cash Flow Statement'!AT9</x:f>
        <x:v>Y4 M9</x:v>
      </x:c>
      <x:c r="AU51" s="48" t="str">
        <x:f>'Cash Flow Statement'!AU9</x:f>
        <x:v>Y4 M10</x:v>
      </x:c>
      <x:c r="AV51" s="48" t="str">
        <x:f>'Cash Flow Statement'!AV9</x:f>
        <x:v>Y4 M11</x:v>
      </x:c>
      <x:c r="AW51" s="48" t="str">
        <x:f>'Cash Flow Statement'!AW9</x:f>
        <x:v>Y4 M12</x:v>
      </x:c>
      <x:c r="AX51" s="48" t="str">
        <x:f>'Cash Flow Statement'!AX9</x:f>
        <x:v>Y5 M1</x:v>
      </x:c>
      <x:c r="AY51" s="48" t="str">
        <x:f>'Cash Flow Statement'!AY9</x:f>
        <x:v>Y5 M2</x:v>
      </x:c>
      <x:c r="AZ51" s="48" t="str">
        <x:f>'Cash Flow Statement'!AZ9</x:f>
        <x:v>Y5 M3</x:v>
      </x:c>
      <x:c r="BA51" s="48" t="str">
        <x:f>'Cash Flow Statement'!BA9</x:f>
        <x:v>Y5 M4</x:v>
      </x:c>
      <x:c r="BB51" s="48" t="str">
        <x:f>'Cash Flow Statement'!BB9</x:f>
        <x:v>Y5 M5</x:v>
      </x:c>
      <x:c r="BC51" s="48" t="str">
        <x:f>'Cash Flow Statement'!BC9</x:f>
        <x:v>Y5 M6</x:v>
      </x:c>
      <x:c r="BD51" s="48" t="str">
        <x:f>'Cash Flow Statement'!BD9</x:f>
        <x:v>Y5 M7</x:v>
      </x:c>
      <x:c r="BE51" s="48" t="str">
        <x:f>'Cash Flow Statement'!BE9</x:f>
        <x:v>Y5 M8</x:v>
      </x:c>
      <x:c r="BF51" s="48" t="str">
        <x:f>'Cash Flow Statement'!BF9</x:f>
        <x:v>Y5 M9</x:v>
      </x:c>
      <x:c r="BG51" s="48" t="str">
        <x:f>'Cash Flow Statement'!BG9</x:f>
        <x:v>Y5 M10</x:v>
      </x:c>
      <x:c r="BH51" s="48" t="str">
        <x:f>'Cash Flow Statement'!BH9</x:f>
        <x:v>Y5 M11</x:v>
      </x:c>
      <x:c r="BI51" s="48" t="str">
        <x:f>'Cash Flow Statement'!BI9</x:f>
        <x:v>Y5 M12</x:v>
      </x:c>
    </x:row>
    <x:row r="52" ht="12" customHeight="1">
      <x:c r="A52" s="49" t="s">
        <x:v>135</x:v>
      </x:c>
      <x:c r="B52" s="103" t="n">
        <x:f>ROUND((IF(B$6&lt;='Launch Readiness'!$B$7,0,IF((B$6-'Launch Readiness'!$B$7)&lt;'Launch Readiness'!$E$6,0,INDEX('Scenario Engine'!$B$30:$F$30,1,ROUNDUP((B$6-'Launch Readiness'!$B$7)/12,0))/MAX(1,INDEX('Launch Readiness'!$B$26:$F$26,1,ROUNDUP((B$6-'Launch Readiness'!$B$7)/12,0))))))-IF(B$6&lt;'Launch Readiness'!$E$6,0,INDEX('Scenario Engine'!$B$47:$F$47,1,B$7)/MAX(1,INDEX('Launch Readiness'!$B$26:$F$26,1,B$7)))-INDEX('Scenario Engine'!$B$52:$F$52,1,B$7)/12-((INDEX('Scenario Engine'!$B$53:$F$53,1,B$7)-'Launch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Readiness'!$E$16/12,0))-(IF(B$6&lt;=6,'Startup 6mo'!$F$44/6,0)+IF(B$6&lt;'Launch Readiness'!$E$6,'Launch Readiness'!$E$8/MAX(1,'Launch Readiness'!$E$7),0)+IF(B$6='Launch Readiness'!$G$14,'Launch Readiness'!$E$15,0)),0)</x:f>
        <x:v>-152105</x:v>
      </x:c>
      <x:c r="C52" s="103" t="n">
        <x:f>ROUND(B52+(IF(C$6&lt;='Launch Readiness'!$B$7,0,IF((C$6-'Launch Readiness'!$B$7)&lt;'Launch Readiness'!$E$6,0,INDEX('Scenario Engine'!$B$30:$F$30,1,ROUNDUP((C$6-'Launch Readiness'!$B$7)/12,0))/MAX(1,INDEX('Launch Readiness'!$B$26:$F$26,1,ROUNDUP((C$6-'Launch Readiness'!$B$7)/12,0))))))-IF(C$6&lt;'Launch Readiness'!$E$6,0,INDEX('Scenario Engine'!$B$47:$F$47,1,C$7)/MAX(1,INDEX('Launch Readiness'!$B$26:$F$26,1,C$7)))-INDEX('Scenario Engine'!$B$52:$F$52,1,C$7)/12-((INDEX('Scenario Engine'!$B$53:$F$53,1,C$7)-'Launch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Readiness'!$E$16/12,0))-(IF(C$6&lt;=6,'Startup 6mo'!$F$44/6,0)+IF(C$6&lt;'Launch Readiness'!$E$6,'Launch Readiness'!$E$8/MAX(1,'Launch Readiness'!$E$7),0)+IF(C$6='Launch Readiness'!$G$14,'Launch Readiness'!$E$15,0)),0)</x:f>
        <x:v>-261664</x:v>
      </x:c>
      <x:c r="D52" s="103" t="n">
        <x:f>ROUND(C52+(IF(D$6&lt;='Launch Readiness'!$B$7,0,IF((D$6-'Launch Readiness'!$B$7)&lt;'Launch Readiness'!$E$6,0,INDEX('Scenario Engine'!$B$30:$F$30,1,ROUNDUP((D$6-'Launch Readiness'!$B$7)/12,0))/MAX(1,INDEX('Launch Readiness'!$B$26:$F$26,1,ROUNDUP((D$6-'Launch Readiness'!$B$7)/12,0))))))-IF(D$6&lt;'Launch Readiness'!$E$6,0,INDEX('Scenario Engine'!$B$47:$F$47,1,D$7)/MAX(1,INDEX('Launch Readiness'!$B$26:$F$26,1,D$7)))-INDEX('Scenario Engine'!$B$52:$F$52,1,D$7)/12-((INDEX('Scenario Engine'!$B$53:$F$53,1,D$7)-'Launch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Readiness'!$E$16/12,0))-(IF(D$6&lt;=6,'Startup 6mo'!$F$44/6,0)+IF(D$6&lt;'Launch Readiness'!$E$6,'Launch Readiness'!$E$8/MAX(1,'Launch Readiness'!$E$7),0)+IF(D$6='Launch Readiness'!$G$14,'Launch Readiness'!$E$15,0)),0)</x:f>
        <x:v>-371223</x:v>
      </x:c>
      <x:c r="E52" s="103" t="n">
        <x:f>ROUND(D52+(IF(E$6&lt;='Launch Readiness'!$B$7,0,IF((E$6-'Launch Readiness'!$B$7)&lt;'Launch Readiness'!$E$6,0,INDEX('Scenario Engine'!$B$30:$F$30,1,ROUNDUP((E$6-'Launch Readiness'!$B$7)/12,0))/MAX(1,INDEX('Launch Readiness'!$B$26:$F$26,1,ROUNDUP((E$6-'Launch Readiness'!$B$7)/12,0))))))-IF(E$6&lt;'Launch Readiness'!$E$6,0,INDEX('Scenario Engine'!$B$47:$F$47,1,E$7)/MAX(1,INDEX('Launch Readiness'!$B$26:$F$26,1,E$7)))-INDEX('Scenario Engine'!$B$52:$F$52,1,E$7)/12-((INDEX('Scenario Engine'!$B$53:$F$53,1,E$7)-'Launch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Readiness'!$E$16/12,0))-(IF(E$6&lt;=6,'Startup 6mo'!$F$44/6,0)+IF(E$6&lt;'Launch Readiness'!$E$6,'Launch Readiness'!$E$8/MAX(1,'Launch Readiness'!$E$7),0)+IF(E$6='Launch Readiness'!$G$14,'Launch Readiness'!$E$15,0)),0)</x:f>
        <x:v>-480782</x:v>
      </x:c>
      <x:c r="F52" s="103" t="n">
        <x:f>ROUND(E52+(IF(F$6&lt;='Launch Readiness'!$B$7,0,IF((F$6-'Launch Readiness'!$B$7)&lt;'Launch Readiness'!$E$6,0,INDEX('Scenario Engine'!$B$30:$F$30,1,ROUNDUP((F$6-'Launch Readiness'!$B$7)/12,0))/MAX(1,INDEX('Launch Readiness'!$B$26:$F$26,1,ROUNDUP((F$6-'Launch Readiness'!$B$7)/12,0))))))-IF(F$6&lt;'Launch Readiness'!$E$6,0,INDEX('Scenario Engine'!$B$47:$F$47,1,F$7)/MAX(1,INDEX('Launch Readiness'!$B$26:$F$26,1,F$7)))-INDEX('Scenario Engine'!$B$52:$F$52,1,F$7)/12-((INDEX('Scenario Engine'!$B$53:$F$53,1,F$7)-'Launch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Readiness'!$E$16/12,0))-(IF(F$6&lt;=6,'Startup 6mo'!$F$44/6,0)+IF(F$6&lt;'Launch Readiness'!$E$6,'Launch Readiness'!$E$8/MAX(1,'Launch Readiness'!$E$7),0)+IF(F$6='Launch Readiness'!$G$14,'Launch Readiness'!$E$15,0)),0)</x:f>
        <x:v>-590341</x:v>
      </x:c>
      <x:c r="G52" s="103" t="n">
        <x:f>ROUND(F52+(IF(G$6&lt;='Launch Readiness'!$B$7,0,IF((G$6-'Launch Readiness'!$B$7)&lt;'Launch Readiness'!$E$6,0,INDEX('Scenario Engine'!$B$30:$F$30,1,ROUNDUP((G$6-'Launch Readiness'!$B$7)/12,0))/MAX(1,INDEX('Launch Readiness'!$B$26:$F$26,1,ROUNDUP((G$6-'Launch Readiness'!$B$7)/12,0))))))-IF(G$6&lt;'Launch Readiness'!$E$6,0,INDEX('Scenario Engine'!$B$47:$F$47,1,G$7)/MAX(1,INDEX('Launch Readiness'!$B$26:$F$26,1,G$7)))-INDEX('Scenario Engine'!$B$52:$F$52,1,G$7)/12-((INDEX('Scenario Engine'!$B$53:$F$53,1,G$7)-'Launch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Readiness'!$E$16/12,0))-(IF(G$6&lt;=6,'Startup 6mo'!$F$44/6,0)+IF(G$6&lt;'Launch Readiness'!$E$6,'Launch Readiness'!$E$8/MAX(1,'Launch Readiness'!$E$7),0)+IF(G$6='Launch Readiness'!$G$14,'Launch Readiness'!$E$15,0)),0)</x:f>
        <x:v>-699900</x:v>
      </x:c>
      <x:c r="H52" s="103" t="n">
        <x:f>ROUND(G52+(IF(H$6&lt;='Launch Readiness'!$B$7,0,IF((H$6-'Launch Readiness'!$B$7)&lt;'Launch Readiness'!$E$6,0,INDEX('Scenario Engine'!$B$30:$F$30,1,ROUNDUP((H$6-'Launch Readiness'!$B$7)/12,0))/MAX(1,INDEX('Launch Readiness'!$B$26:$F$26,1,ROUNDUP((H$6-'Launch Readiness'!$B$7)/12,0))))))-IF(H$6&lt;'Launch Readiness'!$E$6,0,INDEX('Scenario Engine'!$B$47:$F$47,1,H$7)/MAX(1,INDEX('Launch Readiness'!$B$26:$F$26,1,H$7)))-INDEX('Scenario Engine'!$B$52:$F$52,1,H$7)/12-((INDEX('Scenario Engine'!$B$53:$F$53,1,H$7)-'Launch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Readiness'!$E$16/12,0))-(IF(H$6&lt;=6,'Startup 6mo'!$F$44/6,0)+IF(H$6&lt;'Launch Readiness'!$E$6,'Launch Readiness'!$E$8/MAX(1,'Launch Readiness'!$E$7),0)+IF(H$6='Launch Readiness'!$G$14,'Launch Readiness'!$E$15,0)),0)</x:f>
        <x:v>-768891</x:v>
      </x:c>
      <x:c r="I52" s="103" t="n">
        <x:f>ROUND(H52+(IF(I$6&lt;='Launch Readiness'!$B$7,0,IF((I$6-'Launch Readiness'!$B$7)&lt;'Launch Readiness'!$E$6,0,INDEX('Scenario Engine'!$B$30:$F$30,1,ROUNDUP((I$6-'Launch Readiness'!$B$7)/12,0))/MAX(1,INDEX('Launch Readiness'!$B$26:$F$26,1,ROUNDUP((I$6-'Launch Readiness'!$B$7)/12,0))))))-IF(I$6&lt;'Launch Readiness'!$E$6,0,INDEX('Scenario Engine'!$B$47:$F$47,1,I$7)/MAX(1,INDEX('Launch Readiness'!$B$26:$F$26,1,I$7)))-INDEX('Scenario Engine'!$B$52:$F$52,1,I$7)/12-((INDEX('Scenario Engine'!$B$53:$F$53,1,I$7)-'Launch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Readiness'!$E$16/12,0))-(IF(I$6&lt;=6,'Startup 6mo'!$F$44/6,0)+IF(I$6&lt;'Launch Readiness'!$E$6,'Launch Readiness'!$E$8/MAX(1,'Launch Readiness'!$E$7),0)+IF(I$6='Launch Readiness'!$G$14,'Launch Readiness'!$E$15,0)),0)</x:f>
        <x:v>-837882</x:v>
      </x:c>
      <x:c r="J52" s="103" t="n">
        <x:f>ROUND(I52+(IF(J$6&lt;='Launch Readiness'!$B$7,0,IF((J$6-'Launch Readiness'!$B$7)&lt;'Launch Readiness'!$E$6,0,INDEX('Scenario Engine'!$B$30:$F$30,1,ROUNDUP((J$6-'Launch Readiness'!$B$7)/12,0))/MAX(1,INDEX('Launch Readiness'!$B$26:$F$26,1,ROUNDUP((J$6-'Launch Readiness'!$B$7)/12,0))))))-IF(J$6&lt;'Launch Readiness'!$E$6,0,INDEX('Scenario Engine'!$B$47:$F$47,1,J$7)/MAX(1,INDEX('Launch Readiness'!$B$26:$F$26,1,J$7)))-INDEX('Scenario Engine'!$B$52:$F$52,1,J$7)/12-((INDEX('Scenario Engine'!$B$53:$F$53,1,J$7)-'Launch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Readiness'!$E$16/12,0))-(IF(J$6&lt;=6,'Startup 6mo'!$F$44/6,0)+IF(J$6&lt;'Launch Readiness'!$E$6,'Launch Readiness'!$E$8/MAX(1,'Launch Readiness'!$E$7),0)+IF(J$6='Launch Readiness'!$G$14,'Launch Readiness'!$E$15,0)),0)</x:f>
        <x:v>-906873</x:v>
      </x:c>
      <x:c r="K52" s="103" t="n">
        <x:f>ROUND(J52+(IF(K$6&lt;='Launch Readiness'!$B$7,0,IF((K$6-'Launch Readiness'!$B$7)&lt;'Launch Readiness'!$E$6,0,INDEX('Scenario Engine'!$B$30:$F$30,1,ROUNDUP((K$6-'Launch Readiness'!$B$7)/12,0))/MAX(1,INDEX('Launch Readiness'!$B$26:$F$26,1,ROUNDUP((K$6-'Launch Readiness'!$B$7)/12,0))))))-IF(K$6&lt;'Launch Readiness'!$E$6,0,INDEX('Scenario Engine'!$B$47:$F$47,1,K$7)/MAX(1,INDEX('Launch Readiness'!$B$26:$F$26,1,K$7)))-INDEX('Scenario Engine'!$B$52:$F$52,1,K$7)/12-((INDEX('Scenario Engine'!$B$53:$F$53,1,K$7)-'Launch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Readiness'!$E$16/12,0))-(IF(K$6&lt;=6,'Startup 6mo'!$F$44/6,0)+IF(K$6&lt;'Launch Readiness'!$E$6,'Launch Readiness'!$E$8/MAX(1,'Launch Readiness'!$E$7),0)+IF(K$6='Launch Readiness'!$G$14,'Launch Readiness'!$E$15,0)),0)</x:f>
        <x:v>-975864</x:v>
      </x:c>
      <x:c r="L52" s="103" t="n">
        <x:f>ROUND(K52+(IF(L$6&lt;='Launch Readiness'!$B$7,0,IF((L$6-'Launch Readiness'!$B$7)&lt;'Launch Readiness'!$E$6,0,INDEX('Scenario Engine'!$B$30:$F$30,1,ROUNDUP((L$6-'Launch Readiness'!$B$7)/12,0))/MAX(1,INDEX('Launch Readiness'!$B$26:$F$26,1,ROUNDUP((L$6-'Launch Readiness'!$B$7)/12,0))))))-IF(L$6&lt;'Launch Readiness'!$E$6,0,INDEX('Scenario Engine'!$B$47:$F$47,1,L$7)/MAX(1,INDEX('Launch Readiness'!$B$26:$F$26,1,L$7)))-INDEX('Scenario Engine'!$B$52:$F$52,1,L$7)/12-((INDEX('Scenario Engine'!$B$53:$F$53,1,L$7)-'Launch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Readiness'!$E$16/12,0))-(IF(L$6&lt;=6,'Startup 6mo'!$F$44/6,0)+IF(L$6&lt;'Launch Readiness'!$E$6,'Launch Readiness'!$E$8/MAX(1,'Launch Readiness'!$E$7),0)+IF(L$6='Launch Readiness'!$G$14,'Launch Readiness'!$E$15,0)),0)</x:f>
        <x:v>-1044855</x:v>
      </x:c>
      <x:c r="M52" s="103" t="n">
        <x:f>ROUND(L52+(IF(M$6&lt;='Launch Readiness'!$B$7,0,IF((M$6-'Launch Readiness'!$B$7)&lt;'Launch Readiness'!$E$6,0,INDEX('Scenario Engine'!$B$30:$F$30,1,ROUNDUP((M$6-'Launch Readiness'!$B$7)/12,0))/MAX(1,INDEX('Launch Readiness'!$B$26:$F$26,1,ROUNDUP((M$6-'Launch Readiness'!$B$7)/12,0))))))-IF(M$6&lt;'Launch Readiness'!$E$6,0,INDEX('Scenario Engine'!$B$47:$F$47,1,M$7)/MAX(1,INDEX('Launch Readiness'!$B$26:$F$26,1,M$7)))-INDEX('Scenario Engine'!$B$52:$F$52,1,M$7)/12-((INDEX('Scenario Engine'!$B$53:$F$53,1,M$7)-'Launch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Readiness'!$E$16/12,0))-(IF(M$6&lt;=6,'Startup 6mo'!$F$44/6,0)+IF(M$6&lt;'Launch Readiness'!$E$6,'Launch Readiness'!$E$8/MAX(1,'Launch Readiness'!$E$7),0)+IF(M$6='Launch Readiness'!$G$14,'Launch Readiness'!$E$15,0)),0)</x:f>
        <x:v>-1112373</x:v>
      </x:c>
      <x:c r="N52" s="103" t="n">
        <x:f>ROUND(M52+(IF(N$6&lt;='Launch Readiness'!$B$7,0,IF((N$6-'Launch Readiness'!$B$7)&lt;'Launch Readiness'!$E$6,0,INDEX('Scenario Engine'!$B$30:$F$30,1,ROUNDUP((N$6-'Launch Readiness'!$B$7)/12,0))/MAX(1,INDEX('Launch Readiness'!$B$26:$F$26,1,ROUNDUP((N$6-'Launch Readiness'!$B$7)/12,0))))))-IF(N$6&lt;'Launch Readiness'!$E$6,0,INDEX('Scenario Engine'!$B$47:$F$47,1,N$7)/MAX(1,INDEX('Launch Readiness'!$B$26:$F$26,1,N$7)))-INDEX('Scenario Engine'!$B$52:$F$52,1,N$7)/12-((INDEX('Scenario Engine'!$B$53:$F$53,1,N$7)-'Launch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Readiness'!$E$16/12,0))-(IF(N$6&lt;=6,'Startup 6mo'!$F$44/6,0)+IF(N$6&lt;'Launch Readiness'!$E$6,'Launch Readiness'!$E$8/MAX(1,'Launch Readiness'!$E$7),0)+IF(N$6='Launch Readiness'!$G$14,'Launch Readiness'!$E$15,0)),0)</x:f>
        <x:v>-1213159</x:v>
      </x:c>
      <x:c r="O52" s="103" t="n">
        <x:f>ROUND(N52+(IF(O$6&lt;='Launch Readiness'!$B$7,0,IF((O$6-'Launch Readiness'!$B$7)&lt;'Launch Readiness'!$E$6,0,INDEX('Scenario Engine'!$B$30:$F$30,1,ROUNDUP((O$6-'Launch Readiness'!$B$7)/12,0))/MAX(1,INDEX('Launch Readiness'!$B$26:$F$26,1,ROUNDUP((O$6-'Launch Readiness'!$B$7)/12,0))))))-IF(O$6&lt;'Launch Readiness'!$E$6,0,INDEX('Scenario Engine'!$B$47:$F$47,1,O$7)/MAX(1,INDEX('Launch Readiness'!$B$26:$F$26,1,O$7)))-INDEX('Scenario Engine'!$B$52:$F$52,1,O$7)/12-((INDEX('Scenario Engine'!$B$53:$F$53,1,O$7)-'Launch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Readiness'!$E$16/12,0))-(IF(O$6&lt;=6,'Startup 6mo'!$F$44/6,0)+IF(O$6&lt;'Launch Readiness'!$E$6,'Launch Readiness'!$E$8/MAX(1,'Launch Readiness'!$E$7),0)+IF(O$6='Launch Readiness'!$G$14,'Launch Readiness'!$E$15,0)),0)</x:f>
        <x:v>-1295619</x:v>
      </x:c>
      <x:c r="P52" s="103" t="n">
        <x:f>ROUND(O52+(IF(P$6&lt;='Launch Readiness'!$B$7,0,IF((P$6-'Launch Readiness'!$B$7)&lt;'Launch Readiness'!$E$6,0,INDEX('Scenario Engine'!$B$30:$F$30,1,ROUNDUP((P$6-'Launch Readiness'!$B$7)/12,0))/MAX(1,INDEX('Launch Readiness'!$B$26:$F$26,1,ROUNDUP((P$6-'Launch Readiness'!$B$7)/12,0))))))-IF(P$6&lt;'Launch Readiness'!$E$6,0,INDEX('Scenario Engine'!$B$47:$F$47,1,P$7)/MAX(1,INDEX('Launch Readiness'!$B$26:$F$26,1,P$7)))-INDEX('Scenario Engine'!$B$52:$F$52,1,P$7)/12-((INDEX('Scenario Engine'!$B$53:$F$53,1,P$7)-'Launch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Readiness'!$E$16/12,0))-(IF(P$6&lt;=6,'Startup 6mo'!$F$44/6,0)+IF(P$6&lt;'Launch Readiness'!$E$6,'Launch Readiness'!$E$8/MAX(1,'Launch Readiness'!$E$7),0)+IF(P$6='Launch Readiness'!$G$14,'Launch Readiness'!$E$15,0)),0)</x:f>
        <x:v>-1378079</x:v>
      </x:c>
      <x:c r="Q52" s="103" t="n">
        <x:f>ROUND(P52+(IF(Q$6&lt;='Launch Readiness'!$B$7,0,IF((Q$6-'Launch Readiness'!$B$7)&lt;'Launch Readiness'!$E$6,0,INDEX('Scenario Engine'!$B$30:$F$30,1,ROUNDUP((Q$6-'Launch Readiness'!$B$7)/12,0))/MAX(1,INDEX('Launch Readiness'!$B$26:$F$26,1,ROUNDUP((Q$6-'Launch Readiness'!$B$7)/12,0))))))-IF(Q$6&lt;'Launch Readiness'!$E$6,0,INDEX('Scenario Engine'!$B$47:$F$47,1,Q$7)/MAX(1,INDEX('Launch Readiness'!$B$26:$F$26,1,Q$7)))-INDEX('Scenario Engine'!$B$52:$F$52,1,Q$7)/12-((INDEX('Scenario Engine'!$B$53:$F$53,1,Q$7)-'Launch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Readiness'!$E$16/12,0))-(IF(Q$6&lt;=6,'Startup 6mo'!$F$44/6,0)+IF(Q$6&lt;'Launch Readiness'!$E$6,'Launch Readiness'!$E$8/MAX(1,'Launch Readiness'!$E$7),0)+IF(Q$6='Launch Readiness'!$G$14,'Launch Readiness'!$E$15,0)),0)</x:f>
        <x:v>-1460539</x:v>
      </x:c>
      <x:c r="R52" s="103" t="n">
        <x:f>ROUND(Q52+(IF(R$6&lt;='Launch Readiness'!$B$7,0,IF((R$6-'Launch Readiness'!$B$7)&lt;'Launch Readiness'!$E$6,0,INDEX('Scenario Engine'!$B$30:$F$30,1,ROUNDUP((R$6-'Launch Readiness'!$B$7)/12,0))/MAX(1,INDEX('Launch Readiness'!$B$26:$F$26,1,ROUNDUP((R$6-'Launch Readiness'!$B$7)/12,0))))))-IF(R$6&lt;'Launch Readiness'!$E$6,0,INDEX('Scenario Engine'!$B$47:$F$47,1,R$7)/MAX(1,INDEX('Launch Readiness'!$B$26:$F$26,1,R$7)))-INDEX('Scenario Engine'!$B$52:$F$52,1,R$7)/12-((INDEX('Scenario Engine'!$B$53:$F$53,1,R$7)-'Launch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Readiness'!$E$16/12,0))-(IF(R$6&lt;=6,'Startup 6mo'!$F$44/6,0)+IF(R$6&lt;'Launch Readiness'!$E$6,'Launch Readiness'!$E$8/MAX(1,'Launch Readiness'!$E$7),0)+IF(R$6='Launch Readiness'!$G$14,'Launch Readiness'!$E$15,0)),0)</x:f>
        <x:v>-1542999</x:v>
      </x:c>
      <x:c r="S52" s="103" t="n">
        <x:f>ROUND(R52+(IF(S$6&lt;='Launch Readiness'!$B$7,0,IF((S$6-'Launch Readiness'!$B$7)&lt;'Launch Readiness'!$E$6,0,INDEX('Scenario Engine'!$B$30:$F$30,1,ROUNDUP((S$6-'Launch Readiness'!$B$7)/12,0))/MAX(1,INDEX('Launch Readiness'!$B$26:$F$26,1,ROUNDUP((S$6-'Launch Readiness'!$B$7)/12,0))))))-IF(S$6&lt;'Launch Readiness'!$E$6,0,INDEX('Scenario Engine'!$B$47:$F$47,1,S$7)/MAX(1,INDEX('Launch Readiness'!$B$26:$F$26,1,S$7)))-INDEX('Scenario Engine'!$B$52:$F$52,1,S$7)/12-((INDEX('Scenario Engine'!$B$53:$F$53,1,S$7)-'Launch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Readiness'!$E$16/12,0))-(IF(S$6&lt;=6,'Startup 6mo'!$F$44/6,0)+IF(S$6&lt;'Launch Readiness'!$E$6,'Launch Readiness'!$E$8/MAX(1,'Launch Readiness'!$E$7),0)+IF(S$6='Launch Readiness'!$G$14,'Launch Readiness'!$E$15,0)),0)</x:f>
        <x:v>-1628384</x:v>
      </x:c>
      <x:c r="T52" s="103" t="n">
        <x:f>ROUND(S52+(IF(T$6&lt;='Launch Readiness'!$B$7,0,IF((T$6-'Launch Readiness'!$B$7)&lt;'Launch Readiness'!$E$6,0,INDEX('Scenario Engine'!$B$30:$F$30,1,ROUNDUP((T$6-'Launch Readiness'!$B$7)/12,0))/MAX(1,INDEX('Launch Readiness'!$B$26:$F$26,1,ROUNDUP((T$6-'Launch Readiness'!$B$7)/12,0))))))-IF(T$6&lt;'Launch Readiness'!$E$6,0,INDEX('Scenario Engine'!$B$47:$F$47,1,T$7)/MAX(1,INDEX('Launch Readiness'!$B$26:$F$26,1,T$7)))-INDEX('Scenario Engine'!$B$52:$F$52,1,T$7)/12-((INDEX('Scenario Engine'!$B$53:$F$53,1,T$7)-'Launch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Readiness'!$E$16/12,0))-(IF(T$6&lt;=6,'Startup 6mo'!$F$44/6,0)+IF(T$6&lt;'Launch Readiness'!$E$6,'Launch Readiness'!$E$8/MAX(1,'Launch Readiness'!$E$7),0)+IF(T$6='Launch Readiness'!$G$14,'Launch Readiness'!$E$15,0)),0)</x:f>
        <x:v>-1713769</x:v>
      </x:c>
      <x:c r="U52" s="103" t="n">
        <x:f>ROUND(T52+(IF(U$6&lt;='Launch Readiness'!$B$7,0,IF((U$6-'Launch Readiness'!$B$7)&lt;'Launch Readiness'!$E$6,0,INDEX('Scenario Engine'!$B$30:$F$30,1,ROUNDUP((U$6-'Launch Readiness'!$B$7)/12,0))/MAX(1,INDEX('Launch Readiness'!$B$26:$F$26,1,ROUNDUP((U$6-'Launch Readiness'!$B$7)/12,0))))))-IF(U$6&lt;'Launch Readiness'!$E$6,0,INDEX('Scenario Engine'!$B$47:$F$47,1,U$7)/MAX(1,INDEX('Launch Readiness'!$B$26:$F$26,1,U$7)))-INDEX('Scenario Engine'!$B$52:$F$52,1,U$7)/12-((INDEX('Scenario Engine'!$B$53:$F$53,1,U$7)-'Launch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Readiness'!$E$16/12,0))-(IF(U$6&lt;=6,'Startup 6mo'!$F$44/6,0)+IF(U$6&lt;'Launch Readiness'!$E$6,'Launch Readiness'!$E$8/MAX(1,'Launch Readiness'!$E$7),0)+IF(U$6='Launch Readiness'!$G$14,'Launch Readiness'!$E$15,0)),0)</x:f>
        <x:v>-1799154</x:v>
      </x:c>
      <x:c r="V52" s="103" t="n">
        <x:f>ROUND(U52+(IF(V$6&lt;='Launch Readiness'!$B$7,0,IF((V$6-'Launch Readiness'!$B$7)&lt;'Launch Readiness'!$E$6,0,INDEX('Scenario Engine'!$B$30:$F$30,1,ROUNDUP((V$6-'Launch Readiness'!$B$7)/12,0))/MAX(1,INDEX('Launch Readiness'!$B$26:$F$26,1,ROUNDUP((V$6-'Launch Readiness'!$B$7)/12,0))))))-IF(V$6&lt;'Launch Readiness'!$E$6,0,INDEX('Scenario Engine'!$B$47:$F$47,1,V$7)/MAX(1,INDEX('Launch Readiness'!$B$26:$F$26,1,V$7)))-INDEX('Scenario Engine'!$B$52:$F$52,1,V$7)/12-((INDEX('Scenario Engine'!$B$53:$F$53,1,V$7)-'Launch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Readiness'!$E$16/12,0))-(IF(V$6&lt;=6,'Startup 6mo'!$F$44/6,0)+IF(V$6&lt;'Launch Readiness'!$E$6,'Launch Readiness'!$E$8/MAX(1,'Launch Readiness'!$E$7),0)+IF(V$6='Launch Readiness'!$G$14,'Launch Readiness'!$E$15,0)),0)</x:f>
        <x:v>-1884539</x:v>
      </x:c>
      <x:c r="W52" s="103" t="n">
        <x:f>ROUND(V52+(IF(W$6&lt;='Launch Readiness'!$B$7,0,IF((W$6-'Launch Readiness'!$B$7)&lt;'Launch Readiness'!$E$6,0,INDEX('Scenario Engine'!$B$30:$F$30,1,ROUNDUP((W$6-'Launch Readiness'!$B$7)/12,0))/MAX(1,INDEX('Launch Readiness'!$B$26:$F$26,1,ROUNDUP((W$6-'Launch Readiness'!$B$7)/12,0))))))-IF(W$6&lt;'Launch Readiness'!$E$6,0,INDEX('Scenario Engine'!$B$47:$F$47,1,W$7)/MAX(1,INDEX('Launch Readiness'!$B$26:$F$26,1,W$7)))-INDEX('Scenario Engine'!$B$52:$F$52,1,W$7)/12-((INDEX('Scenario Engine'!$B$53:$F$53,1,W$7)-'Launch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Readiness'!$E$16/12,0))-(IF(W$6&lt;=6,'Startup 6mo'!$F$44/6,0)+IF(W$6&lt;'Launch Readiness'!$E$6,'Launch Readiness'!$E$8/MAX(1,'Launch Readiness'!$E$7),0)+IF(W$6='Launch Readiness'!$G$14,'Launch Readiness'!$E$15,0)),0)</x:f>
        <x:v>-1969924</x:v>
      </x:c>
      <x:c r="X52" s="103" t="n">
        <x:f>ROUND(W52+(IF(X$6&lt;='Launch Readiness'!$B$7,0,IF((X$6-'Launch Readiness'!$B$7)&lt;'Launch Readiness'!$E$6,0,INDEX('Scenario Engine'!$B$30:$F$30,1,ROUNDUP((X$6-'Launch Readiness'!$B$7)/12,0))/MAX(1,INDEX('Launch Readiness'!$B$26:$F$26,1,ROUNDUP((X$6-'Launch Readiness'!$B$7)/12,0))))))-IF(X$6&lt;'Launch Readiness'!$E$6,0,INDEX('Scenario Engine'!$B$47:$F$47,1,X$7)/MAX(1,INDEX('Launch Readiness'!$B$26:$F$26,1,X$7)))-INDEX('Scenario Engine'!$B$52:$F$52,1,X$7)/12-((INDEX('Scenario Engine'!$B$53:$F$53,1,X$7)-'Launch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Readiness'!$E$16/12,0))-(IF(X$6&lt;=6,'Startup 6mo'!$F$44/6,0)+IF(X$6&lt;'Launch Readiness'!$E$6,'Launch Readiness'!$E$8/MAX(1,'Launch Readiness'!$E$7),0)+IF(X$6='Launch Readiness'!$G$14,'Launch Readiness'!$E$15,0)),0)</x:f>
        <x:v>-2055309</x:v>
      </x:c>
      <x:c r="Y52" s="103" t="n">
        <x:f>ROUND(X52+(IF(Y$6&lt;='Launch Readiness'!$B$7,0,IF((Y$6-'Launch Readiness'!$B$7)&lt;'Launch Readiness'!$E$6,0,INDEX('Scenario Engine'!$B$30:$F$30,1,ROUNDUP((Y$6-'Launch Readiness'!$B$7)/12,0))/MAX(1,INDEX('Launch Readiness'!$B$26:$F$26,1,ROUNDUP((Y$6-'Launch Readiness'!$B$7)/12,0))))))-IF(Y$6&lt;'Launch Readiness'!$E$6,0,INDEX('Scenario Engine'!$B$47:$F$47,1,Y$7)/MAX(1,INDEX('Launch Readiness'!$B$26:$F$26,1,Y$7)))-INDEX('Scenario Engine'!$B$52:$F$52,1,Y$7)/12-((INDEX('Scenario Engine'!$B$53:$F$53,1,Y$7)-'Launch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Readiness'!$E$16/12,0))-(IF(Y$6&lt;=6,'Startup 6mo'!$F$44/6,0)+IF(Y$6&lt;'Launch Readiness'!$E$6,'Launch Readiness'!$E$8/MAX(1,'Launch Readiness'!$E$7),0)+IF(Y$6='Launch Readiness'!$G$14,'Launch Readiness'!$E$15,0)),0)</x:f>
        <x:v>-2140694</x:v>
      </x:c>
      <x:c r="Z52" s="103" t="n">
        <x:f>ROUND(Y52+(IF(Z$6&lt;='Launch Readiness'!$B$7,0,IF((Z$6-'Launch Readiness'!$B$7)&lt;'Launch Readiness'!$E$6,0,INDEX('Scenario Engine'!$B$30:$F$30,1,ROUNDUP((Z$6-'Launch Readiness'!$B$7)/12,0))/MAX(1,INDEX('Launch Readiness'!$B$26:$F$26,1,ROUNDUP((Z$6-'Launch Readiness'!$B$7)/12,0))))))-IF(Z$6&lt;'Launch Readiness'!$E$6,0,INDEX('Scenario Engine'!$B$47:$F$47,1,Z$7)/MAX(1,INDEX('Launch Readiness'!$B$26:$F$26,1,Z$7)))-INDEX('Scenario Engine'!$B$52:$F$52,1,Z$7)/12-((INDEX('Scenario Engine'!$B$53:$F$53,1,Z$7)-'Launch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Readiness'!$E$16/12,0))-(IF(Z$6&lt;=6,'Startup 6mo'!$F$44/6,0)+IF(Z$6&lt;'Launch Readiness'!$E$6,'Launch Readiness'!$E$8/MAX(1,'Launch Readiness'!$E$7),0)+IF(Z$6='Launch Readiness'!$G$14,'Launch Readiness'!$E$15,0)),0)</x:f>
        <x:v>-2270219</x:v>
      </x:c>
      <x:c r="AA52" s="103" t="n">
        <x:f>ROUND(Z52+(IF(AA$6&lt;='Launch Readiness'!$B$7,0,IF((AA$6-'Launch Readiness'!$B$7)&lt;'Launch Readiness'!$E$6,0,INDEX('Scenario Engine'!$B$30:$F$30,1,ROUNDUP((AA$6-'Launch Readiness'!$B$7)/12,0))/MAX(1,INDEX('Launch Readiness'!$B$26:$F$26,1,ROUNDUP((AA$6-'Launch Readiness'!$B$7)/12,0))))))-IF(AA$6&lt;'Launch Readiness'!$E$6,0,INDEX('Scenario Engine'!$B$47:$F$47,1,AA$7)/MAX(1,INDEX('Launch Readiness'!$B$26:$F$26,1,AA$7)))-INDEX('Scenario Engine'!$B$52:$F$52,1,AA$7)/12-((INDEX('Scenario Engine'!$B$53:$F$53,1,AA$7)-'Launch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Readiness'!$E$16/12,0))-(IF(AA$6&lt;=6,'Startup 6mo'!$F$44/6,0)+IF(AA$6&lt;'Launch Readiness'!$E$6,'Launch Readiness'!$E$8/MAX(1,'Launch Readiness'!$E$7),0)+IF(AA$6='Launch Readiness'!$G$14,'Launch Readiness'!$E$15,0)),0)</x:f>
        <x:v>-2330801</x:v>
      </x:c>
      <x:c r="AB52" s="103" t="n">
        <x:f>ROUND(AA52+(IF(AB$6&lt;='Launch Readiness'!$B$7,0,IF((AB$6-'Launch Readiness'!$B$7)&lt;'Launch Readiness'!$E$6,0,INDEX('Scenario Engine'!$B$30:$F$30,1,ROUNDUP((AB$6-'Launch Readiness'!$B$7)/12,0))/MAX(1,INDEX('Launch Readiness'!$B$26:$F$26,1,ROUNDUP((AB$6-'Launch Readiness'!$B$7)/12,0))))))-IF(AB$6&lt;'Launch Readiness'!$E$6,0,INDEX('Scenario Engine'!$B$47:$F$47,1,AB$7)/MAX(1,INDEX('Launch Readiness'!$B$26:$F$26,1,AB$7)))-INDEX('Scenario Engine'!$B$52:$F$52,1,AB$7)/12-((INDEX('Scenario Engine'!$B$53:$F$53,1,AB$7)-'Launch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Readiness'!$E$16/12,0))-(IF(AB$6&lt;=6,'Startup 6mo'!$F$44/6,0)+IF(AB$6&lt;'Launch Readiness'!$E$6,'Launch Readiness'!$E$8/MAX(1,'Launch Readiness'!$E$7),0)+IF(AB$6='Launch Readiness'!$G$14,'Launch Readiness'!$E$15,0)),0)</x:f>
        <x:v>-2391383</x:v>
      </x:c>
      <x:c r="AC52" s="103" t="n">
        <x:f>ROUND(AB52+(IF(AC$6&lt;='Launch Readiness'!$B$7,0,IF((AC$6-'Launch Readiness'!$B$7)&lt;'Launch Readiness'!$E$6,0,INDEX('Scenario Engine'!$B$30:$F$30,1,ROUNDUP((AC$6-'Launch Readiness'!$B$7)/12,0))/MAX(1,INDEX('Launch Readiness'!$B$26:$F$26,1,ROUNDUP((AC$6-'Launch Readiness'!$B$7)/12,0))))))-IF(AC$6&lt;'Launch Readiness'!$E$6,0,INDEX('Scenario Engine'!$B$47:$F$47,1,AC$7)/MAX(1,INDEX('Launch Readiness'!$B$26:$F$26,1,AC$7)))-INDEX('Scenario Engine'!$B$52:$F$52,1,AC$7)/12-((INDEX('Scenario Engine'!$B$53:$F$53,1,AC$7)-'Launch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Readiness'!$E$16/12,0))-(IF(AC$6&lt;=6,'Startup 6mo'!$F$44/6,0)+IF(AC$6&lt;'Launch Readiness'!$E$6,'Launch Readiness'!$E$8/MAX(1,'Launch Readiness'!$E$7),0)+IF(AC$6='Launch Readiness'!$G$14,'Launch Readiness'!$E$15,0)),0)</x:f>
        <x:v>-2451965</x:v>
      </x:c>
      <x:c r="AD52" s="103" t="n">
        <x:f>ROUND(AC52+(IF(AD$6&lt;='Launch Readiness'!$B$7,0,IF((AD$6-'Launch Readiness'!$B$7)&lt;'Launch Readiness'!$E$6,0,INDEX('Scenario Engine'!$B$30:$F$30,1,ROUNDUP((AD$6-'Launch Readiness'!$B$7)/12,0))/MAX(1,INDEX('Launch Readiness'!$B$26:$F$26,1,ROUNDUP((AD$6-'Launch Readiness'!$B$7)/12,0))))))-IF(AD$6&lt;'Launch Readiness'!$E$6,0,INDEX('Scenario Engine'!$B$47:$F$47,1,AD$7)/MAX(1,INDEX('Launch Readiness'!$B$26:$F$26,1,AD$7)))-INDEX('Scenario Engine'!$B$52:$F$52,1,AD$7)/12-((INDEX('Scenario Engine'!$B$53:$F$53,1,AD$7)-'Launch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Readiness'!$E$16/12,0))-(IF(AD$6&lt;=6,'Startup 6mo'!$F$44/6,0)+IF(AD$6&lt;'Launch Readiness'!$E$6,'Launch Readiness'!$E$8/MAX(1,'Launch Readiness'!$E$7),0)+IF(AD$6='Launch Readiness'!$G$14,'Launch Readiness'!$E$15,0)),0)</x:f>
        <x:v>-2512547</x:v>
      </x:c>
      <x:c r="AE52" s="103" t="n">
        <x:f>ROUND(AD52+(IF(AE$6&lt;='Launch Readiness'!$B$7,0,IF((AE$6-'Launch Readiness'!$B$7)&lt;'Launch Readiness'!$E$6,0,INDEX('Scenario Engine'!$B$30:$F$30,1,ROUNDUP((AE$6-'Launch Readiness'!$B$7)/12,0))/MAX(1,INDEX('Launch Readiness'!$B$26:$F$26,1,ROUNDUP((AE$6-'Launch Readiness'!$B$7)/12,0))))))-IF(AE$6&lt;'Launch Readiness'!$E$6,0,INDEX('Scenario Engine'!$B$47:$F$47,1,AE$7)/MAX(1,INDEX('Launch Readiness'!$B$26:$F$26,1,AE$7)))-INDEX('Scenario Engine'!$B$52:$F$52,1,AE$7)/12-((INDEX('Scenario Engine'!$B$53:$F$53,1,AE$7)-'Launch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Readiness'!$E$16/12,0))-(IF(AE$6&lt;=6,'Startup 6mo'!$F$44/6,0)+IF(AE$6&lt;'Launch Readiness'!$E$6,'Launch Readiness'!$E$8/MAX(1,'Launch Readiness'!$E$7),0)+IF(AE$6='Launch Readiness'!$G$14,'Launch Readiness'!$E$15,0)),0)</x:f>
        <x:v>-2573129</x:v>
      </x:c>
      <x:c r="AF52" s="103" t="n">
        <x:f>ROUND(AE52+(IF(AF$6&lt;='Launch Readiness'!$B$7,0,IF((AF$6-'Launch Readiness'!$B$7)&lt;'Launch Readiness'!$E$6,0,INDEX('Scenario Engine'!$B$30:$F$30,1,ROUNDUP((AF$6-'Launch Readiness'!$B$7)/12,0))/MAX(1,INDEX('Launch Readiness'!$B$26:$F$26,1,ROUNDUP((AF$6-'Launch Readiness'!$B$7)/12,0))))))-IF(AF$6&lt;'Launch Readiness'!$E$6,0,INDEX('Scenario Engine'!$B$47:$F$47,1,AF$7)/MAX(1,INDEX('Launch Readiness'!$B$26:$F$26,1,AF$7)))-INDEX('Scenario Engine'!$B$52:$F$52,1,AF$7)/12-((INDEX('Scenario Engine'!$B$53:$F$53,1,AF$7)-'Launch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Readiness'!$E$16/12,0))-(IF(AF$6&lt;=6,'Startup 6mo'!$F$44/6,0)+IF(AF$6&lt;'Launch Readiness'!$E$6,'Launch Readiness'!$E$8/MAX(1,'Launch Readiness'!$E$7),0)+IF(AF$6='Launch Readiness'!$G$14,'Launch Readiness'!$E$15,0)),0)</x:f>
        <x:v>-2633711</x:v>
      </x:c>
      <x:c r="AG52" s="103" t="n">
        <x:f>ROUND(AF52+(IF(AG$6&lt;='Launch Readiness'!$B$7,0,IF((AG$6-'Launch Readiness'!$B$7)&lt;'Launch Readiness'!$E$6,0,INDEX('Scenario Engine'!$B$30:$F$30,1,ROUNDUP((AG$6-'Launch Readiness'!$B$7)/12,0))/MAX(1,INDEX('Launch Readiness'!$B$26:$F$26,1,ROUNDUP((AG$6-'Launch Readiness'!$B$7)/12,0))))))-IF(AG$6&lt;'Launch Readiness'!$E$6,0,INDEX('Scenario Engine'!$B$47:$F$47,1,AG$7)/MAX(1,INDEX('Launch Readiness'!$B$26:$F$26,1,AG$7)))-INDEX('Scenario Engine'!$B$52:$F$52,1,AG$7)/12-((INDEX('Scenario Engine'!$B$53:$F$53,1,AG$7)-'Launch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Readiness'!$E$16/12,0))-(IF(AG$6&lt;=6,'Startup 6mo'!$F$44/6,0)+IF(AG$6&lt;'Launch Readiness'!$E$6,'Launch Readiness'!$E$8/MAX(1,'Launch Readiness'!$E$7),0)+IF(AG$6='Launch Readiness'!$G$14,'Launch Readiness'!$E$15,0)),0)</x:f>
        <x:v>-2694293</x:v>
      </x:c>
      <x:c r="AH52" s="103" t="n">
        <x:f>ROUND(AG52+(IF(AH$6&lt;='Launch Readiness'!$B$7,0,IF((AH$6-'Launch Readiness'!$B$7)&lt;'Launch Readiness'!$E$6,0,INDEX('Scenario Engine'!$B$30:$F$30,1,ROUNDUP((AH$6-'Launch Readiness'!$B$7)/12,0))/MAX(1,INDEX('Launch Readiness'!$B$26:$F$26,1,ROUNDUP((AH$6-'Launch Readiness'!$B$7)/12,0))))))-IF(AH$6&lt;'Launch Readiness'!$E$6,0,INDEX('Scenario Engine'!$B$47:$F$47,1,AH$7)/MAX(1,INDEX('Launch Readiness'!$B$26:$F$26,1,AH$7)))-INDEX('Scenario Engine'!$B$52:$F$52,1,AH$7)/12-((INDEX('Scenario Engine'!$B$53:$F$53,1,AH$7)-'Launch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Readiness'!$E$16/12,0))-(IF(AH$6&lt;=6,'Startup 6mo'!$F$44/6,0)+IF(AH$6&lt;'Launch Readiness'!$E$6,'Launch Readiness'!$E$8/MAX(1,'Launch Readiness'!$E$7),0)+IF(AH$6='Launch Readiness'!$G$14,'Launch Readiness'!$E$15,0)),0)</x:f>
        <x:v>-2754875</x:v>
      </x:c>
      <x:c r="AI52" s="103" t="n">
        <x:f>ROUND(AH52+(IF(AI$6&lt;='Launch Readiness'!$B$7,0,IF((AI$6-'Launch Readiness'!$B$7)&lt;'Launch Readiness'!$E$6,0,INDEX('Scenario Engine'!$B$30:$F$30,1,ROUNDUP((AI$6-'Launch Readiness'!$B$7)/12,0))/MAX(1,INDEX('Launch Readiness'!$B$26:$F$26,1,ROUNDUP((AI$6-'Launch Readiness'!$B$7)/12,0))))))-IF(AI$6&lt;'Launch Readiness'!$E$6,0,INDEX('Scenario Engine'!$B$47:$F$47,1,AI$7)/MAX(1,INDEX('Launch Readiness'!$B$26:$F$26,1,AI$7)))-INDEX('Scenario Engine'!$B$52:$F$52,1,AI$7)/12-((INDEX('Scenario Engine'!$B$53:$F$53,1,AI$7)-'Launch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Readiness'!$E$16/12,0))-(IF(AI$6&lt;=6,'Startup 6mo'!$F$44/6,0)+IF(AI$6&lt;'Launch Readiness'!$E$6,'Launch Readiness'!$E$8/MAX(1,'Launch Readiness'!$E$7),0)+IF(AI$6='Launch Readiness'!$G$14,'Launch Readiness'!$E$15,0)),0)</x:f>
        <x:v>-2815457</x:v>
      </x:c>
      <x:c r="AJ52" s="103" t="n">
        <x:f>ROUND(AI52+(IF(AJ$6&lt;='Launch Readiness'!$B$7,0,IF((AJ$6-'Launch Readiness'!$B$7)&lt;'Launch Readiness'!$E$6,0,INDEX('Scenario Engine'!$B$30:$F$30,1,ROUNDUP((AJ$6-'Launch Readiness'!$B$7)/12,0))/MAX(1,INDEX('Launch Readiness'!$B$26:$F$26,1,ROUNDUP((AJ$6-'Launch Readiness'!$B$7)/12,0))))))-IF(AJ$6&lt;'Launch Readiness'!$E$6,0,INDEX('Scenario Engine'!$B$47:$F$47,1,AJ$7)/MAX(1,INDEX('Launch Readiness'!$B$26:$F$26,1,AJ$7)))-INDEX('Scenario Engine'!$B$52:$F$52,1,AJ$7)/12-((INDEX('Scenario Engine'!$B$53:$F$53,1,AJ$7)-'Launch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Readiness'!$E$16/12,0))-(IF(AJ$6&lt;=6,'Startup 6mo'!$F$44/6,0)+IF(AJ$6&lt;'Launch Readiness'!$E$6,'Launch Readiness'!$E$8/MAX(1,'Launch Readiness'!$E$7),0)+IF(AJ$6='Launch Readiness'!$G$14,'Launch Readiness'!$E$15,0)),0)</x:f>
        <x:v>-2876039</x:v>
      </x:c>
      <x:c r="AK52" s="103" t="n">
        <x:f>ROUND(AJ52+(IF(AK$6&lt;='Launch Readiness'!$B$7,0,IF((AK$6-'Launch Readiness'!$B$7)&lt;'Launch Readiness'!$E$6,0,INDEX('Scenario Engine'!$B$30:$F$30,1,ROUNDUP((AK$6-'Launch Readiness'!$B$7)/12,0))/MAX(1,INDEX('Launch Readiness'!$B$26:$F$26,1,ROUNDUP((AK$6-'Launch Readiness'!$B$7)/12,0))))))-IF(AK$6&lt;'Launch Readiness'!$E$6,0,INDEX('Scenario Engine'!$B$47:$F$47,1,AK$7)/MAX(1,INDEX('Launch Readiness'!$B$26:$F$26,1,AK$7)))-INDEX('Scenario Engine'!$B$52:$F$52,1,AK$7)/12-((INDEX('Scenario Engine'!$B$53:$F$53,1,AK$7)-'Launch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Readiness'!$E$16/12,0))-(IF(AK$6&lt;=6,'Startup 6mo'!$F$44/6,0)+IF(AK$6&lt;'Launch Readiness'!$E$6,'Launch Readiness'!$E$8/MAX(1,'Launch Readiness'!$E$7),0)+IF(AK$6='Launch Readiness'!$G$14,'Launch Readiness'!$E$15,0)),0)</x:f>
        <x:v>-2936621</x:v>
      </x:c>
      <x:c r="AL52" s="103" t="n">
        <x:f>ROUND(AK52+(IF(AL$6&lt;='Launch Readiness'!$B$7,0,IF((AL$6-'Launch Readiness'!$B$7)&lt;'Launch Readiness'!$E$6,0,INDEX('Scenario Engine'!$B$30:$F$30,1,ROUNDUP((AL$6-'Launch Readiness'!$B$7)/12,0))/MAX(1,INDEX('Launch Readiness'!$B$26:$F$26,1,ROUNDUP((AL$6-'Launch Readiness'!$B$7)/12,0))))))-IF(AL$6&lt;'Launch Readiness'!$E$6,0,INDEX('Scenario Engine'!$B$47:$F$47,1,AL$7)/MAX(1,INDEX('Launch Readiness'!$B$26:$F$26,1,AL$7)))-INDEX('Scenario Engine'!$B$52:$F$52,1,AL$7)/12-((INDEX('Scenario Engine'!$B$53:$F$53,1,AL$7)-'Launch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Readiness'!$E$16/12,0))-(IF(AL$6&lt;=6,'Startup 6mo'!$F$44/6,0)+IF(AL$6&lt;'Launch Readiness'!$E$6,'Launch Readiness'!$E$8/MAX(1,'Launch Readiness'!$E$7),0)+IF(AL$6='Launch Readiness'!$G$14,'Launch Readiness'!$E$15,0)),0)</x:f>
        <x:v>-3043992</x:v>
      </x:c>
      <x:c r="AM52" s="103" t="n">
        <x:f>ROUND(AL52+(IF(AM$6&lt;='Launch Readiness'!$B$7,0,IF((AM$6-'Launch Readiness'!$B$7)&lt;'Launch Readiness'!$E$6,0,INDEX('Scenario Engine'!$B$30:$F$30,1,ROUNDUP((AM$6-'Launch Readiness'!$B$7)/12,0))/MAX(1,INDEX('Launch Readiness'!$B$26:$F$26,1,ROUNDUP((AM$6-'Launch Readiness'!$B$7)/12,0))))))-IF(AM$6&lt;'Launch Readiness'!$E$6,0,INDEX('Scenario Engine'!$B$47:$F$47,1,AM$7)/MAX(1,INDEX('Launch Readiness'!$B$26:$F$26,1,AM$7)))-INDEX('Scenario Engine'!$B$52:$F$52,1,AM$7)/12-((INDEX('Scenario Engine'!$B$53:$F$53,1,AM$7)-'Launch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Readiness'!$E$16/12,0))-(IF(AM$6&lt;=6,'Startup 6mo'!$F$44/6,0)+IF(AM$6&lt;'Launch Readiness'!$E$6,'Launch Readiness'!$E$8/MAX(1,'Launch Readiness'!$E$7),0)+IF(AM$6='Launch Readiness'!$G$14,'Launch Readiness'!$E$15,0)),0)</x:f>
        <x:v>-3112658</x:v>
      </x:c>
      <x:c r="AN52" s="103" t="n">
        <x:f>ROUND(AM52+(IF(AN$6&lt;='Launch Readiness'!$B$7,0,IF((AN$6-'Launch Readiness'!$B$7)&lt;'Launch Readiness'!$E$6,0,INDEX('Scenario Engine'!$B$30:$F$30,1,ROUNDUP((AN$6-'Launch Readiness'!$B$7)/12,0))/MAX(1,INDEX('Launch Readiness'!$B$26:$F$26,1,ROUNDUP((AN$6-'Launch Readiness'!$B$7)/12,0))))))-IF(AN$6&lt;'Launch Readiness'!$E$6,0,INDEX('Scenario Engine'!$B$47:$F$47,1,AN$7)/MAX(1,INDEX('Launch Readiness'!$B$26:$F$26,1,AN$7)))-INDEX('Scenario Engine'!$B$52:$F$52,1,AN$7)/12-((INDEX('Scenario Engine'!$B$53:$F$53,1,AN$7)-'Launch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Readiness'!$E$16/12,0))-(IF(AN$6&lt;=6,'Startup 6mo'!$F$44/6,0)+IF(AN$6&lt;'Launch Readiness'!$E$6,'Launch Readiness'!$E$8/MAX(1,'Launch Readiness'!$E$7),0)+IF(AN$6='Launch Readiness'!$G$14,'Launch Readiness'!$E$15,0)),0)</x:f>
        <x:v>-3181324</x:v>
      </x:c>
      <x:c r="AO52" s="103" t="n">
        <x:f>ROUND(AN52+(IF(AO$6&lt;='Launch Readiness'!$B$7,0,IF((AO$6-'Launch Readiness'!$B$7)&lt;'Launch Readiness'!$E$6,0,INDEX('Scenario Engine'!$B$30:$F$30,1,ROUNDUP((AO$6-'Launch Readiness'!$B$7)/12,0))/MAX(1,INDEX('Launch Readiness'!$B$26:$F$26,1,ROUNDUP((AO$6-'Launch Readiness'!$B$7)/12,0))))))-IF(AO$6&lt;'Launch Readiness'!$E$6,0,INDEX('Scenario Engine'!$B$47:$F$47,1,AO$7)/MAX(1,INDEX('Launch Readiness'!$B$26:$F$26,1,AO$7)))-INDEX('Scenario Engine'!$B$52:$F$52,1,AO$7)/12-((INDEX('Scenario Engine'!$B$53:$F$53,1,AO$7)-'Launch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Readiness'!$E$16/12,0))-(IF(AO$6&lt;=6,'Startup 6mo'!$F$44/6,0)+IF(AO$6&lt;'Launch Readiness'!$E$6,'Launch Readiness'!$E$8/MAX(1,'Launch Readiness'!$E$7),0)+IF(AO$6='Launch Readiness'!$G$14,'Launch Readiness'!$E$15,0)),0)</x:f>
        <x:v>-3249990</x:v>
      </x:c>
      <x:c r="AP52" s="103" t="n">
        <x:f>ROUND(AO52+(IF(AP$6&lt;='Launch Readiness'!$B$7,0,IF((AP$6-'Launch Readiness'!$B$7)&lt;'Launch Readiness'!$E$6,0,INDEX('Scenario Engine'!$B$30:$F$30,1,ROUNDUP((AP$6-'Launch Readiness'!$B$7)/12,0))/MAX(1,INDEX('Launch Readiness'!$B$26:$F$26,1,ROUNDUP((AP$6-'Launch Readiness'!$B$7)/12,0))))))-IF(AP$6&lt;'Launch Readiness'!$E$6,0,INDEX('Scenario Engine'!$B$47:$F$47,1,AP$7)/MAX(1,INDEX('Launch Readiness'!$B$26:$F$26,1,AP$7)))-INDEX('Scenario Engine'!$B$52:$F$52,1,AP$7)/12-((INDEX('Scenario Engine'!$B$53:$F$53,1,AP$7)-'Launch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Readiness'!$E$16/12,0))-(IF(AP$6&lt;=6,'Startup 6mo'!$F$44/6,0)+IF(AP$6&lt;'Launch Readiness'!$E$6,'Launch Readiness'!$E$8/MAX(1,'Launch Readiness'!$E$7),0)+IF(AP$6='Launch Readiness'!$G$14,'Launch Readiness'!$E$15,0)),0)</x:f>
        <x:v>-3318656</x:v>
      </x:c>
      <x:c r="AQ52" s="103" t="n">
        <x:f>ROUND(AP52+(IF(AQ$6&lt;='Launch Readiness'!$B$7,0,IF((AQ$6-'Launch Readiness'!$B$7)&lt;'Launch Readiness'!$E$6,0,INDEX('Scenario Engine'!$B$30:$F$30,1,ROUNDUP((AQ$6-'Launch Readiness'!$B$7)/12,0))/MAX(1,INDEX('Launch Readiness'!$B$26:$F$26,1,ROUNDUP((AQ$6-'Launch Readiness'!$B$7)/12,0))))))-IF(AQ$6&lt;'Launch Readiness'!$E$6,0,INDEX('Scenario Engine'!$B$47:$F$47,1,AQ$7)/MAX(1,INDEX('Launch Readiness'!$B$26:$F$26,1,AQ$7)))-INDEX('Scenario Engine'!$B$52:$F$52,1,AQ$7)/12-((INDEX('Scenario Engine'!$B$53:$F$53,1,AQ$7)-'Launch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Readiness'!$E$16/12,0))-(IF(AQ$6&lt;=6,'Startup 6mo'!$F$44/6,0)+IF(AQ$6&lt;'Launch Readiness'!$E$6,'Launch Readiness'!$E$8/MAX(1,'Launch Readiness'!$E$7),0)+IF(AQ$6='Launch Readiness'!$G$14,'Launch Readiness'!$E$15,0)),0)</x:f>
        <x:v>-3387322</x:v>
      </x:c>
      <x:c r="AR52" s="103" t="n">
        <x:f>ROUND(AQ52+(IF(AR$6&lt;='Launch Readiness'!$B$7,0,IF((AR$6-'Launch Readiness'!$B$7)&lt;'Launch Readiness'!$E$6,0,INDEX('Scenario Engine'!$B$30:$F$30,1,ROUNDUP((AR$6-'Launch Readiness'!$B$7)/12,0))/MAX(1,INDEX('Launch Readiness'!$B$26:$F$26,1,ROUNDUP((AR$6-'Launch Readiness'!$B$7)/12,0))))))-IF(AR$6&lt;'Launch Readiness'!$E$6,0,INDEX('Scenario Engine'!$B$47:$F$47,1,AR$7)/MAX(1,INDEX('Launch Readiness'!$B$26:$F$26,1,AR$7)))-INDEX('Scenario Engine'!$B$52:$F$52,1,AR$7)/12-((INDEX('Scenario Engine'!$B$53:$F$53,1,AR$7)-'Launch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Readiness'!$E$16/12,0))-(IF(AR$6&lt;=6,'Startup 6mo'!$F$44/6,0)+IF(AR$6&lt;'Launch Readiness'!$E$6,'Launch Readiness'!$E$8/MAX(1,'Launch Readiness'!$E$7),0)+IF(AR$6='Launch Readiness'!$G$14,'Launch Readiness'!$E$15,0)),0)</x:f>
        <x:v>-3455988</x:v>
      </x:c>
      <x:c r="AS52" s="103" t="n">
        <x:f>ROUND(AR52+(IF(AS$6&lt;='Launch Readiness'!$B$7,0,IF((AS$6-'Launch Readiness'!$B$7)&lt;'Launch Readiness'!$E$6,0,INDEX('Scenario Engine'!$B$30:$F$30,1,ROUNDUP((AS$6-'Launch Readiness'!$B$7)/12,0))/MAX(1,INDEX('Launch Readiness'!$B$26:$F$26,1,ROUNDUP((AS$6-'Launch Readiness'!$B$7)/12,0))))))-IF(AS$6&lt;'Launch Readiness'!$E$6,0,INDEX('Scenario Engine'!$B$47:$F$47,1,AS$7)/MAX(1,INDEX('Launch Readiness'!$B$26:$F$26,1,AS$7)))-INDEX('Scenario Engine'!$B$52:$F$52,1,AS$7)/12-((INDEX('Scenario Engine'!$B$53:$F$53,1,AS$7)-'Launch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Readiness'!$E$16/12,0))-(IF(AS$6&lt;=6,'Startup 6mo'!$F$44/6,0)+IF(AS$6&lt;'Launch Readiness'!$E$6,'Launch Readiness'!$E$8/MAX(1,'Launch Readiness'!$E$7),0)+IF(AS$6='Launch Readiness'!$G$14,'Launch Readiness'!$E$15,0)),0)</x:f>
        <x:v>-3524654</x:v>
      </x:c>
      <x:c r="AT52" s="103" t="n">
        <x:f>ROUND(AS52+(IF(AT$6&lt;='Launch Readiness'!$B$7,0,IF((AT$6-'Launch Readiness'!$B$7)&lt;'Launch Readiness'!$E$6,0,INDEX('Scenario Engine'!$B$30:$F$30,1,ROUNDUP((AT$6-'Launch Readiness'!$B$7)/12,0))/MAX(1,INDEX('Launch Readiness'!$B$26:$F$26,1,ROUNDUP((AT$6-'Launch Readiness'!$B$7)/12,0))))))-IF(AT$6&lt;'Launch Readiness'!$E$6,0,INDEX('Scenario Engine'!$B$47:$F$47,1,AT$7)/MAX(1,INDEX('Launch Readiness'!$B$26:$F$26,1,AT$7)))-INDEX('Scenario Engine'!$B$52:$F$52,1,AT$7)/12-((INDEX('Scenario Engine'!$B$53:$F$53,1,AT$7)-'Launch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Readiness'!$E$16/12,0))-(IF(AT$6&lt;=6,'Startup 6mo'!$F$44/6,0)+IF(AT$6&lt;'Launch Readiness'!$E$6,'Launch Readiness'!$E$8/MAX(1,'Launch Readiness'!$E$7),0)+IF(AT$6='Launch Readiness'!$G$14,'Launch Readiness'!$E$15,0)),0)</x:f>
        <x:v>-3593320</x:v>
      </x:c>
      <x:c r="AU52" s="103" t="n">
        <x:f>ROUND(AT52+(IF(AU$6&lt;='Launch Readiness'!$B$7,0,IF((AU$6-'Launch Readiness'!$B$7)&lt;'Launch Readiness'!$E$6,0,INDEX('Scenario Engine'!$B$30:$F$30,1,ROUNDUP((AU$6-'Launch Readiness'!$B$7)/12,0))/MAX(1,INDEX('Launch Readiness'!$B$26:$F$26,1,ROUNDUP((AU$6-'Launch Readiness'!$B$7)/12,0))))))-IF(AU$6&lt;'Launch Readiness'!$E$6,0,INDEX('Scenario Engine'!$B$47:$F$47,1,AU$7)/MAX(1,INDEX('Launch Readiness'!$B$26:$F$26,1,AU$7)))-INDEX('Scenario Engine'!$B$52:$F$52,1,AU$7)/12-((INDEX('Scenario Engine'!$B$53:$F$53,1,AU$7)-'Launch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Readiness'!$E$16/12,0))-(IF(AU$6&lt;=6,'Startup 6mo'!$F$44/6,0)+IF(AU$6&lt;'Launch Readiness'!$E$6,'Launch Readiness'!$E$8/MAX(1,'Launch Readiness'!$E$7),0)+IF(AU$6='Launch Readiness'!$G$14,'Launch Readiness'!$E$15,0)),0)</x:f>
        <x:v>-3661986</x:v>
      </x:c>
      <x:c r="AV52" s="103" t="n">
        <x:f>ROUND(AU52+(IF(AV$6&lt;='Launch Readiness'!$B$7,0,IF((AV$6-'Launch Readiness'!$B$7)&lt;'Launch Readiness'!$E$6,0,INDEX('Scenario Engine'!$B$30:$F$30,1,ROUNDUP((AV$6-'Launch Readiness'!$B$7)/12,0))/MAX(1,INDEX('Launch Readiness'!$B$26:$F$26,1,ROUNDUP((AV$6-'Launch Readiness'!$B$7)/12,0))))))-IF(AV$6&lt;'Launch Readiness'!$E$6,0,INDEX('Scenario Engine'!$B$47:$F$47,1,AV$7)/MAX(1,INDEX('Launch Readiness'!$B$26:$F$26,1,AV$7)))-INDEX('Scenario Engine'!$B$52:$F$52,1,AV$7)/12-((INDEX('Scenario Engine'!$B$53:$F$53,1,AV$7)-'Launch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Readiness'!$E$16/12,0))-(IF(AV$6&lt;=6,'Startup 6mo'!$F$44/6,0)+IF(AV$6&lt;'Launch Readiness'!$E$6,'Launch Readiness'!$E$8/MAX(1,'Launch Readiness'!$E$7),0)+IF(AV$6='Launch Readiness'!$G$14,'Launch Readiness'!$E$15,0)),0)</x:f>
        <x:v>-3730652</x:v>
      </x:c>
      <x:c r="AW52" s="103" t="n">
        <x:f>ROUND(AV52+(IF(AW$6&lt;='Launch Readiness'!$B$7,0,IF((AW$6-'Launch Readiness'!$B$7)&lt;'Launch Readiness'!$E$6,0,INDEX('Scenario Engine'!$B$30:$F$30,1,ROUNDUP((AW$6-'Launch Readiness'!$B$7)/12,0))/MAX(1,INDEX('Launch Readiness'!$B$26:$F$26,1,ROUNDUP((AW$6-'Launch Readiness'!$B$7)/12,0))))))-IF(AW$6&lt;'Launch Readiness'!$E$6,0,INDEX('Scenario Engine'!$B$47:$F$47,1,AW$7)/MAX(1,INDEX('Launch Readiness'!$B$26:$F$26,1,AW$7)))-INDEX('Scenario Engine'!$B$52:$F$52,1,AW$7)/12-((INDEX('Scenario Engine'!$B$53:$F$53,1,AW$7)-'Launch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Readiness'!$E$16/12,0))-(IF(AW$6&lt;=6,'Startup 6mo'!$F$44/6,0)+IF(AW$6&lt;'Launch Readiness'!$E$6,'Launch Readiness'!$E$8/MAX(1,'Launch Readiness'!$E$7),0)+IF(AW$6='Launch Readiness'!$G$14,'Launch Readiness'!$E$15,0)),0)</x:f>
        <x:v>-3799318</x:v>
      </x:c>
      <x:c r="AX52" s="103" t="n">
        <x:f>ROUND(AW52+(IF(AX$6&lt;='Launch Readiness'!$B$7,0,IF((AX$6-'Launch Readiness'!$B$7)&lt;'Launch Readiness'!$E$6,0,INDEX('Scenario Engine'!$B$30:$F$30,1,ROUNDUP((AX$6-'Launch Readiness'!$B$7)/12,0))/MAX(1,INDEX('Launch Readiness'!$B$26:$F$26,1,ROUNDUP((AX$6-'Launch Readiness'!$B$7)/12,0))))))-IF(AX$6&lt;'Launch Readiness'!$E$6,0,INDEX('Scenario Engine'!$B$47:$F$47,1,AX$7)/MAX(1,INDEX('Launch Readiness'!$B$26:$F$26,1,AX$7)))-INDEX('Scenario Engine'!$B$52:$F$52,1,AX$7)/12-((INDEX('Scenario Engine'!$B$53:$F$53,1,AX$7)-'Launch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Readiness'!$E$16/12,0))-(IF(AX$6&lt;=6,'Startup 6mo'!$F$44/6,0)+IF(AX$6&lt;'Launch Readiness'!$E$6,'Launch Readiness'!$E$8/MAX(1,'Launch Readiness'!$E$7),0)+IF(AX$6='Launch Readiness'!$G$14,'Launch Readiness'!$E$15,0)),0)</x:f>
        <x:v>-3952921</x:v>
      </x:c>
      <x:c r="AY52" s="103" t="n">
        <x:f>ROUND(AX52+(IF(AY$6&lt;='Launch Readiness'!$B$7,0,IF((AY$6-'Launch Readiness'!$B$7)&lt;'Launch Readiness'!$E$6,0,INDEX('Scenario Engine'!$B$30:$F$30,1,ROUNDUP((AY$6-'Launch Readiness'!$B$7)/12,0))/MAX(1,INDEX('Launch Readiness'!$B$26:$F$26,1,ROUNDUP((AY$6-'Launch Readiness'!$B$7)/12,0))))))-IF(AY$6&lt;'Launch Readiness'!$E$6,0,INDEX('Scenario Engine'!$B$47:$F$47,1,AY$7)/MAX(1,INDEX('Launch Readiness'!$B$26:$F$26,1,AY$7)))-INDEX('Scenario Engine'!$B$52:$F$52,1,AY$7)/12-((INDEX('Scenario Engine'!$B$53:$F$53,1,AY$7)-'Launch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Readiness'!$E$16/12,0))-(IF(AY$6&lt;=6,'Startup 6mo'!$F$44/6,0)+IF(AY$6&lt;'Launch Readiness'!$E$6,'Launch Readiness'!$E$8/MAX(1,'Launch Readiness'!$E$7),0)+IF(AY$6='Launch Readiness'!$G$14,'Launch Readiness'!$E$15,0)),0)</x:f>
        <x:v>-3862777</x:v>
      </x:c>
      <x:c r="AZ52" s="103" t="n">
        <x:f>ROUND(AY52+(IF(AZ$6&lt;='Launch Readiness'!$B$7,0,IF((AZ$6-'Launch Readiness'!$B$7)&lt;'Launch Readiness'!$E$6,0,INDEX('Scenario Engine'!$B$30:$F$30,1,ROUNDUP((AZ$6-'Launch Readiness'!$B$7)/12,0))/MAX(1,INDEX('Launch Readiness'!$B$26:$F$26,1,ROUNDUP((AZ$6-'Launch Readiness'!$B$7)/12,0))))))-IF(AZ$6&lt;'Launch Readiness'!$E$6,0,INDEX('Scenario Engine'!$B$47:$F$47,1,AZ$7)/MAX(1,INDEX('Launch Readiness'!$B$26:$F$26,1,AZ$7)))-INDEX('Scenario Engine'!$B$52:$F$52,1,AZ$7)/12-((INDEX('Scenario Engine'!$B$53:$F$53,1,AZ$7)-'Launch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Readiness'!$E$16/12,0))-(IF(AZ$6&lt;=6,'Startup 6mo'!$F$44/6,0)+IF(AZ$6&lt;'Launch Readiness'!$E$6,'Launch Readiness'!$E$8/MAX(1,'Launch Readiness'!$E$7),0)+IF(AZ$6='Launch Readiness'!$G$14,'Launch Readiness'!$E$15,0)),0)</x:f>
        <x:v>-3772633</x:v>
      </x:c>
      <x:c r="BA52" s="103" t="n">
        <x:f>ROUND(AZ52+(IF(BA$6&lt;='Launch Readiness'!$B$7,0,IF((BA$6-'Launch Readiness'!$B$7)&lt;'Launch Readiness'!$E$6,0,INDEX('Scenario Engine'!$B$30:$F$30,1,ROUNDUP((BA$6-'Launch Readiness'!$B$7)/12,0))/MAX(1,INDEX('Launch Readiness'!$B$26:$F$26,1,ROUNDUP((BA$6-'Launch Readiness'!$B$7)/12,0))))))-IF(BA$6&lt;'Launch Readiness'!$E$6,0,INDEX('Scenario Engine'!$B$47:$F$47,1,BA$7)/MAX(1,INDEX('Launch Readiness'!$B$26:$F$26,1,BA$7)))-INDEX('Scenario Engine'!$B$52:$F$52,1,BA$7)/12-((INDEX('Scenario Engine'!$B$53:$F$53,1,BA$7)-'Launch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Readiness'!$E$16/12,0))-(IF(BA$6&lt;=6,'Startup 6mo'!$F$44/6,0)+IF(BA$6&lt;'Launch Readiness'!$E$6,'Launch Readiness'!$E$8/MAX(1,'Launch Readiness'!$E$7),0)+IF(BA$6='Launch Readiness'!$G$14,'Launch Readiness'!$E$15,0)),0)</x:f>
        <x:v>-3682489</x:v>
      </x:c>
      <x:c r="BB52" s="103" t="n">
        <x:f>ROUND(BA52+(IF(BB$6&lt;='Launch Readiness'!$B$7,0,IF((BB$6-'Launch Readiness'!$B$7)&lt;'Launch Readiness'!$E$6,0,INDEX('Scenario Engine'!$B$30:$F$30,1,ROUNDUP((BB$6-'Launch Readiness'!$B$7)/12,0))/MAX(1,INDEX('Launch Readiness'!$B$26:$F$26,1,ROUNDUP((BB$6-'Launch Readiness'!$B$7)/12,0))))))-IF(BB$6&lt;'Launch Readiness'!$E$6,0,INDEX('Scenario Engine'!$B$47:$F$47,1,BB$7)/MAX(1,INDEX('Launch Readiness'!$B$26:$F$26,1,BB$7)))-INDEX('Scenario Engine'!$B$52:$F$52,1,BB$7)/12-((INDEX('Scenario Engine'!$B$53:$F$53,1,BB$7)-'Launch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Readiness'!$E$16/12,0))-(IF(BB$6&lt;=6,'Startup 6mo'!$F$44/6,0)+IF(BB$6&lt;'Launch Readiness'!$E$6,'Launch Readiness'!$E$8/MAX(1,'Launch Readiness'!$E$7),0)+IF(BB$6='Launch Readiness'!$G$14,'Launch Readiness'!$E$15,0)),0)</x:f>
        <x:v>-3592345</x:v>
      </x:c>
      <x:c r="BC52" s="103" t="n">
        <x:f>ROUND(BB52+(IF(BC$6&lt;='Launch Readiness'!$B$7,0,IF((BC$6-'Launch Readiness'!$B$7)&lt;'Launch Readiness'!$E$6,0,INDEX('Scenario Engine'!$B$30:$F$30,1,ROUNDUP((BC$6-'Launch Readiness'!$B$7)/12,0))/MAX(1,INDEX('Launch Readiness'!$B$26:$F$26,1,ROUNDUP((BC$6-'Launch Readiness'!$B$7)/12,0))))))-IF(BC$6&lt;'Launch Readiness'!$E$6,0,INDEX('Scenario Engine'!$B$47:$F$47,1,BC$7)/MAX(1,INDEX('Launch Readiness'!$B$26:$F$26,1,BC$7)))-INDEX('Scenario Engine'!$B$52:$F$52,1,BC$7)/12-((INDEX('Scenario Engine'!$B$53:$F$53,1,BC$7)-'Launch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Readiness'!$E$16/12,0))-(IF(BC$6&lt;=6,'Startup 6mo'!$F$44/6,0)+IF(BC$6&lt;'Launch Readiness'!$E$6,'Launch Readiness'!$E$8/MAX(1,'Launch Readiness'!$E$7),0)+IF(BC$6='Launch Readiness'!$G$14,'Launch Readiness'!$E$15,0)),0)</x:f>
        <x:v>-3502201</x:v>
      </x:c>
      <x:c r="BD52" s="103" t="n">
        <x:f>ROUND(BC52+(IF(BD$6&lt;='Launch Readiness'!$B$7,0,IF((BD$6-'Launch Readiness'!$B$7)&lt;'Launch Readiness'!$E$6,0,INDEX('Scenario Engine'!$B$30:$F$30,1,ROUNDUP((BD$6-'Launch Readiness'!$B$7)/12,0))/MAX(1,INDEX('Launch Readiness'!$B$26:$F$26,1,ROUNDUP((BD$6-'Launch Readiness'!$B$7)/12,0))))))-IF(BD$6&lt;'Launch Readiness'!$E$6,0,INDEX('Scenario Engine'!$B$47:$F$47,1,BD$7)/MAX(1,INDEX('Launch Readiness'!$B$26:$F$26,1,BD$7)))-INDEX('Scenario Engine'!$B$52:$F$52,1,BD$7)/12-((INDEX('Scenario Engine'!$B$53:$F$53,1,BD$7)-'Launch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Readiness'!$E$16/12,0))-(IF(BD$6&lt;=6,'Startup 6mo'!$F$44/6,0)+IF(BD$6&lt;'Launch Readiness'!$E$6,'Launch Readiness'!$E$8/MAX(1,'Launch Readiness'!$E$7),0)+IF(BD$6='Launch Readiness'!$G$14,'Launch Readiness'!$E$15,0)),0)</x:f>
        <x:v>-3412057</x:v>
      </x:c>
      <x:c r="BE52" s="103" t="n">
        <x:f>ROUND(BD52+(IF(BE$6&lt;='Launch Readiness'!$B$7,0,IF((BE$6-'Launch Readiness'!$B$7)&lt;'Launch Readiness'!$E$6,0,INDEX('Scenario Engine'!$B$30:$F$30,1,ROUNDUP((BE$6-'Launch Readiness'!$B$7)/12,0))/MAX(1,INDEX('Launch Readiness'!$B$26:$F$26,1,ROUNDUP((BE$6-'Launch Readiness'!$B$7)/12,0))))))-IF(BE$6&lt;'Launch Readiness'!$E$6,0,INDEX('Scenario Engine'!$B$47:$F$47,1,BE$7)/MAX(1,INDEX('Launch Readiness'!$B$26:$F$26,1,BE$7)))-INDEX('Scenario Engine'!$B$52:$F$52,1,BE$7)/12-((INDEX('Scenario Engine'!$B$53:$F$53,1,BE$7)-'Launch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Readiness'!$E$16/12,0))-(IF(BE$6&lt;=6,'Startup 6mo'!$F$44/6,0)+IF(BE$6&lt;'Launch Readiness'!$E$6,'Launch Readiness'!$E$8/MAX(1,'Launch Readiness'!$E$7),0)+IF(BE$6='Launch Readiness'!$G$14,'Launch Readiness'!$E$15,0)),0)</x:f>
        <x:v>-3321913</x:v>
      </x:c>
      <x:c r="BF52" s="103" t="n">
        <x:f>ROUND(BE52+(IF(BF$6&lt;='Launch Readiness'!$B$7,0,IF((BF$6-'Launch Readiness'!$B$7)&lt;'Launch Readiness'!$E$6,0,INDEX('Scenario Engine'!$B$30:$F$30,1,ROUNDUP((BF$6-'Launch Readiness'!$B$7)/12,0))/MAX(1,INDEX('Launch Readiness'!$B$26:$F$26,1,ROUNDUP((BF$6-'Launch Readiness'!$B$7)/12,0))))))-IF(BF$6&lt;'Launch Readiness'!$E$6,0,INDEX('Scenario Engine'!$B$47:$F$47,1,BF$7)/MAX(1,INDEX('Launch Readiness'!$B$26:$F$26,1,BF$7)))-INDEX('Scenario Engine'!$B$52:$F$52,1,BF$7)/12-((INDEX('Scenario Engine'!$B$53:$F$53,1,BF$7)-'Launch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Readiness'!$E$16/12,0))-(IF(BF$6&lt;=6,'Startup 6mo'!$F$44/6,0)+IF(BF$6&lt;'Launch Readiness'!$E$6,'Launch Readiness'!$E$8/MAX(1,'Launch Readiness'!$E$7),0)+IF(BF$6='Launch Readiness'!$G$14,'Launch Readiness'!$E$15,0)),0)</x:f>
        <x:v>-3231769</x:v>
      </x:c>
      <x:c r="BG52" s="103" t="n">
        <x:f>ROUND(BF52+(IF(BG$6&lt;='Launch Readiness'!$B$7,0,IF((BG$6-'Launch Readiness'!$B$7)&lt;'Launch Readiness'!$E$6,0,INDEX('Scenario Engine'!$B$30:$F$30,1,ROUNDUP((BG$6-'Launch Readiness'!$B$7)/12,0))/MAX(1,INDEX('Launch Readiness'!$B$26:$F$26,1,ROUNDUP((BG$6-'Launch Readiness'!$B$7)/12,0))))))-IF(BG$6&lt;'Launch Readiness'!$E$6,0,INDEX('Scenario Engine'!$B$47:$F$47,1,BG$7)/MAX(1,INDEX('Launch Readiness'!$B$26:$F$26,1,BG$7)))-INDEX('Scenario Engine'!$B$52:$F$52,1,BG$7)/12-((INDEX('Scenario Engine'!$B$53:$F$53,1,BG$7)-'Launch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Readiness'!$E$16/12,0))-(IF(BG$6&lt;=6,'Startup 6mo'!$F$44/6,0)+IF(BG$6&lt;'Launch Readiness'!$E$6,'Launch Readiness'!$E$8/MAX(1,'Launch Readiness'!$E$7),0)+IF(BG$6='Launch Readiness'!$G$14,'Launch Readiness'!$E$15,0)),0)</x:f>
        <x:v>-3141625</x:v>
      </x:c>
      <x:c r="BH52" s="103" t="n">
        <x:f>ROUND(BG52+(IF(BH$6&lt;='Launch Readiness'!$B$7,0,IF((BH$6-'Launch Readiness'!$B$7)&lt;'Launch Readiness'!$E$6,0,INDEX('Scenario Engine'!$B$30:$F$30,1,ROUNDUP((BH$6-'Launch Readiness'!$B$7)/12,0))/MAX(1,INDEX('Launch Readiness'!$B$26:$F$26,1,ROUNDUP((BH$6-'Launch Readiness'!$B$7)/12,0))))))-IF(BH$6&lt;'Launch Readiness'!$E$6,0,INDEX('Scenario Engine'!$B$47:$F$47,1,BH$7)/MAX(1,INDEX('Launch Readiness'!$B$26:$F$26,1,BH$7)))-INDEX('Scenario Engine'!$B$52:$F$52,1,BH$7)/12-((INDEX('Scenario Engine'!$B$53:$F$53,1,BH$7)-'Launch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Readiness'!$E$16/12,0))-(IF(BH$6&lt;=6,'Startup 6mo'!$F$44/6,0)+IF(BH$6&lt;'Launch Readiness'!$E$6,'Launch Readiness'!$E$8/MAX(1,'Launch Readiness'!$E$7),0)+IF(BH$6='Launch Readiness'!$G$14,'Launch Readiness'!$E$15,0)),0)</x:f>
        <x:v>-3051481</x:v>
      </x:c>
      <x:c r="BI52" s="103" t="n">
        <x:f>ROUND(BH52+(IF(BI$6&lt;='Launch Readiness'!$B$7,0,IF((BI$6-'Launch Readiness'!$B$7)&lt;'Launch Readiness'!$E$6,0,INDEX('Scenario Engine'!$B$30:$F$30,1,ROUNDUP((BI$6-'Launch Readiness'!$B$7)/12,0))/MAX(1,INDEX('Launch Readiness'!$B$26:$F$26,1,ROUNDUP((BI$6-'Launch Readiness'!$B$7)/12,0))))))-IF(BI$6&lt;'Launch Readiness'!$E$6,0,INDEX('Scenario Engine'!$B$47:$F$47,1,BI$7)/MAX(1,INDEX('Launch Readiness'!$B$26:$F$26,1,BI$7)))-INDEX('Scenario Engine'!$B$52:$F$52,1,BI$7)/12-((INDEX('Scenario Engine'!$B$53:$F$53,1,BI$7)-'Launch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Readiness'!$E$16/12,0))-(IF(BI$6&lt;=6,'Startup 6mo'!$F$44/6,0)+IF(BI$6&lt;'Launch Readiness'!$E$6,'Launch Readiness'!$E$8/MAX(1,'Launch Readiness'!$E$7),0)+IF(BI$6='Launch Readiness'!$G$14,'Launch Readiness'!$E$15,0)),0)</x:f>
        <x:v>-2961337</x:v>
      </x:c>
    </x:row>
    <x:row r="53" ht="12" customHeight="1">
      <x:c r="A53" s="49" t="s">
        <x:v>138</x:v>
      </x:c>
      <x:c r="B53" s="103" t="n">
        <x:f>ROUND((IF(B$6&lt;='Launch Readiness'!$B$7,0,IF((B$6-'Launch Readiness'!$B$7)&lt;'Launch Readiness'!$E$6,0,INDEX('Scenario Engine'!$H$30:$L$30,1,ROUNDUP((B$6-'Launch Readiness'!$B$7)/12,0))/MAX(1,INDEX('Launch Readiness'!$B$26:$F$26,1,ROUNDUP((B$6-'Launch Readiness'!$B$7)/12,0))))))-IF(B$6&lt;'Launch Readiness'!$E$6,0,INDEX('Scenario Engine'!$H$47:$L$47,1,B$7)/MAX(1,INDEX('Launch Readiness'!$B$26:$F$26,1,B$7)))-INDEX('Scenario Engine'!$H$52:$L$52,1,B$7)/12-((INDEX('Scenario Engine'!$H$53:$L$53,1,B$7)-'Launch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Readiness'!$E$16/12,0))-(IF(B$6&lt;=6,'Startup 6mo'!$F$44/6,0)+IF(B$6&lt;'Launch Readiness'!$E$6,'Launch Readiness'!$E$8/MAX(1,'Launch Readiness'!$E$7),0)+IF(B$6='Launch Readiness'!$G$14,'Launch Readiness'!$E$15,0)),0)</x:f>
        <x:v>-152105</x:v>
      </x:c>
      <x:c r="C53" s="103" t="n">
        <x:f>ROUND(B53+(IF(C$6&lt;='Launch Readiness'!$B$7,0,IF((C$6-'Launch Readiness'!$B$7)&lt;'Launch Readiness'!$E$6,0,INDEX('Scenario Engine'!$H$30:$L$30,1,ROUNDUP((C$6-'Launch Readiness'!$B$7)/12,0))/MAX(1,INDEX('Launch Readiness'!$B$26:$F$26,1,ROUNDUP((C$6-'Launch Readiness'!$B$7)/12,0))))))-IF(C$6&lt;'Launch Readiness'!$E$6,0,INDEX('Scenario Engine'!$H$47:$L$47,1,C$7)/MAX(1,INDEX('Launch Readiness'!$B$26:$F$26,1,C$7)))-INDEX('Scenario Engine'!$H$52:$L$52,1,C$7)/12-((INDEX('Scenario Engine'!$H$53:$L$53,1,C$7)-'Launch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Readiness'!$E$16/12,0))-(IF(C$6&lt;=6,'Startup 6mo'!$F$44/6,0)+IF(C$6&lt;'Launch Readiness'!$E$6,'Launch Readiness'!$E$8/MAX(1,'Launch Readiness'!$E$7),0)+IF(C$6='Launch Readiness'!$G$14,'Launch Readiness'!$E$15,0)),0)</x:f>
        <x:v>-261664</x:v>
      </x:c>
      <x:c r="D53" s="103" t="n">
        <x:f>ROUND(C53+(IF(D$6&lt;='Launch Readiness'!$B$7,0,IF((D$6-'Launch Readiness'!$B$7)&lt;'Launch Readiness'!$E$6,0,INDEX('Scenario Engine'!$H$30:$L$30,1,ROUNDUP((D$6-'Launch Readiness'!$B$7)/12,0))/MAX(1,INDEX('Launch Readiness'!$B$26:$F$26,1,ROUNDUP((D$6-'Launch Readiness'!$B$7)/12,0))))))-IF(D$6&lt;'Launch Readiness'!$E$6,0,INDEX('Scenario Engine'!$H$47:$L$47,1,D$7)/MAX(1,INDEX('Launch Readiness'!$B$26:$F$26,1,D$7)))-INDEX('Scenario Engine'!$H$52:$L$52,1,D$7)/12-((INDEX('Scenario Engine'!$H$53:$L$53,1,D$7)-'Launch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Readiness'!$E$16/12,0))-(IF(D$6&lt;=6,'Startup 6mo'!$F$44/6,0)+IF(D$6&lt;'Launch Readiness'!$E$6,'Launch Readiness'!$E$8/MAX(1,'Launch Readiness'!$E$7),0)+IF(D$6='Launch Readiness'!$G$14,'Launch Readiness'!$E$15,0)),0)</x:f>
        <x:v>-371223</x:v>
      </x:c>
      <x:c r="E53" s="103" t="n">
        <x:f>ROUND(D53+(IF(E$6&lt;='Launch Readiness'!$B$7,0,IF((E$6-'Launch Readiness'!$B$7)&lt;'Launch Readiness'!$E$6,0,INDEX('Scenario Engine'!$H$30:$L$30,1,ROUNDUP((E$6-'Launch Readiness'!$B$7)/12,0))/MAX(1,INDEX('Launch Readiness'!$B$26:$F$26,1,ROUNDUP((E$6-'Launch Readiness'!$B$7)/12,0))))))-IF(E$6&lt;'Launch Readiness'!$E$6,0,INDEX('Scenario Engine'!$H$47:$L$47,1,E$7)/MAX(1,INDEX('Launch Readiness'!$B$26:$F$26,1,E$7)))-INDEX('Scenario Engine'!$H$52:$L$52,1,E$7)/12-((INDEX('Scenario Engine'!$H$53:$L$53,1,E$7)-'Launch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Readiness'!$E$16/12,0))-(IF(E$6&lt;=6,'Startup 6mo'!$F$44/6,0)+IF(E$6&lt;'Launch Readiness'!$E$6,'Launch Readiness'!$E$8/MAX(1,'Launch Readiness'!$E$7),0)+IF(E$6='Launch Readiness'!$G$14,'Launch Readiness'!$E$15,0)),0)</x:f>
        <x:v>-480782</x:v>
      </x:c>
      <x:c r="F53" s="103" t="n">
        <x:f>ROUND(E53+(IF(F$6&lt;='Launch Readiness'!$B$7,0,IF((F$6-'Launch Readiness'!$B$7)&lt;'Launch Readiness'!$E$6,0,INDEX('Scenario Engine'!$H$30:$L$30,1,ROUNDUP((F$6-'Launch Readiness'!$B$7)/12,0))/MAX(1,INDEX('Launch Readiness'!$B$26:$F$26,1,ROUNDUP((F$6-'Launch Readiness'!$B$7)/12,0))))))-IF(F$6&lt;'Launch Readiness'!$E$6,0,INDEX('Scenario Engine'!$H$47:$L$47,1,F$7)/MAX(1,INDEX('Launch Readiness'!$B$26:$F$26,1,F$7)))-INDEX('Scenario Engine'!$H$52:$L$52,1,F$7)/12-((INDEX('Scenario Engine'!$H$53:$L$53,1,F$7)-'Launch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Readiness'!$E$16/12,0))-(IF(F$6&lt;=6,'Startup 6mo'!$F$44/6,0)+IF(F$6&lt;'Launch Readiness'!$E$6,'Launch Readiness'!$E$8/MAX(1,'Launch Readiness'!$E$7),0)+IF(F$6='Launch Readiness'!$G$14,'Launch Readiness'!$E$15,0)),0)</x:f>
        <x:v>-590341</x:v>
      </x:c>
      <x:c r="G53" s="103" t="n">
        <x:f>ROUND(F53+(IF(G$6&lt;='Launch Readiness'!$B$7,0,IF((G$6-'Launch Readiness'!$B$7)&lt;'Launch Readiness'!$E$6,0,INDEX('Scenario Engine'!$H$30:$L$30,1,ROUNDUP((G$6-'Launch Readiness'!$B$7)/12,0))/MAX(1,INDEX('Launch Readiness'!$B$26:$F$26,1,ROUNDUP((G$6-'Launch Readiness'!$B$7)/12,0))))))-IF(G$6&lt;'Launch Readiness'!$E$6,0,INDEX('Scenario Engine'!$H$47:$L$47,1,G$7)/MAX(1,INDEX('Launch Readiness'!$B$26:$F$26,1,G$7)))-INDEX('Scenario Engine'!$H$52:$L$52,1,G$7)/12-((INDEX('Scenario Engine'!$H$53:$L$53,1,G$7)-'Launch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Readiness'!$E$16/12,0))-(IF(G$6&lt;=6,'Startup 6mo'!$F$44/6,0)+IF(G$6&lt;'Launch Readiness'!$E$6,'Launch Readiness'!$E$8/MAX(1,'Launch Readiness'!$E$7),0)+IF(G$6='Launch Readiness'!$G$14,'Launch Readiness'!$E$15,0)),0)</x:f>
        <x:v>-699900</x:v>
      </x:c>
      <x:c r="H53" s="103" t="n">
        <x:f>ROUND(G53+(IF(H$6&lt;='Launch Readiness'!$B$7,0,IF((H$6-'Launch Readiness'!$B$7)&lt;'Launch Readiness'!$E$6,0,INDEX('Scenario Engine'!$H$30:$L$30,1,ROUNDUP((H$6-'Launch Readiness'!$B$7)/12,0))/MAX(1,INDEX('Launch Readiness'!$B$26:$F$26,1,ROUNDUP((H$6-'Launch Readiness'!$B$7)/12,0))))))-IF(H$6&lt;'Launch Readiness'!$E$6,0,INDEX('Scenario Engine'!$H$47:$L$47,1,H$7)/MAX(1,INDEX('Launch Readiness'!$B$26:$F$26,1,H$7)))-INDEX('Scenario Engine'!$H$52:$L$52,1,H$7)/12-((INDEX('Scenario Engine'!$H$53:$L$53,1,H$7)-'Launch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Readiness'!$E$16/12,0))-(IF(H$6&lt;=6,'Startup 6mo'!$F$44/6,0)+IF(H$6&lt;'Launch Readiness'!$E$6,'Launch Readiness'!$E$8/MAX(1,'Launch Readiness'!$E$7),0)+IF(H$6='Launch Readiness'!$G$14,'Launch Readiness'!$E$15,0)),0)</x:f>
        <x:v>-768891</x:v>
      </x:c>
      <x:c r="I53" s="103" t="n">
        <x:f>ROUND(H53+(IF(I$6&lt;='Launch Readiness'!$B$7,0,IF((I$6-'Launch Readiness'!$B$7)&lt;'Launch Readiness'!$E$6,0,INDEX('Scenario Engine'!$H$30:$L$30,1,ROUNDUP((I$6-'Launch Readiness'!$B$7)/12,0))/MAX(1,INDEX('Launch Readiness'!$B$26:$F$26,1,ROUNDUP((I$6-'Launch Readiness'!$B$7)/12,0))))))-IF(I$6&lt;'Launch Readiness'!$E$6,0,INDEX('Scenario Engine'!$H$47:$L$47,1,I$7)/MAX(1,INDEX('Launch Readiness'!$B$26:$F$26,1,I$7)))-INDEX('Scenario Engine'!$H$52:$L$52,1,I$7)/12-((INDEX('Scenario Engine'!$H$53:$L$53,1,I$7)-'Launch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Readiness'!$E$16/12,0))-(IF(I$6&lt;=6,'Startup 6mo'!$F$44/6,0)+IF(I$6&lt;'Launch Readiness'!$E$6,'Launch Readiness'!$E$8/MAX(1,'Launch Readiness'!$E$7),0)+IF(I$6='Launch Readiness'!$G$14,'Launch Readiness'!$E$15,0)),0)</x:f>
        <x:v>-837882</x:v>
      </x:c>
      <x:c r="J53" s="103" t="n">
        <x:f>ROUND(I53+(IF(J$6&lt;='Launch Readiness'!$B$7,0,IF((J$6-'Launch Readiness'!$B$7)&lt;'Launch Readiness'!$E$6,0,INDEX('Scenario Engine'!$H$30:$L$30,1,ROUNDUP((J$6-'Launch Readiness'!$B$7)/12,0))/MAX(1,INDEX('Launch Readiness'!$B$26:$F$26,1,ROUNDUP((J$6-'Launch Readiness'!$B$7)/12,0))))))-IF(J$6&lt;'Launch Readiness'!$E$6,0,INDEX('Scenario Engine'!$H$47:$L$47,1,J$7)/MAX(1,INDEX('Launch Readiness'!$B$26:$F$26,1,J$7)))-INDEX('Scenario Engine'!$H$52:$L$52,1,J$7)/12-((INDEX('Scenario Engine'!$H$53:$L$53,1,J$7)-'Launch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Readiness'!$E$16/12,0))-(IF(J$6&lt;=6,'Startup 6mo'!$F$44/6,0)+IF(J$6&lt;'Launch Readiness'!$E$6,'Launch Readiness'!$E$8/MAX(1,'Launch Readiness'!$E$7),0)+IF(J$6='Launch Readiness'!$G$14,'Launch Readiness'!$E$15,0)),0)</x:f>
        <x:v>-906873</x:v>
      </x:c>
      <x:c r="K53" s="103" t="n">
        <x:f>ROUND(J53+(IF(K$6&lt;='Launch Readiness'!$B$7,0,IF((K$6-'Launch Readiness'!$B$7)&lt;'Launch Readiness'!$E$6,0,INDEX('Scenario Engine'!$H$30:$L$30,1,ROUNDUP((K$6-'Launch Readiness'!$B$7)/12,0))/MAX(1,INDEX('Launch Readiness'!$B$26:$F$26,1,ROUNDUP((K$6-'Launch Readiness'!$B$7)/12,0))))))-IF(K$6&lt;'Launch Readiness'!$E$6,0,INDEX('Scenario Engine'!$H$47:$L$47,1,K$7)/MAX(1,INDEX('Launch Readiness'!$B$26:$F$26,1,K$7)))-INDEX('Scenario Engine'!$H$52:$L$52,1,K$7)/12-((INDEX('Scenario Engine'!$H$53:$L$53,1,K$7)-'Launch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Readiness'!$E$16/12,0))-(IF(K$6&lt;=6,'Startup 6mo'!$F$44/6,0)+IF(K$6&lt;'Launch Readiness'!$E$6,'Launch Readiness'!$E$8/MAX(1,'Launch Readiness'!$E$7),0)+IF(K$6='Launch Readiness'!$G$14,'Launch Readiness'!$E$15,0)),0)</x:f>
        <x:v>-975864</x:v>
      </x:c>
      <x:c r="L53" s="103" t="n">
        <x:f>ROUND(K53+(IF(L$6&lt;='Launch Readiness'!$B$7,0,IF((L$6-'Launch Readiness'!$B$7)&lt;'Launch Readiness'!$E$6,0,INDEX('Scenario Engine'!$H$30:$L$30,1,ROUNDUP((L$6-'Launch Readiness'!$B$7)/12,0))/MAX(1,INDEX('Launch Readiness'!$B$26:$F$26,1,ROUNDUP((L$6-'Launch Readiness'!$B$7)/12,0))))))-IF(L$6&lt;'Launch Readiness'!$E$6,0,INDEX('Scenario Engine'!$H$47:$L$47,1,L$7)/MAX(1,INDEX('Launch Readiness'!$B$26:$F$26,1,L$7)))-INDEX('Scenario Engine'!$H$52:$L$52,1,L$7)/12-((INDEX('Scenario Engine'!$H$53:$L$53,1,L$7)-'Launch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Readiness'!$E$16/12,0))-(IF(L$6&lt;=6,'Startup 6mo'!$F$44/6,0)+IF(L$6&lt;'Launch Readiness'!$E$6,'Launch Readiness'!$E$8/MAX(1,'Launch Readiness'!$E$7),0)+IF(L$6='Launch Readiness'!$G$14,'Launch Readiness'!$E$15,0)),0)</x:f>
        <x:v>-1044855</x:v>
      </x:c>
      <x:c r="M53" s="103" t="n">
        <x:f>ROUND(L53+(IF(M$6&lt;='Launch Readiness'!$B$7,0,IF((M$6-'Launch Readiness'!$B$7)&lt;'Launch Readiness'!$E$6,0,INDEX('Scenario Engine'!$H$30:$L$30,1,ROUNDUP((M$6-'Launch Readiness'!$B$7)/12,0))/MAX(1,INDEX('Launch Readiness'!$B$26:$F$26,1,ROUNDUP((M$6-'Launch Readiness'!$B$7)/12,0))))))-IF(M$6&lt;'Launch Readiness'!$E$6,0,INDEX('Scenario Engine'!$H$47:$L$47,1,M$7)/MAX(1,INDEX('Launch Readiness'!$B$26:$F$26,1,M$7)))-INDEX('Scenario Engine'!$H$52:$L$52,1,M$7)/12-((INDEX('Scenario Engine'!$H$53:$L$53,1,M$7)-'Launch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Readiness'!$E$16/12,0))-(IF(M$6&lt;=6,'Startup 6mo'!$F$44/6,0)+IF(M$6&lt;'Launch Readiness'!$E$6,'Launch Readiness'!$E$8/MAX(1,'Launch Readiness'!$E$7),0)+IF(M$6='Launch Readiness'!$G$14,'Launch Readiness'!$E$15,0)),0)</x:f>
        <x:v>-1112727</x:v>
      </x:c>
      <x:c r="N53" s="103" t="n">
        <x:f>ROUND(M53+(IF(N$6&lt;='Launch Readiness'!$B$7,0,IF((N$6-'Launch Readiness'!$B$7)&lt;'Launch Readiness'!$E$6,0,INDEX('Scenario Engine'!$H$30:$L$30,1,ROUNDUP((N$6-'Launch Readiness'!$B$7)/12,0))/MAX(1,INDEX('Launch Readiness'!$B$26:$F$26,1,ROUNDUP((N$6-'Launch Readiness'!$B$7)/12,0))))))-IF(N$6&lt;'Launch Readiness'!$E$6,0,INDEX('Scenario Engine'!$H$47:$L$47,1,N$7)/MAX(1,INDEX('Launch Readiness'!$B$26:$F$26,1,N$7)))-INDEX('Scenario Engine'!$H$52:$L$52,1,N$7)/12-((INDEX('Scenario Engine'!$H$53:$L$53,1,N$7)-'Launch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Readiness'!$E$16/12,0))-(IF(N$6&lt;=6,'Startup 6mo'!$F$44/6,0)+IF(N$6&lt;'Launch Readiness'!$E$6,'Launch Readiness'!$E$8/MAX(1,'Launch Readiness'!$E$7),0)+IF(N$6='Launch Readiness'!$G$14,'Launch Readiness'!$E$15,0)),0)</x:f>
        <x:v>-1213511</x:v>
      </x:c>
      <x:c r="O53" s="103" t="n">
        <x:f>ROUND(N53+(IF(O$6&lt;='Launch Readiness'!$B$7,0,IF((O$6-'Launch Readiness'!$B$7)&lt;'Launch Readiness'!$E$6,0,INDEX('Scenario Engine'!$H$30:$L$30,1,ROUNDUP((O$6-'Launch Readiness'!$B$7)/12,0))/MAX(1,INDEX('Launch Readiness'!$B$26:$F$26,1,ROUNDUP((O$6-'Launch Readiness'!$B$7)/12,0))))))-IF(O$6&lt;'Launch Readiness'!$E$6,0,INDEX('Scenario Engine'!$H$47:$L$47,1,O$7)/MAX(1,INDEX('Launch Readiness'!$B$26:$F$26,1,O$7)))-INDEX('Scenario Engine'!$H$52:$L$52,1,O$7)/12-((INDEX('Scenario Engine'!$H$53:$L$53,1,O$7)-'Launch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Readiness'!$E$16/12,0))-(IF(O$6&lt;=6,'Startup 6mo'!$F$44/6,0)+IF(O$6&lt;'Launch Readiness'!$E$6,'Launch Readiness'!$E$8/MAX(1,'Launch Readiness'!$E$7),0)+IF(O$6='Launch Readiness'!$G$14,'Launch Readiness'!$E$15,0)),0)</x:f>
        <x:v>-1283032</x:v>
      </x:c>
      <x:c r="P53" s="103" t="n">
        <x:f>ROUND(O53+(IF(P$6&lt;='Launch Readiness'!$B$7,0,IF((P$6-'Launch Readiness'!$B$7)&lt;'Launch Readiness'!$E$6,0,INDEX('Scenario Engine'!$H$30:$L$30,1,ROUNDUP((P$6-'Launch Readiness'!$B$7)/12,0))/MAX(1,INDEX('Launch Readiness'!$B$26:$F$26,1,ROUNDUP((P$6-'Launch Readiness'!$B$7)/12,0))))))-IF(P$6&lt;'Launch Readiness'!$E$6,0,INDEX('Scenario Engine'!$H$47:$L$47,1,P$7)/MAX(1,INDEX('Launch Readiness'!$B$26:$F$26,1,P$7)))-INDEX('Scenario Engine'!$H$52:$L$52,1,P$7)/12-((INDEX('Scenario Engine'!$H$53:$L$53,1,P$7)-'Launch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Readiness'!$E$16/12,0))-(IF(P$6&lt;=6,'Startup 6mo'!$F$44/6,0)+IF(P$6&lt;'Launch Readiness'!$E$6,'Launch Readiness'!$E$8/MAX(1,'Launch Readiness'!$E$7),0)+IF(P$6='Launch Readiness'!$G$14,'Launch Readiness'!$E$15,0)),0)</x:f>
        <x:v>-1352553</x:v>
      </x:c>
      <x:c r="Q53" s="103" t="n">
        <x:f>ROUND(P53+(IF(Q$6&lt;='Launch Readiness'!$B$7,0,IF((Q$6-'Launch Readiness'!$B$7)&lt;'Launch Readiness'!$E$6,0,INDEX('Scenario Engine'!$H$30:$L$30,1,ROUNDUP((Q$6-'Launch Readiness'!$B$7)/12,0))/MAX(1,INDEX('Launch Readiness'!$B$26:$F$26,1,ROUNDUP((Q$6-'Launch Readiness'!$B$7)/12,0))))))-IF(Q$6&lt;'Launch Readiness'!$E$6,0,INDEX('Scenario Engine'!$H$47:$L$47,1,Q$7)/MAX(1,INDEX('Launch Readiness'!$B$26:$F$26,1,Q$7)))-INDEX('Scenario Engine'!$H$52:$L$52,1,Q$7)/12-((INDEX('Scenario Engine'!$H$53:$L$53,1,Q$7)-'Launch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Readiness'!$E$16/12,0))-(IF(Q$6&lt;=6,'Startup 6mo'!$F$44/6,0)+IF(Q$6&lt;'Launch Readiness'!$E$6,'Launch Readiness'!$E$8/MAX(1,'Launch Readiness'!$E$7),0)+IF(Q$6='Launch Readiness'!$G$14,'Launch Readiness'!$E$15,0)),0)</x:f>
        <x:v>-1422074</x:v>
      </x:c>
      <x:c r="R53" s="103" t="n">
        <x:f>ROUND(Q53+(IF(R$6&lt;='Launch Readiness'!$B$7,0,IF((R$6-'Launch Readiness'!$B$7)&lt;'Launch Readiness'!$E$6,0,INDEX('Scenario Engine'!$H$30:$L$30,1,ROUNDUP((R$6-'Launch Readiness'!$B$7)/12,0))/MAX(1,INDEX('Launch Readiness'!$B$26:$F$26,1,ROUNDUP((R$6-'Launch Readiness'!$B$7)/12,0))))))-IF(R$6&lt;'Launch Readiness'!$E$6,0,INDEX('Scenario Engine'!$H$47:$L$47,1,R$7)/MAX(1,INDEX('Launch Readiness'!$B$26:$F$26,1,R$7)))-INDEX('Scenario Engine'!$H$52:$L$52,1,R$7)/12-((INDEX('Scenario Engine'!$H$53:$L$53,1,R$7)-'Launch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Readiness'!$E$16/12,0))-(IF(R$6&lt;=6,'Startup 6mo'!$F$44/6,0)+IF(R$6&lt;'Launch Readiness'!$E$6,'Launch Readiness'!$E$8/MAX(1,'Launch Readiness'!$E$7),0)+IF(R$6='Launch Readiness'!$G$14,'Launch Readiness'!$E$15,0)),0)</x:f>
        <x:v>-1491595</x:v>
      </x:c>
      <x:c r="S53" s="103" t="n">
        <x:f>ROUND(R53+(IF(S$6&lt;='Launch Readiness'!$B$7,0,IF((S$6-'Launch Readiness'!$B$7)&lt;'Launch Readiness'!$E$6,0,INDEX('Scenario Engine'!$H$30:$L$30,1,ROUNDUP((S$6-'Launch Readiness'!$B$7)/12,0))/MAX(1,INDEX('Launch Readiness'!$B$26:$F$26,1,ROUNDUP((S$6-'Launch Readiness'!$B$7)/12,0))))))-IF(S$6&lt;'Launch Readiness'!$E$6,0,INDEX('Scenario Engine'!$H$47:$L$47,1,S$7)/MAX(1,INDEX('Launch Readiness'!$B$26:$F$26,1,S$7)))-INDEX('Scenario Engine'!$H$52:$L$52,1,S$7)/12-((INDEX('Scenario Engine'!$H$53:$L$53,1,S$7)-'Launch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Readiness'!$E$16/12,0))-(IF(S$6&lt;=6,'Startup 6mo'!$F$44/6,0)+IF(S$6&lt;'Launch Readiness'!$E$6,'Launch Readiness'!$E$8/MAX(1,'Launch Readiness'!$E$7),0)+IF(S$6='Launch Readiness'!$G$14,'Launch Readiness'!$E$15,0)),0)</x:f>
        <x:v>-1564042</x:v>
      </x:c>
      <x:c r="T53" s="103" t="n">
        <x:f>ROUND(S53+(IF(T$6&lt;='Launch Readiness'!$B$7,0,IF((T$6-'Launch Readiness'!$B$7)&lt;'Launch Readiness'!$E$6,0,INDEX('Scenario Engine'!$H$30:$L$30,1,ROUNDUP((T$6-'Launch Readiness'!$B$7)/12,0))/MAX(1,INDEX('Launch Readiness'!$B$26:$F$26,1,ROUNDUP((T$6-'Launch Readiness'!$B$7)/12,0))))))-IF(T$6&lt;'Launch Readiness'!$E$6,0,INDEX('Scenario Engine'!$H$47:$L$47,1,T$7)/MAX(1,INDEX('Launch Readiness'!$B$26:$F$26,1,T$7)))-INDEX('Scenario Engine'!$H$52:$L$52,1,T$7)/12-((INDEX('Scenario Engine'!$H$53:$L$53,1,T$7)-'Launch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Readiness'!$E$16/12,0))-(IF(T$6&lt;=6,'Startup 6mo'!$F$44/6,0)+IF(T$6&lt;'Launch Readiness'!$E$6,'Launch Readiness'!$E$8/MAX(1,'Launch Readiness'!$E$7),0)+IF(T$6='Launch Readiness'!$G$14,'Launch Readiness'!$E$15,0)),0)</x:f>
        <x:v>-1636489</x:v>
      </x:c>
      <x:c r="U53" s="103" t="n">
        <x:f>ROUND(T53+(IF(U$6&lt;='Launch Readiness'!$B$7,0,IF((U$6-'Launch Readiness'!$B$7)&lt;'Launch Readiness'!$E$6,0,INDEX('Scenario Engine'!$H$30:$L$30,1,ROUNDUP((U$6-'Launch Readiness'!$B$7)/12,0))/MAX(1,INDEX('Launch Readiness'!$B$26:$F$26,1,ROUNDUP((U$6-'Launch Readiness'!$B$7)/12,0))))))-IF(U$6&lt;'Launch Readiness'!$E$6,0,INDEX('Scenario Engine'!$H$47:$L$47,1,U$7)/MAX(1,INDEX('Launch Readiness'!$B$26:$F$26,1,U$7)))-INDEX('Scenario Engine'!$H$52:$L$52,1,U$7)/12-((INDEX('Scenario Engine'!$H$53:$L$53,1,U$7)-'Launch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Readiness'!$E$16/12,0))-(IF(U$6&lt;=6,'Startup 6mo'!$F$44/6,0)+IF(U$6&lt;'Launch Readiness'!$E$6,'Launch Readiness'!$E$8/MAX(1,'Launch Readiness'!$E$7),0)+IF(U$6='Launch Readiness'!$G$14,'Launch Readiness'!$E$15,0)),0)</x:f>
        <x:v>-1708936</x:v>
      </x:c>
      <x:c r="V53" s="103" t="n">
        <x:f>ROUND(U53+(IF(V$6&lt;='Launch Readiness'!$B$7,0,IF((V$6-'Launch Readiness'!$B$7)&lt;'Launch Readiness'!$E$6,0,INDEX('Scenario Engine'!$H$30:$L$30,1,ROUNDUP((V$6-'Launch Readiness'!$B$7)/12,0))/MAX(1,INDEX('Launch Readiness'!$B$26:$F$26,1,ROUNDUP((V$6-'Launch Readiness'!$B$7)/12,0))))))-IF(V$6&lt;'Launch Readiness'!$E$6,0,INDEX('Scenario Engine'!$H$47:$L$47,1,V$7)/MAX(1,INDEX('Launch Readiness'!$B$26:$F$26,1,V$7)))-INDEX('Scenario Engine'!$H$52:$L$52,1,V$7)/12-((INDEX('Scenario Engine'!$H$53:$L$53,1,V$7)-'Launch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Readiness'!$E$16/12,0))-(IF(V$6&lt;=6,'Startup 6mo'!$F$44/6,0)+IF(V$6&lt;'Launch Readiness'!$E$6,'Launch Readiness'!$E$8/MAX(1,'Launch Readiness'!$E$7),0)+IF(V$6='Launch Readiness'!$G$14,'Launch Readiness'!$E$15,0)),0)</x:f>
        <x:v>-1781383</x:v>
      </x:c>
      <x:c r="W53" s="103" t="n">
        <x:f>ROUND(V53+(IF(W$6&lt;='Launch Readiness'!$B$7,0,IF((W$6-'Launch Readiness'!$B$7)&lt;'Launch Readiness'!$E$6,0,INDEX('Scenario Engine'!$H$30:$L$30,1,ROUNDUP((W$6-'Launch Readiness'!$B$7)/12,0))/MAX(1,INDEX('Launch Readiness'!$B$26:$F$26,1,ROUNDUP((W$6-'Launch Readiness'!$B$7)/12,0))))))-IF(W$6&lt;'Launch Readiness'!$E$6,0,INDEX('Scenario Engine'!$H$47:$L$47,1,W$7)/MAX(1,INDEX('Launch Readiness'!$B$26:$F$26,1,W$7)))-INDEX('Scenario Engine'!$H$52:$L$52,1,W$7)/12-((INDEX('Scenario Engine'!$H$53:$L$53,1,W$7)-'Launch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Readiness'!$E$16/12,0))-(IF(W$6&lt;=6,'Startup 6mo'!$F$44/6,0)+IF(W$6&lt;'Launch Readiness'!$E$6,'Launch Readiness'!$E$8/MAX(1,'Launch Readiness'!$E$7),0)+IF(W$6='Launch Readiness'!$G$14,'Launch Readiness'!$E$15,0)),0)</x:f>
        <x:v>-1853830</x:v>
      </x:c>
      <x:c r="X53" s="103" t="n">
        <x:f>ROUND(W53+(IF(X$6&lt;='Launch Readiness'!$B$7,0,IF((X$6-'Launch Readiness'!$B$7)&lt;'Launch Readiness'!$E$6,0,INDEX('Scenario Engine'!$H$30:$L$30,1,ROUNDUP((X$6-'Launch Readiness'!$B$7)/12,0))/MAX(1,INDEX('Launch Readiness'!$B$26:$F$26,1,ROUNDUP((X$6-'Launch Readiness'!$B$7)/12,0))))))-IF(X$6&lt;'Launch Readiness'!$E$6,0,INDEX('Scenario Engine'!$H$47:$L$47,1,X$7)/MAX(1,INDEX('Launch Readiness'!$B$26:$F$26,1,X$7)))-INDEX('Scenario Engine'!$H$52:$L$52,1,X$7)/12-((INDEX('Scenario Engine'!$H$53:$L$53,1,X$7)-'Launch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Readiness'!$E$16/12,0))-(IF(X$6&lt;=6,'Startup 6mo'!$F$44/6,0)+IF(X$6&lt;'Launch Readiness'!$E$6,'Launch Readiness'!$E$8/MAX(1,'Launch Readiness'!$E$7),0)+IF(X$6='Launch Readiness'!$G$14,'Launch Readiness'!$E$15,0)),0)</x:f>
        <x:v>-1926277</x:v>
      </x:c>
      <x:c r="Y53" s="103" t="n">
        <x:f>ROUND(X53+(IF(Y$6&lt;='Launch Readiness'!$B$7,0,IF((Y$6-'Launch Readiness'!$B$7)&lt;'Launch Readiness'!$E$6,0,INDEX('Scenario Engine'!$H$30:$L$30,1,ROUNDUP((Y$6-'Launch Readiness'!$B$7)/12,0))/MAX(1,INDEX('Launch Readiness'!$B$26:$F$26,1,ROUNDUP((Y$6-'Launch Readiness'!$B$7)/12,0))))))-IF(Y$6&lt;'Launch Readiness'!$E$6,0,INDEX('Scenario Engine'!$H$47:$L$47,1,Y$7)/MAX(1,INDEX('Launch Readiness'!$B$26:$F$26,1,Y$7)))-INDEX('Scenario Engine'!$H$52:$L$52,1,Y$7)/12-((INDEX('Scenario Engine'!$H$53:$L$53,1,Y$7)-'Launch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Readiness'!$E$16/12,0))-(IF(Y$6&lt;=6,'Startup 6mo'!$F$44/6,0)+IF(Y$6&lt;'Launch Readiness'!$E$6,'Launch Readiness'!$E$8/MAX(1,'Launch Readiness'!$E$7),0)+IF(Y$6='Launch Readiness'!$G$14,'Launch Readiness'!$E$15,0)),0)</x:f>
        <x:v>-1998724</x:v>
      </x:c>
      <x:c r="Z53" s="103" t="n">
        <x:f>ROUND(Y53+(IF(Z$6&lt;='Launch Readiness'!$B$7,0,IF((Z$6-'Launch Readiness'!$B$7)&lt;'Launch Readiness'!$E$6,0,INDEX('Scenario Engine'!$H$30:$L$30,1,ROUNDUP((Z$6-'Launch Readiness'!$B$7)/12,0))/MAX(1,INDEX('Launch Readiness'!$B$26:$F$26,1,ROUNDUP((Z$6-'Launch Readiness'!$B$7)/12,0))))))-IF(Z$6&lt;'Launch Readiness'!$E$6,0,INDEX('Scenario Engine'!$H$47:$L$47,1,Z$7)/MAX(1,INDEX('Launch Readiness'!$B$26:$F$26,1,Z$7)))-INDEX('Scenario Engine'!$H$52:$L$52,1,Z$7)/12-((INDEX('Scenario Engine'!$H$53:$L$53,1,Z$7)-'Launch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Readiness'!$E$16/12,0))-(IF(Z$6&lt;=6,'Startup 6mo'!$F$44/6,0)+IF(Z$6&lt;'Launch Readiness'!$E$6,'Launch Readiness'!$E$8/MAX(1,'Launch Readiness'!$E$7),0)+IF(Z$6='Launch Readiness'!$G$14,'Launch Readiness'!$E$15,0)),0)</x:f>
        <x:v>-2113427</x:v>
      </x:c>
      <x:c r="AA53" s="103" t="n">
        <x:f>ROUND(Z53+(IF(AA$6&lt;='Launch Readiness'!$B$7,0,IF((AA$6-'Launch Readiness'!$B$7)&lt;'Launch Readiness'!$E$6,0,INDEX('Scenario Engine'!$H$30:$L$30,1,ROUNDUP((AA$6-'Launch Readiness'!$B$7)/12,0))/MAX(1,INDEX('Launch Readiness'!$B$26:$F$26,1,ROUNDUP((AA$6-'Launch Readiness'!$B$7)/12,0))))))-IF(AA$6&lt;'Launch Readiness'!$E$6,0,INDEX('Scenario Engine'!$H$47:$L$47,1,AA$7)/MAX(1,INDEX('Launch Readiness'!$B$26:$F$26,1,AA$7)))-INDEX('Scenario Engine'!$H$52:$L$52,1,AA$7)/12-((INDEX('Scenario Engine'!$H$53:$L$53,1,AA$7)-'Launch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Readiness'!$E$16/12,0))-(IF(AA$6&lt;=6,'Startup 6mo'!$F$44/6,0)+IF(AA$6&lt;'Launch Readiness'!$E$6,'Launch Readiness'!$E$8/MAX(1,'Launch Readiness'!$E$7),0)+IF(AA$6='Launch Readiness'!$G$14,'Launch Readiness'!$E$15,0)),0)</x:f>
        <x:v>-2146184</x:v>
      </x:c>
      <x:c r="AB53" s="103" t="n">
        <x:f>ROUND(AA53+(IF(AB$6&lt;='Launch Readiness'!$B$7,0,IF((AB$6-'Launch Readiness'!$B$7)&lt;'Launch Readiness'!$E$6,0,INDEX('Scenario Engine'!$H$30:$L$30,1,ROUNDUP((AB$6-'Launch Readiness'!$B$7)/12,0))/MAX(1,INDEX('Launch Readiness'!$B$26:$F$26,1,ROUNDUP((AB$6-'Launch Readiness'!$B$7)/12,0))))))-IF(AB$6&lt;'Launch Readiness'!$E$6,0,INDEX('Scenario Engine'!$H$47:$L$47,1,AB$7)/MAX(1,INDEX('Launch Readiness'!$B$26:$F$26,1,AB$7)))-INDEX('Scenario Engine'!$H$52:$L$52,1,AB$7)/12-((INDEX('Scenario Engine'!$H$53:$L$53,1,AB$7)-'Launch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Readiness'!$E$16/12,0))-(IF(AB$6&lt;=6,'Startup 6mo'!$F$44/6,0)+IF(AB$6&lt;'Launch Readiness'!$E$6,'Launch Readiness'!$E$8/MAX(1,'Launch Readiness'!$E$7),0)+IF(AB$6='Launch Readiness'!$G$14,'Launch Readiness'!$E$15,0)),0)</x:f>
        <x:v>-2178941</x:v>
      </x:c>
      <x:c r="AC53" s="103" t="n">
        <x:f>ROUND(AB53+(IF(AC$6&lt;='Launch Readiness'!$B$7,0,IF((AC$6-'Launch Readiness'!$B$7)&lt;'Launch Readiness'!$E$6,0,INDEX('Scenario Engine'!$H$30:$L$30,1,ROUNDUP((AC$6-'Launch Readiness'!$B$7)/12,0))/MAX(1,INDEX('Launch Readiness'!$B$26:$F$26,1,ROUNDUP((AC$6-'Launch Readiness'!$B$7)/12,0))))))-IF(AC$6&lt;'Launch Readiness'!$E$6,0,INDEX('Scenario Engine'!$H$47:$L$47,1,AC$7)/MAX(1,INDEX('Launch Readiness'!$B$26:$F$26,1,AC$7)))-INDEX('Scenario Engine'!$H$52:$L$52,1,AC$7)/12-((INDEX('Scenario Engine'!$H$53:$L$53,1,AC$7)-'Launch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Readiness'!$E$16/12,0))-(IF(AC$6&lt;=6,'Startup 6mo'!$F$44/6,0)+IF(AC$6&lt;'Launch Readiness'!$E$6,'Launch Readiness'!$E$8/MAX(1,'Launch Readiness'!$E$7),0)+IF(AC$6='Launch Readiness'!$G$14,'Launch Readiness'!$E$15,0)),0)</x:f>
        <x:v>-2211698</x:v>
      </x:c>
      <x:c r="AD53" s="103" t="n">
        <x:f>ROUND(AC53+(IF(AD$6&lt;='Launch Readiness'!$B$7,0,IF((AD$6-'Launch Readiness'!$B$7)&lt;'Launch Readiness'!$E$6,0,INDEX('Scenario Engine'!$H$30:$L$30,1,ROUNDUP((AD$6-'Launch Readiness'!$B$7)/12,0))/MAX(1,INDEX('Launch Readiness'!$B$26:$F$26,1,ROUNDUP((AD$6-'Launch Readiness'!$B$7)/12,0))))))-IF(AD$6&lt;'Launch Readiness'!$E$6,0,INDEX('Scenario Engine'!$H$47:$L$47,1,AD$7)/MAX(1,INDEX('Launch Readiness'!$B$26:$F$26,1,AD$7)))-INDEX('Scenario Engine'!$H$52:$L$52,1,AD$7)/12-((INDEX('Scenario Engine'!$H$53:$L$53,1,AD$7)-'Launch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Readiness'!$E$16/12,0))-(IF(AD$6&lt;=6,'Startup 6mo'!$F$44/6,0)+IF(AD$6&lt;'Launch Readiness'!$E$6,'Launch Readiness'!$E$8/MAX(1,'Launch Readiness'!$E$7),0)+IF(AD$6='Launch Readiness'!$G$14,'Launch Readiness'!$E$15,0)),0)</x:f>
        <x:v>-2244455</x:v>
      </x:c>
      <x:c r="AE53" s="103" t="n">
        <x:f>ROUND(AD53+(IF(AE$6&lt;='Launch Readiness'!$B$7,0,IF((AE$6-'Launch Readiness'!$B$7)&lt;'Launch Readiness'!$E$6,0,INDEX('Scenario Engine'!$H$30:$L$30,1,ROUNDUP((AE$6-'Launch Readiness'!$B$7)/12,0))/MAX(1,INDEX('Launch Readiness'!$B$26:$F$26,1,ROUNDUP((AE$6-'Launch Readiness'!$B$7)/12,0))))))-IF(AE$6&lt;'Launch Readiness'!$E$6,0,INDEX('Scenario Engine'!$H$47:$L$47,1,AE$7)/MAX(1,INDEX('Launch Readiness'!$B$26:$F$26,1,AE$7)))-INDEX('Scenario Engine'!$H$52:$L$52,1,AE$7)/12-((INDEX('Scenario Engine'!$H$53:$L$53,1,AE$7)-'Launch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Readiness'!$E$16/12,0))-(IF(AE$6&lt;=6,'Startup 6mo'!$F$44/6,0)+IF(AE$6&lt;'Launch Readiness'!$E$6,'Launch Readiness'!$E$8/MAX(1,'Launch Readiness'!$E$7),0)+IF(AE$6='Launch Readiness'!$G$14,'Launch Readiness'!$E$15,0)),0)</x:f>
        <x:v>-2277212</x:v>
      </x:c>
      <x:c r="AF53" s="103" t="n">
        <x:f>ROUND(AE53+(IF(AF$6&lt;='Launch Readiness'!$B$7,0,IF((AF$6-'Launch Readiness'!$B$7)&lt;'Launch Readiness'!$E$6,0,INDEX('Scenario Engine'!$H$30:$L$30,1,ROUNDUP((AF$6-'Launch Readiness'!$B$7)/12,0))/MAX(1,INDEX('Launch Readiness'!$B$26:$F$26,1,ROUNDUP((AF$6-'Launch Readiness'!$B$7)/12,0))))))-IF(AF$6&lt;'Launch Readiness'!$E$6,0,INDEX('Scenario Engine'!$H$47:$L$47,1,AF$7)/MAX(1,INDEX('Launch Readiness'!$B$26:$F$26,1,AF$7)))-INDEX('Scenario Engine'!$H$52:$L$52,1,AF$7)/12-((INDEX('Scenario Engine'!$H$53:$L$53,1,AF$7)-'Launch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Readiness'!$E$16/12,0))-(IF(AF$6&lt;=6,'Startup 6mo'!$F$44/6,0)+IF(AF$6&lt;'Launch Readiness'!$E$6,'Launch Readiness'!$E$8/MAX(1,'Launch Readiness'!$E$7),0)+IF(AF$6='Launch Readiness'!$G$14,'Launch Readiness'!$E$15,0)),0)</x:f>
        <x:v>-2309969</x:v>
      </x:c>
      <x:c r="AG53" s="103" t="n">
        <x:f>ROUND(AF53+(IF(AG$6&lt;='Launch Readiness'!$B$7,0,IF((AG$6-'Launch Readiness'!$B$7)&lt;'Launch Readiness'!$E$6,0,INDEX('Scenario Engine'!$H$30:$L$30,1,ROUNDUP((AG$6-'Launch Readiness'!$B$7)/12,0))/MAX(1,INDEX('Launch Readiness'!$B$26:$F$26,1,ROUNDUP((AG$6-'Launch Readiness'!$B$7)/12,0))))))-IF(AG$6&lt;'Launch Readiness'!$E$6,0,INDEX('Scenario Engine'!$H$47:$L$47,1,AG$7)/MAX(1,INDEX('Launch Readiness'!$B$26:$F$26,1,AG$7)))-INDEX('Scenario Engine'!$H$52:$L$52,1,AG$7)/12-((INDEX('Scenario Engine'!$H$53:$L$53,1,AG$7)-'Launch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Readiness'!$E$16/12,0))-(IF(AG$6&lt;=6,'Startup 6mo'!$F$44/6,0)+IF(AG$6&lt;'Launch Readiness'!$E$6,'Launch Readiness'!$E$8/MAX(1,'Launch Readiness'!$E$7),0)+IF(AG$6='Launch Readiness'!$G$14,'Launch Readiness'!$E$15,0)),0)</x:f>
        <x:v>-2342726</x:v>
      </x:c>
      <x:c r="AH53" s="103" t="n">
        <x:f>ROUND(AG53+(IF(AH$6&lt;='Launch Readiness'!$B$7,0,IF((AH$6-'Launch Readiness'!$B$7)&lt;'Launch Readiness'!$E$6,0,INDEX('Scenario Engine'!$H$30:$L$30,1,ROUNDUP((AH$6-'Launch Readiness'!$B$7)/12,0))/MAX(1,INDEX('Launch Readiness'!$B$26:$F$26,1,ROUNDUP((AH$6-'Launch Readiness'!$B$7)/12,0))))))-IF(AH$6&lt;'Launch Readiness'!$E$6,0,INDEX('Scenario Engine'!$H$47:$L$47,1,AH$7)/MAX(1,INDEX('Launch Readiness'!$B$26:$F$26,1,AH$7)))-INDEX('Scenario Engine'!$H$52:$L$52,1,AH$7)/12-((INDEX('Scenario Engine'!$H$53:$L$53,1,AH$7)-'Launch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Readiness'!$E$16/12,0))-(IF(AH$6&lt;=6,'Startup 6mo'!$F$44/6,0)+IF(AH$6&lt;'Launch Readiness'!$E$6,'Launch Readiness'!$E$8/MAX(1,'Launch Readiness'!$E$7),0)+IF(AH$6='Launch Readiness'!$G$14,'Launch Readiness'!$E$15,0)),0)</x:f>
        <x:v>-2375483</x:v>
      </x:c>
      <x:c r="AI53" s="103" t="n">
        <x:f>ROUND(AH53+(IF(AI$6&lt;='Launch Readiness'!$B$7,0,IF((AI$6-'Launch Readiness'!$B$7)&lt;'Launch Readiness'!$E$6,0,INDEX('Scenario Engine'!$H$30:$L$30,1,ROUNDUP((AI$6-'Launch Readiness'!$B$7)/12,0))/MAX(1,INDEX('Launch Readiness'!$B$26:$F$26,1,ROUNDUP((AI$6-'Launch Readiness'!$B$7)/12,0))))))-IF(AI$6&lt;'Launch Readiness'!$E$6,0,INDEX('Scenario Engine'!$H$47:$L$47,1,AI$7)/MAX(1,INDEX('Launch Readiness'!$B$26:$F$26,1,AI$7)))-INDEX('Scenario Engine'!$H$52:$L$52,1,AI$7)/12-((INDEX('Scenario Engine'!$H$53:$L$53,1,AI$7)-'Launch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Readiness'!$E$16/12,0))-(IF(AI$6&lt;=6,'Startup 6mo'!$F$44/6,0)+IF(AI$6&lt;'Launch Readiness'!$E$6,'Launch Readiness'!$E$8/MAX(1,'Launch Readiness'!$E$7),0)+IF(AI$6='Launch Readiness'!$G$14,'Launch Readiness'!$E$15,0)),0)</x:f>
        <x:v>-2408240</x:v>
      </x:c>
      <x:c r="AJ53" s="103" t="n">
        <x:f>ROUND(AI53+(IF(AJ$6&lt;='Launch Readiness'!$B$7,0,IF((AJ$6-'Launch Readiness'!$B$7)&lt;'Launch Readiness'!$E$6,0,INDEX('Scenario Engine'!$H$30:$L$30,1,ROUNDUP((AJ$6-'Launch Readiness'!$B$7)/12,0))/MAX(1,INDEX('Launch Readiness'!$B$26:$F$26,1,ROUNDUP((AJ$6-'Launch Readiness'!$B$7)/12,0))))))-IF(AJ$6&lt;'Launch Readiness'!$E$6,0,INDEX('Scenario Engine'!$H$47:$L$47,1,AJ$7)/MAX(1,INDEX('Launch Readiness'!$B$26:$F$26,1,AJ$7)))-INDEX('Scenario Engine'!$H$52:$L$52,1,AJ$7)/12-((INDEX('Scenario Engine'!$H$53:$L$53,1,AJ$7)-'Launch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Readiness'!$E$16/12,0))-(IF(AJ$6&lt;=6,'Startup 6mo'!$F$44/6,0)+IF(AJ$6&lt;'Launch Readiness'!$E$6,'Launch Readiness'!$E$8/MAX(1,'Launch Readiness'!$E$7),0)+IF(AJ$6='Launch Readiness'!$G$14,'Launch Readiness'!$E$15,0)),0)</x:f>
        <x:v>-2440997</x:v>
      </x:c>
      <x:c r="AK53" s="103" t="n">
        <x:f>ROUND(AJ53+(IF(AK$6&lt;='Launch Readiness'!$B$7,0,IF((AK$6-'Launch Readiness'!$B$7)&lt;'Launch Readiness'!$E$6,0,INDEX('Scenario Engine'!$H$30:$L$30,1,ROUNDUP((AK$6-'Launch Readiness'!$B$7)/12,0))/MAX(1,INDEX('Launch Readiness'!$B$26:$F$26,1,ROUNDUP((AK$6-'Launch Readiness'!$B$7)/12,0))))))-IF(AK$6&lt;'Launch Readiness'!$E$6,0,INDEX('Scenario Engine'!$H$47:$L$47,1,AK$7)/MAX(1,INDEX('Launch Readiness'!$B$26:$F$26,1,AK$7)))-INDEX('Scenario Engine'!$H$52:$L$52,1,AK$7)/12-((INDEX('Scenario Engine'!$H$53:$L$53,1,AK$7)-'Launch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Readiness'!$E$16/12,0))-(IF(AK$6&lt;=6,'Startup 6mo'!$F$44/6,0)+IF(AK$6&lt;'Launch Readiness'!$E$6,'Launch Readiness'!$E$8/MAX(1,'Launch Readiness'!$E$7),0)+IF(AK$6='Launch Readiness'!$G$14,'Launch Readiness'!$E$15,0)),0)</x:f>
        <x:v>-2473754</x:v>
      </x:c>
      <x:c r="AL53" s="103" t="n">
        <x:f>ROUND(AK53+(IF(AL$6&lt;='Launch Readiness'!$B$7,0,IF((AL$6-'Launch Readiness'!$B$7)&lt;'Launch Readiness'!$E$6,0,INDEX('Scenario Engine'!$H$30:$L$30,1,ROUNDUP((AL$6-'Launch Readiness'!$B$7)/12,0))/MAX(1,INDEX('Launch Readiness'!$B$26:$F$26,1,ROUNDUP((AL$6-'Launch Readiness'!$B$7)/12,0))))))-IF(AL$6&lt;'Launch Readiness'!$E$6,0,INDEX('Scenario Engine'!$H$47:$L$47,1,AL$7)/MAX(1,INDEX('Launch Readiness'!$B$26:$F$26,1,AL$7)))-INDEX('Scenario Engine'!$H$52:$L$52,1,AL$7)/12-((INDEX('Scenario Engine'!$H$53:$L$53,1,AL$7)-'Launch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Readiness'!$E$16/12,0))-(IF(AL$6&lt;=6,'Startup 6mo'!$F$44/6,0)+IF(AL$6&lt;'Launch Readiness'!$E$6,'Launch Readiness'!$E$8/MAX(1,'Launch Readiness'!$E$7),0)+IF(AL$6='Launch Readiness'!$G$14,'Launch Readiness'!$E$15,0)),0)</x:f>
        <x:v>-2686484</x:v>
      </x:c>
      <x:c r="AM53" s="103" t="n">
        <x:f>ROUND(AL53+(IF(AM$6&lt;='Launch Readiness'!$B$7,0,IF((AM$6-'Launch Readiness'!$B$7)&lt;'Launch Readiness'!$E$6,0,INDEX('Scenario Engine'!$H$30:$L$30,1,ROUNDUP((AM$6-'Launch Readiness'!$B$7)/12,0))/MAX(1,INDEX('Launch Readiness'!$B$26:$F$26,1,ROUNDUP((AM$6-'Launch Readiness'!$B$7)/12,0))))))-IF(AM$6&lt;'Launch Readiness'!$E$6,0,INDEX('Scenario Engine'!$H$47:$L$47,1,AM$7)/MAX(1,INDEX('Launch Readiness'!$B$26:$F$26,1,AM$7)))-INDEX('Scenario Engine'!$H$52:$L$52,1,AM$7)/12-((INDEX('Scenario Engine'!$H$53:$L$53,1,AM$7)-'Launch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Readiness'!$E$16/12,0))-(IF(AM$6&lt;=6,'Startup 6mo'!$F$44/6,0)+IF(AM$6&lt;'Launch Readiness'!$E$6,'Launch Readiness'!$E$8/MAX(1,'Launch Readiness'!$E$7),0)+IF(AM$6='Launch Readiness'!$G$14,'Launch Readiness'!$E$15,0)),0)</x:f>
        <x:v>-2269648</x:v>
      </x:c>
      <x:c r="AN53" s="103" t="n">
        <x:f>ROUND(AM53+(IF(AN$6&lt;='Launch Readiness'!$B$7,0,IF((AN$6-'Launch Readiness'!$B$7)&lt;'Launch Readiness'!$E$6,0,INDEX('Scenario Engine'!$H$30:$L$30,1,ROUNDUP((AN$6-'Launch Readiness'!$B$7)/12,0))/MAX(1,INDEX('Launch Readiness'!$B$26:$F$26,1,ROUNDUP((AN$6-'Launch Readiness'!$B$7)/12,0))))))-IF(AN$6&lt;'Launch Readiness'!$E$6,0,INDEX('Scenario Engine'!$H$47:$L$47,1,AN$7)/MAX(1,INDEX('Launch Readiness'!$B$26:$F$26,1,AN$7)))-INDEX('Scenario Engine'!$H$52:$L$52,1,AN$7)/12-((INDEX('Scenario Engine'!$H$53:$L$53,1,AN$7)-'Launch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Readiness'!$E$16/12,0))-(IF(AN$6&lt;=6,'Startup 6mo'!$F$44/6,0)+IF(AN$6&lt;'Launch Readiness'!$E$6,'Launch Readiness'!$E$8/MAX(1,'Launch Readiness'!$E$7),0)+IF(AN$6='Launch Readiness'!$G$14,'Launch Readiness'!$E$15,0)),0)</x:f>
        <x:v>-1852812</x:v>
      </x:c>
      <x:c r="AO53" s="103" t="n">
        <x:f>ROUND(AN53+(IF(AO$6&lt;='Launch Readiness'!$B$7,0,IF((AO$6-'Launch Readiness'!$B$7)&lt;'Launch Readiness'!$E$6,0,INDEX('Scenario Engine'!$H$30:$L$30,1,ROUNDUP((AO$6-'Launch Readiness'!$B$7)/12,0))/MAX(1,INDEX('Launch Readiness'!$B$26:$F$26,1,ROUNDUP((AO$6-'Launch Readiness'!$B$7)/12,0))))))-IF(AO$6&lt;'Launch Readiness'!$E$6,0,INDEX('Scenario Engine'!$H$47:$L$47,1,AO$7)/MAX(1,INDEX('Launch Readiness'!$B$26:$F$26,1,AO$7)))-INDEX('Scenario Engine'!$H$52:$L$52,1,AO$7)/12-((INDEX('Scenario Engine'!$H$53:$L$53,1,AO$7)-'Launch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Readiness'!$E$16/12,0))-(IF(AO$6&lt;=6,'Startup 6mo'!$F$44/6,0)+IF(AO$6&lt;'Launch Readiness'!$E$6,'Launch Readiness'!$E$8/MAX(1,'Launch Readiness'!$E$7),0)+IF(AO$6='Launch Readiness'!$G$14,'Launch Readiness'!$E$15,0)),0)</x:f>
        <x:v>-1435976</x:v>
      </x:c>
      <x:c r="AP53" s="103" t="n">
        <x:f>ROUND(AO53+(IF(AP$6&lt;='Launch Readiness'!$B$7,0,IF((AP$6-'Launch Readiness'!$B$7)&lt;'Launch Readiness'!$E$6,0,INDEX('Scenario Engine'!$H$30:$L$30,1,ROUNDUP((AP$6-'Launch Readiness'!$B$7)/12,0))/MAX(1,INDEX('Launch Readiness'!$B$26:$F$26,1,ROUNDUP((AP$6-'Launch Readiness'!$B$7)/12,0))))))-IF(AP$6&lt;'Launch Readiness'!$E$6,0,INDEX('Scenario Engine'!$H$47:$L$47,1,AP$7)/MAX(1,INDEX('Launch Readiness'!$B$26:$F$26,1,AP$7)))-INDEX('Scenario Engine'!$H$52:$L$52,1,AP$7)/12-((INDEX('Scenario Engine'!$H$53:$L$53,1,AP$7)-'Launch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Readiness'!$E$16/12,0))-(IF(AP$6&lt;=6,'Startup 6mo'!$F$44/6,0)+IF(AP$6&lt;'Launch Readiness'!$E$6,'Launch Readiness'!$E$8/MAX(1,'Launch Readiness'!$E$7),0)+IF(AP$6='Launch Readiness'!$G$14,'Launch Readiness'!$E$15,0)),0)</x:f>
        <x:v>-1019140</x:v>
      </x:c>
      <x:c r="AQ53" s="103" t="n">
        <x:f>ROUND(AP53+(IF(AQ$6&lt;='Launch Readiness'!$B$7,0,IF((AQ$6-'Launch Readiness'!$B$7)&lt;'Launch Readiness'!$E$6,0,INDEX('Scenario Engine'!$H$30:$L$30,1,ROUNDUP((AQ$6-'Launch Readiness'!$B$7)/12,0))/MAX(1,INDEX('Launch Readiness'!$B$26:$F$26,1,ROUNDUP((AQ$6-'Launch Readiness'!$B$7)/12,0))))))-IF(AQ$6&lt;'Launch Readiness'!$E$6,0,INDEX('Scenario Engine'!$H$47:$L$47,1,AQ$7)/MAX(1,INDEX('Launch Readiness'!$B$26:$F$26,1,AQ$7)))-INDEX('Scenario Engine'!$H$52:$L$52,1,AQ$7)/12-((INDEX('Scenario Engine'!$H$53:$L$53,1,AQ$7)-'Launch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Readiness'!$E$16/12,0))-(IF(AQ$6&lt;=6,'Startup 6mo'!$F$44/6,0)+IF(AQ$6&lt;'Launch Readiness'!$E$6,'Launch Readiness'!$E$8/MAX(1,'Launch Readiness'!$E$7),0)+IF(AQ$6='Launch Readiness'!$G$14,'Launch Readiness'!$E$15,0)),0)</x:f>
        <x:v>-602304</x:v>
      </x:c>
      <x:c r="AR53" s="103" t="n">
        <x:f>ROUND(AQ53+(IF(AR$6&lt;='Launch Readiness'!$B$7,0,IF((AR$6-'Launch Readiness'!$B$7)&lt;'Launch Readiness'!$E$6,0,INDEX('Scenario Engine'!$H$30:$L$30,1,ROUNDUP((AR$6-'Launch Readiness'!$B$7)/12,0))/MAX(1,INDEX('Launch Readiness'!$B$26:$F$26,1,ROUNDUP((AR$6-'Launch Readiness'!$B$7)/12,0))))))-IF(AR$6&lt;'Launch Readiness'!$E$6,0,INDEX('Scenario Engine'!$H$47:$L$47,1,AR$7)/MAX(1,INDEX('Launch Readiness'!$B$26:$F$26,1,AR$7)))-INDEX('Scenario Engine'!$H$52:$L$52,1,AR$7)/12-((INDEX('Scenario Engine'!$H$53:$L$53,1,AR$7)-'Launch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Readiness'!$E$16/12,0))-(IF(AR$6&lt;=6,'Startup 6mo'!$F$44/6,0)+IF(AR$6&lt;'Launch Readiness'!$E$6,'Launch Readiness'!$E$8/MAX(1,'Launch Readiness'!$E$7),0)+IF(AR$6='Launch Readiness'!$G$14,'Launch Readiness'!$E$15,0)),0)</x:f>
        <x:v>-185468</x:v>
      </x:c>
      <x:c r="AS53" s="103" t="n">
        <x:f>ROUND(AR53+(IF(AS$6&lt;='Launch Readiness'!$B$7,0,IF((AS$6-'Launch Readiness'!$B$7)&lt;'Launch Readiness'!$E$6,0,INDEX('Scenario Engine'!$H$30:$L$30,1,ROUNDUP((AS$6-'Launch Readiness'!$B$7)/12,0))/MAX(1,INDEX('Launch Readiness'!$B$26:$F$26,1,ROUNDUP((AS$6-'Launch Readiness'!$B$7)/12,0))))))-IF(AS$6&lt;'Launch Readiness'!$E$6,0,INDEX('Scenario Engine'!$H$47:$L$47,1,AS$7)/MAX(1,INDEX('Launch Readiness'!$B$26:$F$26,1,AS$7)))-INDEX('Scenario Engine'!$H$52:$L$52,1,AS$7)/12-((INDEX('Scenario Engine'!$H$53:$L$53,1,AS$7)-'Launch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Readiness'!$E$16/12,0))-(IF(AS$6&lt;=6,'Startup 6mo'!$F$44/6,0)+IF(AS$6&lt;'Launch Readiness'!$E$6,'Launch Readiness'!$E$8/MAX(1,'Launch Readiness'!$E$7),0)+IF(AS$6='Launch Readiness'!$G$14,'Launch Readiness'!$E$15,0)),0)</x:f>
        <x:v>231368</x:v>
      </x:c>
      <x:c r="AT53" s="103" t="n">
        <x:f>ROUND(AS53+(IF(AT$6&lt;='Launch Readiness'!$B$7,0,IF((AT$6-'Launch Readiness'!$B$7)&lt;'Launch Readiness'!$E$6,0,INDEX('Scenario Engine'!$H$30:$L$30,1,ROUNDUP((AT$6-'Launch Readiness'!$B$7)/12,0))/MAX(1,INDEX('Launch Readiness'!$B$26:$F$26,1,ROUNDUP((AT$6-'Launch Readiness'!$B$7)/12,0))))))-IF(AT$6&lt;'Launch Readiness'!$E$6,0,INDEX('Scenario Engine'!$H$47:$L$47,1,AT$7)/MAX(1,INDEX('Launch Readiness'!$B$26:$F$26,1,AT$7)))-INDEX('Scenario Engine'!$H$52:$L$52,1,AT$7)/12-((INDEX('Scenario Engine'!$H$53:$L$53,1,AT$7)-'Launch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Readiness'!$E$16/12,0))-(IF(AT$6&lt;=6,'Startup 6mo'!$F$44/6,0)+IF(AT$6&lt;'Launch Readiness'!$E$6,'Launch Readiness'!$E$8/MAX(1,'Launch Readiness'!$E$7),0)+IF(AT$6='Launch Readiness'!$G$14,'Launch Readiness'!$E$15,0)),0)</x:f>
        <x:v>648204</x:v>
      </x:c>
      <x:c r="AU53" s="103" t="n">
        <x:f>ROUND(AT53+(IF(AU$6&lt;='Launch Readiness'!$B$7,0,IF((AU$6-'Launch Readiness'!$B$7)&lt;'Launch Readiness'!$E$6,0,INDEX('Scenario Engine'!$H$30:$L$30,1,ROUNDUP((AU$6-'Launch Readiness'!$B$7)/12,0))/MAX(1,INDEX('Launch Readiness'!$B$26:$F$26,1,ROUNDUP((AU$6-'Launch Readiness'!$B$7)/12,0))))))-IF(AU$6&lt;'Launch Readiness'!$E$6,0,INDEX('Scenario Engine'!$H$47:$L$47,1,AU$7)/MAX(1,INDEX('Launch Readiness'!$B$26:$F$26,1,AU$7)))-INDEX('Scenario Engine'!$H$52:$L$52,1,AU$7)/12-((INDEX('Scenario Engine'!$H$53:$L$53,1,AU$7)-'Launch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Readiness'!$E$16/12,0))-(IF(AU$6&lt;=6,'Startup 6mo'!$F$44/6,0)+IF(AU$6&lt;'Launch Readiness'!$E$6,'Launch Readiness'!$E$8/MAX(1,'Launch Readiness'!$E$7),0)+IF(AU$6='Launch Readiness'!$G$14,'Launch Readiness'!$E$15,0)),0)</x:f>
        <x:v>1065040</x:v>
      </x:c>
      <x:c r="AV53" s="103" t="n">
        <x:f>ROUND(AU53+(IF(AV$6&lt;='Launch Readiness'!$B$7,0,IF((AV$6-'Launch Readiness'!$B$7)&lt;'Launch Readiness'!$E$6,0,INDEX('Scenario Engine'!$H$30:$L$30,1,ROUNDUP((AV$6-'Launch Readiness'!$B$7)/12,0))/MAX(1,INDEX('Launch Readiness'!$B$26:$F$26,1,ROUNDUP((AV$6-'Launch Readiness'!$B$7)/12,0))))))-IF(AV$6&lt;'Launch Readiness'!$E$6,0,INDEX('Scenario Engine'!$H$47:$L$47,1,AV$7)/MAX(1,INDEX('Launch Readiness'!$B$26:$F$26,1,AV$7)))-INDEX('Scenario Engine'!$H$52:$L$52,1,AV$7)/12-((INDEX('Scenario Engine'!$H$53:$L$53,1,AV$7)-'Launch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Readiness'!$E$16/12,0))-(IF(AV$6&lt;=6,'Startup 6mo'!$F$44/6,0)+IF(AV$6&lt;'Launch Readiness'!$E$6,'Launch Readiness'!$E$8/MAX(1,'Launch Readiness'!$E$7),0)+IF(AV$6='Launch Readiness'!$G$14,'Launch Readiness'!$E$15,0)),0)</x:f>
        <x:v>1481876</x:v>
      </x:c>
      <x:c r="AW53" s="103" t="n">
        <x:f>ROUND(AV53+(IF(AW$6&lt;='Launch Readiness'!$B$7,0,IF((AW$6-'Launch Readiness'!$B$7)&lt;'Launch Readiness'!$E$6,0,INDEX('Scenario Engine'!$H$30:$L$30,1,ROUNDUP((AW$6-'Launch Readiness'!$B$7)/12,0))/MAX(1,INDEX('Launch Readiness'!$B$26:$F$26,1,ROUNDUP((AW$6-'Launch Readiness'!$B$7)/12,0))))))-IF(AW$6&lt;'Launch Readiness'!$E$6,0,INDEX('Scenario Engine'!$H$47:$L$47,1,AW$7)/MAX(1,INDEX('Launch Readiness'!$B$26:$F$26,1,AW$7)))-INDEX('Scenario Engine'!$H$52:$L$52,1,AW$7)/12-((INDEX('Scenario Engine'!$H$53:$L$53,1,AW$7)-'Launch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Readiness'!$E$16/12,0))-(IF(AW$6&lt;=6,'Startup 6mo'!$F$44/6,0)+IF(AW$6&lt;'Launch Readiness'!$E$6,'Launch Readiness'!$E$8/MAX(1,'Launch Readiness'!$E$7),0)+IF(AW$6='Launch Readiness'!$G$14,'Launch Readiness'!$E$15,0)),0)</x:f>
        <x:v>1898712</x:v>
      </x:c>
      <x:c r="AX53" s="103" t="n">
        <x:f>ROUND(AW53+(IF(AX$6&lt;='Launch Readiness'!$B$7,0,IF((AX$6-'Launch Readiness'!$B$7)&lt;'Launch Readiness'!$E$6,0,INDEX('Scenario Engine'!$H$30:$L$30,1,ROUNDUP((AX$6-'Launch Readiness'!$B$7)/12,0))/MAX(1,INDEX('Launch Readiness'!$B$26:$F$26,1,ROUNDUP((AX$6-'Launch Readiness'!$B$7)/12,0))))))-IF(AX$6&lt;'Launch Readiness'!$E$6,0,INDEX('Scenario Engine'!$H$47:$L$47,1,AX$7)/MAX(1,INDEX('Launch Readiness'!$B$26:$F$26,1,AX$7)))-INDEX('Scenario Engine'!$H$52:$L$52,1,AX$7)/12-((INDEX('Scenario Engine'!$H$53:$L$53,1,AX$7)-'Launch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Readiness'!$E$16/12,0))-(IF(AX$6&lt;=6,'Startup 6mo'!$F$44/6,0)+IF(AX$6&lt;'Launch Readiness'!$E$6,'Launch Readiness'!$E$8/MAX(1,'Launch Readiness'!$E$7),0)+IF(AX$6='Launch Readiness'!$G$14,'Launch Readiness'!$E$15,0)),0)</x:f>
        <x:v>2137303</x:v>
      </x:c>
      <x:c r="AY53" s="103" t="n">
        <x:f>ROUND(AX53+(IF(AY$6&lt;='Launch Readiness'!$B$7,0,IF((AY$6-'Launch Readiness'!$B$7)&lt;'Launch Readiness'!$E$6,0,INDEX('Scenario Engine'!$H$30:$L$30,1,ROUNDUP((AY$6-'Launch Readiness'!$B$7)/12,0))/MAX(1,INDEX('Launch Readiness'!$B$26:$F$26,1,ROUNDUP((AY$6-'Launch Readiness'!$B$7)/12,0))))))-IF(AY$6&lt;'Launch Readiness'!$E$6,0,INDEX('Scenario Engine'!$H$47:$L$47,1,AY$7)/MAX(1,INDEX('Launch Readiness'!$B$26:$F$26,1,AY$7)))-INDEX('Scenario Engine'!$H$52:$L$52,1,AY$7)/12-((INDEX('Scenario Engine'!$H$53:$L$53,1,AY$7)-'Launch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Readiness'!$E$16/12,0))-(IF(AY$6&lt;=6,'Startup 6mo'!$F$44/6,0)+IF(AY$6&lt;'Launch Readiness'!$E$6,'Launch Readiness'!$E$8/MAX(1,'Launch Readiness'!$E$7),0)+IF(AY$6='Launch Readiness'!$G$14,'Launch Readiness'!$E$15,0)),0)</x:f>
        <x:v>3116721</x:v>
      </x:c>
      <x:c r="AZ53" s="103" t="n">
        <x:f>ROUND(AY53+(IF(AZ$6&lt;='Launch Readiness'!$B$7,0,IF((AZ$6-'Launch Readiness'!$B$7)&lt;'Launch Readiness'!$E$6,0,INDEX('Scenario Engine'!$H$30:$L$30,1,ROUNDUP((AZ$6-'Launch Readiness'!$B$7)/12,0))/MAX(1,INDEX('Launch Readiness'!$B$26:$F$26,1,ROUNDUP((AZ$6-'Launch Readiness'!$B$7)/12,0))))))-IF(AZ$6&lt;'Launch Readiness'!$E$6,0,INDEX('Scenario Engine'!$H$47:$L$47,1,AZ$7)/MAX(1,INDEX('Launch Readiness'!$B$26:$F$26,1,AZ$7)))-INDEX('Scenario Engine'!$H$52:$L$52,1,AZ$7)/12-((INDEX('Scenario Engine'!$H$53:$L$53,1,AZ$7)-'Launch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Readiness'!$E$16/12,0))-(IF(AZ$6&lt;=6,'Startup 6mo'!$F$44/6,0)+IF(AZ$6&lt;'Launch Readiness'!$E$6,'Launch Readiness'!$E$8/MAX(1,'Launch Readiness'!$E$7),0)+IF(AZ$6='Launch Readiness'!$G$14,'Launch Readiness'!$E$15,0)),0)</x:f>
        <x:v>4096139</x:v>
      </x:c>
      <x:c r="BA53" s="103" t="n">
        <x:f>ROUND(AZ53+(IF(BA$6&lt;='Launch Readiness'!$B$7,0,IF((BA$6-'Launch Readiness'!$B$7)&lt;'Launch Readiness'!$E$6,0,INDEX('Scenario Engine'!$H$30:$L$30,1,ROUNDUP((BA$6-'Launch Readiness'!$B$7)/12,0))/MAX(1,INDEX('Launch Readiness'!$B$26:$F$26,1,ROUNDUP((BA$6-'Launch Readiness'!$B$7)/12,0))))))-IF(BA$6&lt;'Launch Readiness'!$E$6,0,INDEX('Scenario Engine'!$H$47:$L$47,1,BA$7)/MAX(1,INDEX('Launch Readiness'!$B$26:$F$26,1,BA$7)))-INDEX('Scenario Engine'!$H$52:$L$52,1,BA$7)/12-((INDEX('Scenario Engine'!$H$53:$L$53,1,BA$7)-'Launch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Readiness'!$E$16/12,0))-(IF(BA$6&lt;=6,'Startup 6mo'!$F$44/6,0)+IF(BA$6&lt;'Launch Readiness'!$E$6,'Launch Readiness'!$E$8/MAX(1,'Launch Readiness'!$E$7),0)+IF(BA$6='Launch Readiness'!$G$14,'Launch Readiness'!$E$15,0)),0)</x:f>
        <x:v>5075557</x:v>
      </x:c>
      <x:c r="BB53" s="103" t="n">
        <x:f>ROUND(BA53+(IF(BB$6&lt;='Launch Readiness'!$B$7,0,IF((BB$6-'Launch Readiness'!$B$7)&lt;'Launch Readiness'!$E$6,0,INDEX('Scenario Engine'!$H$30:$L$30,1,ROUNDUP((BB$6-'Launch Readiness'!$B$7)/12,0))/MAX(1,INDEX('Launch Readiness'!$B$26:$F$26,1,ROUNDUP((BB$6-'Launch Readiness'!$B$7)/12,0))))))-IF(BB$6&lt;'Launch Readiness'!$E$6,0,INDEX('Scenario Engine'!$H$47:$L$47,1,BB$7)/MAX(1,INDEX('Launch Readiness'!$B$26:$F$26,1,BB$7)))-INDEX('Scenario Engine'!$H$52:$L$52,1,BB$7)/12-((INDEX('Scenario Engine'!$H$53:$L$53,1,BB$7)-'Launch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Readiness'!$E$16/12,0))-(IF(BB$6&lt;=6,'Startup 6mo'!$F$44/6,0)+IF(BB$6&lt;'Launch Readiness'!$E$6,'Launch Readiness'!$E$8/MAX(1,'Launch Readiness'!$E$7),0)+IF(BB$6='Launch Readiness'!$G$14,'Launch Readiness'!$E$15,0)),0)</x:f>
        <x:v>6054975</x:v>
      </x:c>
      <x:c r="BC53" s="103" t="n">
        <x:f>ROUND(BB53+(IF(BC$6&lt;='Launch Readiness'!$B$7,0,IF((BC$6-'Launch Readiness'!$B$7)&lt;'Launch Readiness'!$E$6,0,INDEX('Scenario Engine'!$H$30:$L$30,1,ROUNDUP((BC$6-'Launch Readiness'!$B$7)/12,0))/MAX(1,INDEX('Launch Readiness'!$B$26:$F$26,1,ROUNDUP((BC$6-'Launch Readiness'!$B$7)/12,0))))))-IF(BC$6&lt;'Launch Readiness'!$E$6,0,INDEX('Scenario Engine'!$H$47:$L$47,1,BC$7)/MAX(1,INDEX('Launch Readiness'!$B$26:$F$26,1,BC$7)))-INDEX('Scenario Engine'!$H$52:$L$52,1,BC$7)/12-((INDEX('Scenario Engine'!$H$53:$L$53,1,BC$7)-'Launch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Readiness'!$E$16/12,0))-(IF(BC$6&lt;=6,'Startup 6mo'!$F$44/6,0)+IF(BC$6&lt;'Launch Readiness'!$E$6,'Launch Readiness'!$E$8/MAX(1,'Launch Readiness'!$E$7),0)+IF(BC$6='Launch Readiness'!$G$14,'Launch Readiness'!$E$15,0)),0)</x:f>
        <x:v>7034393</x:v>
      </x:c>
      <x:c r="BD53" s="103" t="n">
        <x:f>ROUND(BC53+(IF(BD$6&lt;='Launch Readiness'!$B$7,0,IF((BD$6-'Launch Readiness'!$B$7)&lt;'Launch Readiness'!$E$6,0,INDEX('Scenario Engine'!$H$30:$L$30,1,ROUNDUP((BD$6-'Launch Readiness'!$B$7)/12,0))/MAX(1,INDEX('Launch Readiness'!$B$26:$F$26,1,ROUNDUP((BD$6-'Launch Readiness'!$B$7)/12,0))))))-IF(BD$6&lt;'Launch Readiness'!$E$6,0,INDEX('Scenario Engine'!$H$47:$L$47,1,BD$7)/MAX(1,INDEX('Launch Readiness'!$B$26:$F$26,1,BD$7)))-INDEX('Scenario Engine'!$H$52:$L$52,1,BD$7)/12-((INDEX('Scenario Engine'!$H$53:$L$53,1,BD$7)-'Launch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Readiness'!$E$16/12,0))-(IF(BD$6&lt;=6,'Startup 6mo'!$F$44/6,0)+IF(BD$6&lt;'Launch Readiness'!$E$6,'Launch Readiness'!$E$8/MAX(1,'Launch Readiness'!$E$7),0)+IF(BD$6='Launch Readiness'!$G$14,'Launch Readiness'!$E$15,0)),0)</x:f>
        <x:v>8013811</x:v>
      </x:c>
      <x:c r="BE53" s="103" t="n">
        <x:f>ROUND(BD53+(IF(BE$6&lt;='Launch Readiness'!$B$7,0,IF((BE$6-'Launch Readiness'!$B$7)&lt;'Launch Readiness'!$E$6,0,INDEX('Scenario Engine'!$H$30:$L$30,1,ROUNDUP((BE$6-'Launch Readiness'!$B$7)/12,0))/MAX(1,INDEX('Launch Readiness'!$B$26:$F$26,1,ROUNDUP((BE$6-'Launch Readiness'!$B$7)/12,0))))))-IF(BE$6&lt;'Launch Readiness'!$E$6,0,INDEX('Scenario Engine'!$H$47:$L$47,1,BE$7)/MAX(1,INDEX('Launch Readiness'!$B$26:$F$26,1,BE$7)))-INDEX('Scenario Engine'!$H$52:$L$52,1,BE$7)/12-((INDEX('Scenario Engine'!$H$53:$L$53,1,BE$7)-'Launch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Readiness'!$E$16/12,0))-(IF(BE$6&lt;=6,'Startup 6mo'!$F$44/6,0)+IF(BE$6&lt;'Launch Readiness'!$E$6,'Launch Readiness'!$E$8/MAX(1,'Launch Readiness'!$E$7),0)+IF(BE$6='Launch Readiness'!$G$14,'Launch Readiness'!$E$15,0)),0)</x:f>
        <x:v>8993229</x:v>
      </x:c>
      <x:c r="BF53" s="103" t="n">
        <x:f>ROUND(BE53+(IF(BF$6&lt;='Launch Readiness'!$B$7,0,IF((BF$6-'Launch Readiness'!$B$7)&lt;'Launch Readiness'!$E$6,0,INDEX('Scenario Engine'!$H$30:$L$30,1,ROUNDUP((BF$6-'Launch Readiness'!$B$7)/12,0))/MAX(1,INDEX('Launch Readiness'!$B$26:$F$26,1,ROUNDUP((BF$6-'Launch Readiness'!$B$7)/12,0))))))-IF(BF$6&lt;'Launch Readiness'!$E$6,0,INDEX('Scenario Engine'!$H$47:$L$47,1,BF$7)/MAX(1,INDEX('Launch Readiness'!$B$26:$F$26,1,BF$7)))-INDEX('Scenario Engine'!$H$52:$L$52,1,BF$7)/12-((INDEX('Scenario Engine'!$H$53:$L$53,1,BF$7)-'Launch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Readiness'!$E$16/12,0))-(IF(BF$6&lt;=6,'Startup 6mo'!$F$44/6,0)+IF(BF$6&lt;'Launch Readiness'!$E$6,'Launch Readiness'!$E$8/MAX(1,'Launch Readiness'!$E$7),0)+IF(BF$6='Launch Readiness'!$G$14,'Launch Readiness'!$E$15,0)),0)</x:f>
        <x:v>9972647</x:v>
      </x:c>
      <x:c r="BG53" s="103" t="n">
        <x:f>ROUND(BF53+(IF(BG$6&lt;='Launch Readiness'!$B$7,0,IF((BG$6-'Launch Readiness'!$B$7)&lt;'Launch Readiness'!$E$6,0,INDEX('Scenario Engine'!$H$30:$L$30,1,ROUNDUP((BG$6-'Launch Readiness'!$B$7)/12,0))/MAX(1,INDEX('Launch Readiness'!$B$26:$F$26,1,ROUNDUP((BG$6-'Launch Readiness'!$B$7)/12,0))))))-IF(BG$6&lt;'Launch Readiness'!$E$6,0,INDEX('Scenario Engine'!$H$47:$L$47,1,BG$7)/MAX(1,INDEX('Launch Readiness'!$B$26:$F$26,1,BG$7)))-INDEX('Scenario Engine'!$H$52:$L$52,1,BG$7)/12-((INDEX('Scenario Engine'!$H$53:$L$53,1,BG$7)-'Launch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Readiness'!$E$16/12,0))-(IF(BG$6&lt;=6,'Startup 6mo'!$F$44/6,0)+IF(BG$6&lt;'Launch Readiness'!$E$6,'Launch Readiness'!$E$8/MAX(1,'Launch Readiness'!$E$7),0)+IF(BG$6='Launch Readiness'!$G$14,'Launch Readiness'!$E$15,0)),0)</x:f>
        <x:v>10952065</x:v>
      </x:c>
      <x:c r="BH53" s="103" t="n">
        <x:f>ROUND(BG53+(IF(BH$6&lt;='Launch Readiness'!$B$7,0,IF((BH$6-'Launch Readiness'!$B$7)&lt;'Launch Readiness'!$E$6,0,INDEX('Scenario Engine'!$H$30:$L$30,1,ROUNDUP((BH$6-'Launch Readiness'!$B$7)/12,0))/MAX(1,INDEX('Launch Readiness'!$B$26:$F$26,1,ROUNDUP((BH$6-'Launch Readiness'!$B$7)/12,0))))))-IF(BH$6&lt;'Launch Readiness'!$E$6,0,INDEX('Scenario Engine'!$H$47:$L$47,1,BH$7)/MAX(1,INDEX('Launch Readiness'!$B$26:$F$26,1,BH$7)))-INDEX('Scenario Engine'!$H$52:$L$52,1,BH$7)/12-((INDEX('Scenario Engine'!$H$53:$L$53,1,BH$7)-'Launch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Readiness'!$E$16/12,0))-(IF(BH$6&lt;=6,'Startup 6mo'!$F$44/6,0)+IF(BH$6&lt;'Launch Readiness'!$E$6,'Launch Readiness'!$E$8/MAX(1,'Launch Readiness'!$E$7),0)+IF(BH$6='Launch Readiness'!$G$14,'Launch Readiness'!$E$15,0)),0)</x:f>
        <x:v>11931483</x:v>
      </x:c>
      <x:c r="BI53" s="103" t="n">
        <x:f>ROUND(BH53+(IF(BI$6&lt;='Launch Readiness'!$B$7,0,IF((BI$6-'Launch Readiness'!$B$7)&lt;'Launch Readiness'!$E$6,0,INDEX('Scenario Engine'!$H$30:$L$30,1,ROUNDUP((BI$6-'Launch Readiness'!$B$7)/12,0))/MAX(1,INDEX('Launch Readiness'!$B$26:$F$26,1,ROUNDUP((BI$6-'Launch Readiness'!$B$7)/12,0))))))-IF(BI$6&lt;'Launch Readiness'!$E$6,0,INDEX('Scenario Engine'!$H$47:$L$47,1,BI$7)/MAX(1,INDEX('Launch Readiness'!$B$26:$F$26,1,BI$7)))-INDEX('Scenario Engine'!$H$52:$L$52,1,BI$7)/12-((INDEX('Scenario Engine'!$H$53:$L$53,1,BI$7)-'Launch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Readiness'!$E$16/12,0))-(IF(BI$6&lt;=6,'Startup 6mo'!$F$44/6,0)+IF(BI$6&lt;'Launch Readiness'!$E$6,'Launch Readiness'!$E$8/MAX(1,'Launch Readiness'!$E$7),0)+IF(BI$6='Launch Readiness'!$G$14,'Launch Readiness'!$E$15,0)),0)</x:f>
        <x:v>12910901</x:v>
      </x:c>
    </x:row>
    <x:row r="54" ht="12" customHeight="1">
      <x:c r="A54" s="49" t="s">
        <x:v>142</x:v>
      </x:c>
      <x:c r="B54" s="103" t="n">
        <x:f>ROUND((IF(B$6&lt;='Launch Readiness'!$B$7,0,IF((B$6-'Launch Readiness'!$B$7)&lt;'Launch Readiness'!$E$6,0,INDEX('Scenario Engine'!$N$30:$R$30,1,ROUNDUP((B$6-'Launch Readiness'!$B$7)/12,0))/MAX(1,INDEX('Launch Readiness'!$B$26:$F$26,1,ROUNDUP((B$6-'Launch Readiness'!$B$7)/12,0))))))-IF(B$6&lt;'Launch Readiness'!$E$6,0,INDEX('Scenario Engine'!$N$47:$R$47,1,B$7)/MAX(1,INDEX('Launch Readiness'!$B$26:$F$26,1,B$7)))-INDEX('Scenario Engine'!$N$52:$R$52,1,B$7)/12-((INDEX('Scenario Engine'!$N$53:$R$53,1,B$7)-'Launch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Readiness'!$E$16/12,0))-(IF(B$6&lt;=6,'Startup 6mo'!$F$44/6,0)+IF(B$6&lt;'Launch Readiness'!$E$6,'Launch Readiness'!$E$8/MAX(1,'Launch Readiness'!$E$7),0)+IF(B$6='Launch Readiness'!$G$14,'Launch Readiness'!$E$15,0)),0)</x:f>
        <x:v>-152105</x:v>
      </x:c>
      <x:c r="C54" s="103" t="n">
        <x:f>ROUND(B54+(IF(C$6&lt;='Launch Readiness'!$B$7,0,IF((C$6-'Launch Readiness'!$B$7)&lt;'Launch Readiness'!$E$6,0,INDEX('Scenario Engine'!$N$30:$R$30,1,ROUNDUP((C$6-'Launch Readiness'!$B$7)/12,0))/MAX(1,INDEX('Launch Readiness'!$B$26:$F$26,1,ROUNDUP((C$6-'Launch Readiness'!$B$7)/12,0))))))-IF(C$6&lt;'Launch Readiness'!$E$6,0,INDEX('Scenario Engine'!$N$47:$R$47,1,C$7)/MAX(1,INDEX('Launch Readiness'!$B$26:$F$26,1,C$7)))-INDEX('Scenario Engine'!$N$52:$R$52,1,C$7)/12-((INDEX('Scenario Engine'!$N$53:$R$53,1,C$7)-'Launch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Readiness'!$E$16/12,0))-(IF(C$6&lt;=6,'Startup 6mo'!$F$44/6,0)+IF(C$6&lt;'Launch Readiness'!$E$6,'Launch Readiness'!$E$8/MAX(1,'Launch Readiness'!$E$7),0)+IF(C$6='Launch Readiness'!$G$14,'Launch Readiness'!$E$15,0)),0)</x:f>
        <x:v>-261664</x:v>
      </x:c>
      <x:c r="D54" s="103" t="n">
        <x:f>ROUND(C54+(IF(D$6&lt;='Launch Readiness'!$B$7,0,IF((D$6-'Launch Readiness'!$B$7)&lt;'Launch Readiness'!$E$6,0,INDEX('Scenario Engine'!$N$30:$R$30,1,ROUNDUP((D$6-'Launch Readiness'!$B$7)/12,0))/MAX(1,INDEX('Launch Readiness'!$B$26:$F$26,1,ROUNDUP((D$6-'Launch Readiness'!$B$7)/12,0))))))-IF(D$6&lt;'Launch Readiness'!$E$6,0,INDEX('Scenario Engine'!$N$47:$R$47,1,D$7)/MAX(1,INDEX('Launch Readiness'!$B$26:$F$26,1,D$7)))-INDEX('Scenario Engine'!$N$52:$R$52,1,D$7)/12-((INDEX('Scenario Engine'!$N$53:$R$53,1,D$7)-'Launch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Readiness'!$E$16/12,0))-(IF(D$6&lt;=6,'Startup 6mo'!$F$44/6,0)+IF(D$6&lt;'Launch Readiness'!$E$6,'Launch Readiness'!$E$8/MAX(1,'Launch Readiness'!$E$7),0)+IF(D$6='Launch Readiness'!$G$14,'Launch Readiness'!$E$15,0)),0)</x:f>
        <x:v>-371223</x:v>
      </x:c>
      <x:c r="E54" s="103" t="n">
        <x:f>ROUND(D54+(IF(E$6&lt;='Launch Readiness'!$B$7,0,IF((E$6-'Launch Readiness'!$B$7)&lt;'Launch Readiness'!$E$6,0,INDEX('Scenario Engine'!$N$30:$R$30,1,ROUNDUP((E$6-'Launch Readiness'!$B$7)/12,0))/MAX(1,INDEX('Launch Readiness'!$B$26:$F$26,1,ROUNDUP((E$6-'Launch Readiness'!$B$7)/12,0))))))-IF(E$6&lt;'Launch Readiness'!$E$6,0,INDEX('Scenario Engine'!$N$47:$R$47,1,E$7)/MAX(1,INDEX('Launch Readiness'!$B$26:$F$26,1,E$7)))-INDEX('Scenario Engine'!$N$52:$R$52,1,E$7)/12-((INDEX('Scenario Engine'!$N$53:$R$53,1,E$7)-'Launch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Readiness'!$E$16/12,0))-(IF(E$6&lt;=6,'Startup 6mo'!$F$44/6,0)+IF(E$6&lt;'Launch Readiness'!$E$6,'Launch Readiness'!$E$8/MAX(1,'Launch Readiness'!$E$7),0)+IF(E$6='Launch Readiness'!$G$14,'Launch Readiness'!$E$15,0)),0)</x:f>
        <x:v>-480782</x:v>
      </x:c>
      <x:c r="F54" s="103" t="n">
        <x:f>ROUND(E54+(IF(F$6&lt;='Launch Readiness'!$B$7,0,IF((F$6-'Launch Readiness'!$B$7)&lt;'Launch Readiness'!$E$6,0,INDEX('Scenario Engine'!$N$30:$R$30,1,ROUNDUP((F$6-'Launch Readiness'!$B$7)/12,0))/MAX(1,INDEX('Launch Readiness'!$B$26:$F$26,1,ROUNDUP((F$6-'Launch Readiness'!$B$7)/12,0))))))-IF(F$6&lt;'Launch Readiness'!$E$6,0,INDEX('Scenario Engine'!$N$47:$R$47,1,F$7)/MAX(1,INDEX('Launch Readiness'!$B$26:$F$26,1,F$7)))-INDEX('Scenario Engine'!$N$52:$R$52,1,F$7)/12-((INDEX('Scenario Engine'!$N$53:$R$53,1,F$7)-'Launch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Readiness'!$E$16/12,0))-(IF(F$6&lt;=6,'Startup 6mo'!$F$44/6,0)+IF(F$6&lt;'Launch Readiness'!$E$6,'Launch Readiness'!$E$8/MAX(1,'Launch Readiness'!$E$7),0)+IF(F$6='Launch Readiness'!$G$14,'Launch Readiness'!$E$15,0)),0)</x:f>
        <x:v>-590341</x:v>
      </x:c>
      <x:c r="G54" s="103" t="n">
        <x:f>ROUND(F54+(IF(G$6&lt;='Launch Readiness'!$B$7,0,IF((G$6-'Launch Readiness'!$B$7)&lt;'Launch Readiness'!$E$6,0,INDEX('Scenario Engine'!$N$30:$R$30,1,ROUNDUP((G$6-'Launch Readiness'!$B$7)/12,0))/MAX(1,INDEX('Launch Readiness'!$B$26:$F$26,1,ROUNDUP((G$6-'Launch Readiness'!$B$7)/12,0))))))-IF(G$6&lt;'Launch Readiness'!$E$6,0,INDEX('Scenario Engine'!$N$47:$R$47,1,G$7)/MAX(1,INDEX('Launch Readiness'!$B$26:$F$26,1,G$7)))-INDEX('Scenario Engine'!$N$52:$R$52,1,G$7)/12-((INDEX('Scenario Engine'!$N$53:$R$53,1,G$7)-'Launch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Readiness'!$E$16/12,0))-(IF(G$6&lt;=6,'Startup 6mo'!$F$44/6,0)+IF(G$6&lt;'Launch Readiness'!$E$6,'Launch Readiness'!$E$8/MAX(1,'Launch Readiness'!$E$7),0)+IF(G$6='Launch Readiness'!$G$14,'Launch Readiness'!$E$15,0)),0)</x:f>
        <x:v>-699900</x:v>
      </x:c>
      <x:c r="H54" s="103" t="n">
        <x:f>ROUND(G54+(IF(H$6&lt;='Launch Readiness'!$B$7,0,IF((H$6-'Launch Readiness'!$B$7)&lt;'Launch Readiness'!$E$6,0,INDEX('Scenario Engine'!$N$30:$R$30,1,ROUNDUP((H$6-'Launch Readiness'!$B$7)/12,0))/MAX(1,INDEX('Launch Readiness'!$B$26:$F$26,1,ROUNDUP((H$6-'Launch Readiness'!$B$7)/12,0))))))-IF(H$6&lt;'Launch Readiness'!$E$6,0,INDEX('Scenario Engine'!$N$47:$R$47,1,H$7)/MAX(1,INDEX('Launch Readiness'!$B$26:$F$26,1,H$7)))-INDEX('Scenario Engine'!$N$52:$R$52,1,H$7)/12-((INDEX('Scenario Engine'!$N$53:$R$53,1,H$7)-'Launch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Readiness'!$E$16/12,0))-(IF(H$6&lt;=6,'Startup 6mo'!$F$44/6,0)+IF(H$6&lt;'Launch Readiness'!$E$6,'Launch Readiness'!$E$8/MAX(1,'Launch Readiness'!$E$7),0)+IF(H$6='Launch Readiness'!$G$14,'Launch Readiness'!$E$15,0)),0)</x:f>
        <x:v>-768891</x:v>
      </x:c>
      <x:c r="I54" s="103" t="n">
        <x:f>ROUND(H54+(IF(I$6&lt;='Launch Readiness'!$B$7,0,IF((I$6-'Launch Readiness'!$B$7)&lt;'Launch Readiness'!$E$6,0,INDEX('Scenario Engine'!$N$30:$R$30,1,ROUNDUP((I$6-'Launch Readiness'!$B$7)/12,0))/MAX(1,INDEX('Launch Readiness'!$B$26:$F$26,1,ROUNDUP((I$6-'Launch Readiness'!$B$7)/12,0))))))-IF(I$6&lt;'Launch Readiness'!$E$6,0,INDEX('Scenario Engine'!$N$47:$R$47,1,I$7)/MAX(1,INDEX('Launch Readiness'!$B$26:$F$26,1,I$7)))-INDEX('Scenario Engine'!$N$52:$R$52,1,I$7)/12-((INDEX('Scenario Engine'!$N$53:$R$53,1,I$7)-'Launch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Readiness'!$E$16/12,0))-(IF(I$6&lt;=6,'Startup 6mo'!$F$44/6,0)+IF(I$6&lt;'Launch Readiness'!$E$6,'Launch Readiness'!$E$8/MAX(1,'Launch Readiness'!$E$7),0)+IF(I$6='Launch Readiness'!$G$14,'Launch Readiness'!$E$15,0)),0)</x:f>
        <x:v>-837882</x:v>
      </x:c>
      <x:c r="J54" s="103" t="n">
        <x:f>ROUND(I54+(IF(J$6&lt;='Launch Readiness'!$B$7,0,IF((J$6-'Launch Readiness'!$B$7)&lt;'Launch Readiness'!$E$6,0,INDEX('Scenario Engine'!$N$30:$R$30,1,ROUNDUP((J$6-'Launch Readiness'!$B$7)/12,0))/MAX(1,INDEX('Launch Readiness'!$B$26:$F$26,1,ROUNDUP((J$6-'Launch Readiness'!$B$7)/12,0))))))-IF(J$6&lt;'Launch Readiness'!$E$6,0,INDEX('Scenario Engine'!$N$47:$R$47,1,J$7)/MAX(1,INDEX('Launch Readiness'!$B$26:$F$26,1,J$7)))-INDEX('Scenario Engine'!$N$52:$R$52,1,J$7)/12-((INDEX('Scenario Engine'!$N$53:$R$53,1,J$7)-'Launch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Readiness'!$E$16/12,0))-(IF(J$6&lt;=6,'Startup 6mo'!$F$44/6,0)+IF(J$6&lt;'Launch Readiness'!$E$6,'Launch Readiness'!$E$8/MAX(1,'Launch Readiness'!$E$7),0)+IF(J$6='Launch Readiness'!$G$14,'Launch Readiness'!$E$15,0)),0)</x:f>
        <x:v>-906873</x:v>
      </x:c>
      <x:c r="K54" s="103" t="n">
        <x:f>ROUND(J54+(IF(K$6&lt;='Launch Readiness'!$B$7,0,IF((K$6-'Launch Readiness'!$B$7)&lt;'Launch Readiness'!$E$6,0,INDEX('Scenario Engine'!$N$30:$R$30,1,ROUNDUP((K$6-'Launch Readiness'!$B$7)/12,0))/MAX(1,INDEX('Launch Readiness'!$B$26:$F$26,1,ROUNDUP((K$6-'Launch Readiness'!$B$7)/12,0))))))-IF(K$6&lt;'Launch Readiness'!$E$6,0,INDEX('Scenario Engine'!$N$47:$R$47,1,K$7)/MAX(1,INDEX('Launch Readiness'!$B$26:$F$26,1,K$7)))-INDEX('Scenario Engine'!$N$52:$R$52,1,K$7)/12-((INDEX('Scenario Engine'!$N$53:$R$53,1,K$7)-'Launch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Readiness'!$E$16/12,0))-(IF(K$6&lt;=6,'Startup 6mo'!$F$44/6,0)+IF(K$6&lt;'Launch Readiness'!$E$6,'Launch Readiness'!$E$8/MAX(1,'Launch Readiness'!$E$7),0)+IF(K$6='Launch Readiness'!$G$14,'Launch Readiness'!$E$15,0)),0)</x:f>
        <x:v>-975864</x:v>
      </x:c>
      <x:c r="L54" s="103" t="n">
        <x:f>ROUND(K54+(IF(L$6&lt;='Launch Readiness'!$B$7,0,IF((L$6-'Launch Readiness'!$B$7)&lt;'Launch Readiness'!$E$6,0,INDEX('Scenario Engine'!$N$30:$R$30,1,ROUNDUP((L$6-'Launch Readiness'!$B$7)/12,0))/MAX(1,INDEX('Launch Readiness'!$B$26:$F$26,1,ROUNDUP((L$6-'Launch Readiness'!$B$7)/12,0))))))-IF(L$6&lt;'Launch Readiness'!$E$6,0,INDEX('Scenario Engine'!$N$47:$R$47,1,L$7)/MAX(1,INDEX('Launch Readiness'!$B$26:$F$26,1,L$7)))-INDEX('Scenario Engine'!$N$52:$R$52,1,L$7)/12-((INDEX('Scenario Engine'!$N$53:$R$53,1,L$7)-'Launch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Readiness'!$E$16/12,0))-(IF(L$6&lt;=6,'Startup 6mo'!$F$44/6,0)+IF(L$6&lt;'Launch Readiness'!$E$6,'Launch Readiness'!$E$8/MAX(1,'Launch Readiness'!$E$7),0)+IF(L$6='Launch Readiness'!$G$14,'Launch Readiness'!$E$15,0)),0)</x:f>
        <x:v>-1044855</x:v>
      </x:c>
      <x:c r="M54" s="103" t="n">
        <x:f>ROUND(L54+(IF(M$6&lt;='Launch Readiness'!$B$7,0,IF((M$6-'Launch Readiness'!$B$7)&lt;'Launch Readiness'!$E$6,0,INDEX('Scenario Engine'!$N$30:$R$30,1,ROUNDUP((M$6-'Launch Readiness'!$B$7)/12,0))/MAX(1,INDEX('Launch Readiness'!$B$26:$F$26,1,ROUNDUP((M$6-'Launch Readiness'!$B$7)/12,0))))))-IF(M$6&lt;'Launch Readiness'!$E$6,0,INDEX('Scenario Engine'!$N$47:$R$47,1,M$7)/MAX(1,INDEX('Launch Readiness'!$B$26:$F$26,1,M$7)))-INDEX('Scenario Engine'!$N$52:$R$52,1,M$7)/12-((INDEX('Scenario Engine'!$N$53:$R$53,1,M$7)-'Launch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Readiness'!$E$16/12,0))-(IF(M$6&lt;=6,'Startup 6mo'!$F$44/6,0)+IF(M$6&lt;'Launch Readiness'!$E$6,'Launch Readiness'!$E$8/MAX(1,'Launch Readiness'!$E$7),0)+IF(M$6='Launch Readiness'!$G$14,'Launch Readiness'!$E$15,0)),0)</x:f>
        <x:v>-1113402</x:v>
      </x:c>
      <x:c r="N54" s="103" t="n">
        <x:f>ROUND(M54+(IF(N$6&lt;='Launch Readiness'!$B$7,0,IF((N$6-'Launch Readiness'!$B$7)&lt;'Launch Readiness'!$E$6,0,INDEX('Scenario Engine'!$N$30:$R$30,1,ROUNDUP((N$6-'Launch Readiness'!$B$7)/12,0))/MAX(1,INDEX('Launch Readiness'!$B$26:$F$26,1,ROUNDUP((N$6-'Launch Readiness'!$B$7)/12,0))))))-IF(N$6&lt;'Launch Readiness'!$E$6,0,INDEX('Scenario Engine'!$N$47:$R$47,1,N$7)/MAX(1,INDEX('Launch Readiness'!$B$26:$F$26,1,N$7)))-INDEX('Scenario Engine'!$N$52:$R$52,1,N$7)/12-((INDEX('Scenario Engine'!$N$53:$R$53,1,N$7)-'Launch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Readiness'!$E$16/12,0))-(IF(N$6&lt;=6,'Startup 6mo'!$F$44/6,0)+IF(N$6&lt;'Launch Readiness'!$E$6,'Launch Readiness'!$E$8/MAX(1,'Launch Readiness'!$E$7),0)+IF(N$6='Launch Readiness'!$G$14,'Launch Readiness'!$E$15,0)),0)</x:f>
        <x:v>-1213507</x:v>
      </x:c>
      <x:c r="O54" s="103" t="n">
        <x:f>ROUND(N54+(IF(O$6&lt;='Launch Readiness'!$B$7,0,IF((O$6-'Launch Readiness'!$B$7)&lt;'Launch Readiness'!$E$6,0,INDEX('Scenario Engine'!$N$30:$R$30,1,ROUNDUP((O$6-'Launch Readiness'!$B$7)/12,0))/MAX(1,INDEX('Launch Readiness'!$B$26:$F$26,1,ROUNDUP((O$6-'Launch Readiness'!$B$7)/12,0))))))-IF(O$6&lt;'Launch Readiness'!$E$6,0,INDEX('Scenario Engine'!$N$47:$R$47,1,O$7)/MAX(1,INDEX('Launch Readiness'!$B$26:$F$26,1,O$7)))-INDEX('Scenario Engine'!$N$52:$R$52,1,O$7)/12-((INDEX('Scenario Engine'!$N$53:$R$53,1,O$7)-'Launch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Readiness'!$E$16/12,0))-(IF(O$6&lt;=6,'Startup 6mo'!$F$44/6,0)+IF(O$6&lt;'Launch Readiness'!$E$6,'Launch Readiness'!$E$8/MAX(1,'Launch Readiness'!$E$7),0)+IF(O$6='Launch Readiness'!$G$14,'Launch Readiness'!$E$15,0)),0)</x:f>
        <x:v>-1258753</x:v>
      </x:c>
      <x:c r="P54" s="103" t="n">
        <x:f>ROUND(O54+(IF(P$6&lt;='Launch Readiness'!$B$7,0,IF((P$6-'Launch Readiness'!$B$7)&lt;'Launch Readiness'!$E$6,0,INDEX('Scenario Engine'!$N$30:$R$30,1,ROUNDUP((P$6-'Launch Readiness'!$B$7)/12,0))/MAX(1,INDEX('Launch Readiness'!$B$26:$F$26,1,ROUNDUP((P$6-'Launch Readiness'!$B$7)/12,0))))))-IF(P$6&lt;'Launch Readiness'!$E$6,0,INDEX('Scenario Engine'!$N$47:$R$47,1,P$7)/MAX(1,INDEX('Launch Readiness'!$B$26:$F$26,1,P$7)))-INDEX('Scenario Engine'!$N$52:$R$52,1,P$7)/12-((INDEX('Scenario Engine'!$N$53:$R$53,1,P$7)-'Launch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Readiness'!$E$16/12,0))-(IF(P$6&lt;=6,'Startup 6mo'!$F$44/6,0)+IF(P$6&lt;'Launch Readiness'!$E$6,'Launch Readiness'!$E$8/MAX(1,'Launch Readiness'!$E$7),0)+IF(P$6='Launch Readiness'!$G$14,'Launch Readiness'!$E$15,0)),0)</x:f>
        <x:v>-1303999</x:v>
      </x:c>
      <x:c r="Q54" s="103" t="n">
        <x:f>ROUND(P54+(IF(Q$6&lt;='Launch Readiness'!$B$7,0,IF((Q$6-'Launch Readiness'!$B$7)&lt;'Launch Readiness'!$E$6,0,INDEX('Scenario Engine'!$N$30:$R$30,1,ROUNDUP((Q$6-'Launch Readiness'!$B$7)/12,0))/MAX(1,INDEX('Launch Readiness'!$B$26:$F$26,1,ROUNDUP((Q$6-'Launch Readiness'!$B$7)/12,0))))))-IF(Q$6&lt;'Launch Readiness'!$E$6,0,INDEX('Scenario Engine'!$N$47:$R$47,1,Q$7)/MAX(1,INDEX('Launch Readiness'!$B$26:$F$26,1,Q$7)))-INDEX('Scenario Engine'!$N$52:$R$52,1,Q$7)/12-((INDEX('Scenario Engine'!$N$53:$R$53,1,Q$7)-'Launch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Readiness'!$E$16/12,0))-(IF(Q$6&lt;=6,'Startup 6mo'!$F$44/6,0)+IF(Q$6&lt;'Launch Readiness'!$E$6,'Launch Readiness'!$E$8/MAX(1,'Launch Readiness'!$E$7),0)+IF(Q$6='Launch Readiness'!$G$14,'Launch Readiness'!$E$15,0)),0)</x:f>
        <x:v>-1349245</x:v>
      </x:c>
      <x:c r="R54" s="103" t="n">
        <x:f>ROUND(Q54+(IF(R$6&lt;='Launch Readiness'!$B$7,0,IF((R$6-'Launch Readiness'!$B$7)&lt;'Launch Readiness'!$E$6,0,INDEX('Scenario Engine'!$N$30:$R$30,1,ROUNDUP((R$6-'Launch Readiness'!$B$7)/12,0))/MAX(1,INDEX('Launch Readiness'!$B$26:$F$26,1,ROUNDUP((R$6-'Launch Readiness'!$B$7)/12,0))))))-IF(R$6&lt;'Launch Readiness'!$E$6,0,INDEX('Scenario Engine'!$N$47:$R$47,1,R$7)/MAX(1,INDEX('Launch Readiness'!$B$26:$F$26,1,R$7)))-INDEX('Scenario Engine'!$N$52:$R$52,1,R$7)/12-((INDEX('Scenario Engine'!$N$53:$R$53,1,R$7)-'Launch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Readiness'!$E$16/12,0))-(IF(R$6&lt;=6,'Startup 6mo'!$F$44/6,0)+IF(R$6&lt;'Launch Readiness'!$E$6,'Launch Readiness'!$E$8/MAX(1,'Launch Readiness'!$E$7),0)+IF(R$6='Launch Readiness'!$G$14,'Launch Readiness'!$E$15,0)),0)</x:f>
        <x:v>-1394491</x:v>
      </x:c>
      <x:c r="S54" s="103" t="n">
        <x:f>ROUND(R54+(IF(S$6&lt;='Launch Readiness'!$B$7,0,IF((S$6-'Launch Readiness'!$B$7)&lt;'Launch Readiness'!$E$6,0,INDEX('Scenario Engine'!$N$30:$R$30,1,ROUNDUP((S$6-'Launch Readiness'!$B$7)/12,0))/MAX(1,INDEX('Launch Readiness'!$B$26:$F$26,1,ROUNDUP((S$6-'Launch Readiness'!$B$7)/12,0))))))-IF(S$6&lt;'Launch Readiness'!$E$6,0,INDEX('Scenario Engine'!$N$47:$R$47,1,S$7)/MAX(1,INDEX('Launch Readiness'!$B$26:$F$26,1,S$7)))-INDEX('Scenario Engine'!$N$52:$R$52,1,S$7)/12-((INDEX('Scenario Engine'!$N$53:$R$53,1,S$7)-'Launch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Readiness'!$E$16/12,0))-(IF(S$6&lt;=6,'Startup 6mo'!$F$44/6,0)+IF(S$6&lt;'Launch Readiness'!$E$6,'Launch Readiness'!$E$8/MAX(1,'Launch Readiness'!$E$7),0)+IF(S$6='Launch Readiness'!$G$14,'Launch Readiness'!$E$15,0)),0)</x:f>
        <x:v>-1442663</x:v>
      </x:c>
      <x:c r="T54" s="103" t="n">
        <x:f>ROUND(S54+(IF(T$6&lt;='Launch Readiness'!$B$7,0,IF((T$6-'Launch Readiness'!$B$7)&lt;'Launch Readiness'!$E$6,0,INDEX('Scenario Engine'!$N$30:$R$30,1,ROUNDUP((T$6-'Launch Readiness'!$B$7)/12,0))/MAX(1,INDEX('Launch Readiness'!$B$26:$F$26,1,ROUNDUP((T$6-'Launch Readiness'!$B$7)/12,0))))))-IF(T$6&lt;'Launch Readiness'!$E$6,0,INDEX('Scenario Engine'!$N$47:$R$47,1,T$7)/MAX(1,INDEX('Launch Readiness'!$B$26:$F$26,1,T$7)))-INDEX('Scenario Engine'!$N$52:$R$52,1,T$7)/12-((INDEX('Scenario Engine'!$N$53:$R$53,1,T$7)-'Launch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Readiness'!$E$16/12,0))-(IF(T$6&lt;=6,'Startup 6mo'!$F$44/6,0)+IF(T$6&lt;'Launch Readiness'!$E$6,'Launch Readiness'!$E$8/MAX(1,'Launch Readiness'!$E$7),0)+IF(T$6='Launch Readiness'!$G$14,'Launch Readiness'!$E$15,0)),0)</x:f>
        <x:v>-1490835</x:v>
      </x:c>
      <x:c r="U54" s="103" t="n">
        <x:f>ROUND(T54+(IF(U$6&lt;='Launch Readiness'!$B$7,0,IF((U$6-'Launch Readiness'!$B$7)&lt;'Launch Readiness'!$E$6,0,INDEX('Scenario Engine'!$N$30:$R$30,1,ROUNDUP((U$6-'Launch Readiness'!$B$7)/12,0))/MAX(1,INDEX('Launch Readiness'!$B$26:$F$26,1,ROUNDUP((U$6-'Launch Readiness'!$B$7)/12,0))))))-IF(U$6&lt;'Launch Readiness'!$E$6,0,INDEX('Scenario Engine'!$N$47:$R$47,1,U$7)/MAX(1,INDEX('Launch Readiness'!$B$26:$F$26,1,U$7)))-INDEX('Scenario Engine'!$N$52:$R$52,1,U$7)/12-((INDEX('Scenario Engine'!$N$53:$R$53,1,U$7)-'Launch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Readiness'!$E$16/12,0))-(IF(U$6&lt;=6,'Startup 6mo'!$F$44/6,0)+IF(U$6&lt;'Launch Readiness'!$E$6,'Launch Readiness'!$E$8/MAX(1,'Launch Readiness'!$E$7),0)+IF(U$6='Launch Readiness'!$G$14,'Launch Readiness'!$E$15,0)),0)</x:f>
        <x:v>-1539007</x:v>
      </x:c>
      <x:c r="V54" s="103" t="n">
        <x:f>ROUND(U54+(IF(V$6&lt;='Launch Readiness'!$B$7,0,IF((V$6-'Launch Readiness'!$B$7)&lt;'Launch Readiness'!$E$6,0,INDEX('Scenario Engine'!$N$30:$R$30,1,ROUNDUP((V$6-'Launch Readiness'!$B$7)/12,0))/MAX(1,INDEX('Launch Readiness'!$B$26:$F$26,1,ROUNDUP((V$6-'Launch Readiness'!$B$7)/12,0))))))-IF(V$6&lt;'Launch Readiness'!$E$6,0,INDEX('Scenario Engine'!$N$47:$R$47,1,V$7)/MAX(1,INDEX('Launch Readiness'!$B$26:$F$26,1,V$7)))-INDEX('Scenario Engine'!$N$52:$R$52,1,V$7)/12-((INDEX('Scenario Engine'!$N$53:$R$53,1,V$7)-'Launch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Readiness'!$E$16/12,0))-(IF(V$6&lt;=6,'Startup 6mo'!$F$44/6,0)+IF(V$6&lt;'Launch Readiness'!$E$6,'Launch Readiness'!$E$8/MAX(1,'Launch Readiness'!$E$7),0)+IF(V$6='Launch Readiness'!$G$14,'Launch Readiness'!$E$15,0)),0)</x:f>
        <x:v>-1587179</x:v>
      </x:c>
      <x:c r="W54" s="103" t="n">
        <x:f>ROUND(V54+(IF(W$6&lt;='Launch Readiness'!$B$7,0,IF((W$6-'Launch Readiness'!$B$7)&lt;'Launch Readiness'!$E$6,0,INDEX('Scenario Engine'!$N$30:$R$30,1,ROUNDUP((W$6-'Launch Readiness'!$B$7)/12,0))/MAX(1,INDEX('Launch Readiness'!$B$26:$F$26,1,ROUNDUP((W$6-'Launch Readiness'!$B$7)/12,0))))))-IF(W$6&lt;'Launch Readiness'!$E$6,0,INDEX('Scenario Engine'!$N$47:$R$47,1,W$7)/MAX(1,INDEX('Launch Readiness'!$B$26:$F$26,1,W$7)))-INDEX('Scenario Engine'!$N$52:$R$52,1,W$7)/12-((INDEX('Scenario Engine'!$N$53:$R$53,1,W$7)-'Launch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Readiness'!$E$16/12,0))-(IF(W$6&lt;=6,'Startup 6mo'!$F$44/6,0)+IF(W$6&lt;'Launch Readiness'!$E$6,'Launch Readiness'!$E$8/MAX(1,'Launch Readiness'!$E$7),0)+IF(W$6='Launch Readiness'!$G$14,'Launch Readiness'!$E$15,0)),0)</x:f>
        <x:v>-1635351</x:v>
      </x:c>
      <x:c r="X54" s="103" t="n">
        <x:f>ROUND(W54+(IF(X$6&lt;='Launch Readiness'!$B$7,0,IF((X$6-'Launch Readiness'!$B$7)&lt;'Launch Readiness'!$E$6,0,INDEX('Scenario Engine'!$N$30:$R$30,1,ROUNDUP((X$6-'Launch Readiness'!$B$7)/12,0))/MAX(1,INDEX('Launch Readiness'!$B$26:$F$26,1,ROUNDUP((X$6-'Launch Readiness'!$B$7)/12,0))))))-IF(X$6&lt;'Launch Readiness'!$E$6,0,INDEX('Scenario Engine'!$N$47:$R$47,1,X$7)/MAX(1,INDEX('Launch Readiness'!$B$26:$F$26,1,X$7)))-INDEX('Scenario Engine'!$N$52:$R$52,1,X$7)/12-((INDEX('Scenario Engine'!$N$53:$R$53,1,X$7)-'Launch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Readiness'!$E$16/12,0))-(IF(X$6&lt;=6,'Startup 6mo'!$F$44/6,0)+IF(X$6&lt;'Launch Readiness'!$E$6,'Launch Readiness'!$E$8/MAX(1,'Launch Readiness'!$E$7),0)+IF(X$6='Launch Readiness'!$G$14,'Launch Readiness'!$E$15,0)),0)</x:f>
        <x:v>-1683523</x:v>
      </x:c>
      <x:c r="Y54" s="103" t="n">
        <x:f>ROUND(X54+(IF(Y$6&lt;='Launch Readiness'!$B$7,0,IF((Y$6-'Launch Readiness'!$B$7)&lt;'Launch Readiness'!$E$6,0,INDEX('Scenario Engine'!$N$30:$R$30,1,ROUNDUP((Y$6-'Launch Readiness'!$B$7)/12,0))/MAX(1,INDEX('Launch Readiness'!$B$26:$F$26,1,ROUNDUP((Y$6-'Launch Readiness'!$B$7)/12,0))))))-IF(Y$6&lt;'Launch Readiness'!$E$6,0,INDEX('Scenario Engine'!$N$47:$R$47,1,Y$7)/MAX(1,INDEX('Launch Readiness'!$B$26:$F$26,1,Y$7)))-INDEX('Scenario Engine'!$N$52:$R$52,1,Y$7)/12-((INDEX('Scenario Engine'!$N$53:$R$53,1,Y$7)-'Launch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Readiness'!$E$16/12,0))-(IF(Y$6&lt;=6,'Startup 6mo'!$F$44/6,0)+IF(Y$6&lt;'Launch Readiness'!$E$6,'Launch Readiness'!$E$8/MAX(1,'Launch Readiness'!$E$7),0)+IF(Y$6='Launch Readiness'!$G$14,'Launch Readiness'!$E$15,0)),0)</x:f>
        <x:v>-1731695</x:v>
      </x:c>
      <x:c r="Z54" s="103" t="n">
        <x:f>ROUND(Y54+(IF(Z$6&lt;='Launch Readiness'!$B$7,0,IF((Z$6-'Launch Readiness'!$B$7)&lt;'Launch Readiness'!$E$6,0,INDEX('Scenario Engine'!$N$30:$R$30,1,ROUNDUP((Z$6-'Launch Readiness'!$B$7)/12,0))/MAX(1,INDEX('Launch Readiness'!$B$26:$F$26,1,ROUNDUP((Z$6-'Launch Readiness'!$B$7)/12,0))))))-IF(Z$6&lt;'Launch Readiness'!$E$6,0,INDEX('Scenario Engine'!$N$47:$R$47,1,Z$7)/MAX(1,INDEX('Launch Readiness'!$B$26:$F$26,1,Z$7)))-INDEX('Scenario Engine'!$N$52:$R$52,1,Z$7)/12-((INDEX('Scenario Engine'!$N$53:$R$53,1,Z$7)-'Launch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Readiness'!$E$16/12,0))-(IF(Z$6&lt;=6,'Startup 6mo'!$F$44/6,0)+IF(Z$6&lt;'Launch Readiness'!$E$6,'Launch Readiness'!$E$8/MAX(1,'Launch Readiness'!$E$7),0)+IF(Z$6='Launch Readiness'!$G$14,'Launch Readiness'!$E$15,0)),0)</x:f>
        <x:v>-1822037</x:v>
      </x:c>
      <x:c r="AA54" s="103" t="n">
        <x:f>ROUND(Z54+(IF(AA$6&lt;='Launch Readiness'!$B$7,0,IF((AA$6-'Launch Readiness'!$B$7)&lt;'Launch Readiness'!$E$6,0,INDEX('Scenario Engine'!$N$30:$R$30,1,ROUNDUP((AA$6-'Launch Readiness'!$B$7)/12,0))/MAX(1,INDEX('Launch Readiness'!$B$26:$F$26,1,ROUNDUP((AA$6-'Launch Readiness'!$B$7)/12,0))))))-IF(AA$6&lt;'Launch Readiness'!$E$6,0,INDEX('Scenario Engine'!$N$47:$R$47,1,AA$7)/MAX(1,INDEX('Launch Readiness'!$B$26:$F$26,1,AA$7)))-INDEX('Scenario Engine'!$N$52:$R$52,1,AA$7)/12-((INDEX('Scenario Engine'!$N$53:$R$53,1,AA$7)-'Launch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Readiness'!$E$16/12,0))-(IF(AA$6&lt;=6,'Startup 6mo'!$F$44/6,0)+IF(AA$6&lt;'Launch Readiness'!$E$6,'Launch Readiness'!$E$8/MAX(1,'Launch Readiness'!$E$7),0)+IF(AA$6='Launch Readiness'!$G$14,'Launch Readiness'!$E$15,0)),0)</x:f>
        <x:v>-1812192</x:v>
      </x:c>
      <x:c r="AB54" s="103" t="n">
        <x:f>ROUND(AA54+(IF(AB$6&lt;='Launch Readiness'!$B$7,0,IF((AB$6-'Launch Readiness'!$B$7)&lt;'Launch Readiness'!$E$6,0,INDEX('Scenario Engine'!$N$30:$R$30,1,ROUNDUP((AB$6-'Launch Readiness'!$B$7)/12,0))/MAX(1,INDEX('Launch Readiness'!$B$26:$F$26,1,ROUNDUP((AB$6-'Launch Readiness'!$B$7)/12,0))))))-IF(AB$6&lt;'Launch Readiness'!$E$6,0,INDEX('Scenario Engine'!$N$47:$R$47,1,AB$7)/MAX(1,INDEX('Launch Readiness'!$B$26:$F$26,1,AB$7)))-INDEX('Scenario Engine'!$N$52:$R$52,1,AB$7)/12-((INDEX('Scenario Engine'!$N$53:$R$53,1,AB$7)-'Launch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Readiness'!$E$16/12,0))-(IF(AB$6&lt;=6,'Startup 6mo'!$F$44/6,0)+IF(AB$6&lt;'Launch Readiness'!$E$6,'Launch Readiness'!$E$8/MAX(1,'Launch Readiness'!$E$7),0)+IF(AB$6='Launch Readiness'!$G$14,'Launch Readiness'!$E$15,0)),0)</x:f>
        <x:v>-1802347</x:v>
      </x:c>
      <x:c r="AC54" s="103" t="n">
        <x:f>ROUND(AB54+(IF(AC$6&lt;='Launch Readiness'!$B$7,0,IF((AC$6-'Launch Readiness'!$B$7)&lt;'Launch Readiness'!$E$6,0,INDEX('Scenario Engine'!$N$30:$R$30,1,ROUNDUP((AC$6-'Launch Readiness'!$B$7)/12,0))/MAX(1,INDEX('Launch Readiness'!$B$26:$F$26,1,ROUNDUP((AC$6-'Launch Readiness'!$B$7)/12,0))))))-IF(AC$6&lt;'Launch Readiness'!$E$6,0,INDEX('Scenario Engine'!$N$47:$R$47,1,AC$7)/MAX(1,INDEX('Launch Readiness'!$B$26:$F$26,1,AC$7)))-INDEX('Scenario Engine'!$N$52:$R$52,1,AC$7)/12-((INDEX('Scenario Engine'!$N$53:$R$53,1,AC$7)-'Launch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Readiness'!$E$16/12,0))-(IF(AC$6&lt;=6,'Startup 6mo'!$F$44/6,0)+IF(AC$6&lt;'Launch Readiness'!$E$6,'Launch Readiness'!$E$8/MAX(1,'Launch Readiness'!$E$7),0)+IF(AC$6='Launch Readiness'!$G$14,'Launch Readiness'!$E$15,0)),0)</x:f>
        <x:v>-1792502</x:v>
      </x:c>
      <x:c r="AD54" s="103" t="n">
        <x:f>ROUND(AC54+(IF(AD$6&lt;='Launch Readiness'!$B$7,0,IF((AD$6-'Launch Readiness'!$B$7)&lt;'Launch Readiness'!$E$6,0,INDEX('Scenario Engine'!$N$30:$R$30,1,ROUNDUP((AD$6-'Launch Readiness'!$B$7)/12,0))/MAX(1,INDEX('Launch Readiness'!$B$26:$F$26,1,ROUNDUP((AD$6-'Launch Readiness'!$B$7)/12,0))))))-IF(AD$6&lt;'Launch Readiness'!$E$6,0,INDEX('Scenario Engine'!$N$47:$R$47,1,AD$7)/MAX(1,INDEX('Launch Readiness'!$B$26:$F$26,1,AD$7)))-INDEX('Scenario Engine'!$N$52:$R$52,1,AD$7)/12-((INDEX('Scenario Engine'!$N$53:$R$53,1,AD$7)-'Launch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Readiness'!$E$16/12,0))-(IF(AD$6&lt;=6,'Startup 6mo'!$F$44/6,0)+IF(AD$6&lt;'Launch Readiness'!$E$6,'Launch Readiness'!$E$8/MAX(1,'Launch Readiness'!$E$7),0)+IF(AD$6='Launch Readiness'!$G$14,'Launch Readiness'!$E$15,0)),0)</x:f>
        <x:v>-1782657</x:v>
      </x:c>
      <x:c r="AE54" s="103" t="n">
        <x:f>ROUND(AD54+(IF(AE$6&lt;='Launch Readiness'!$B$7,0,IF((AE$6-'Launch Readiness'!$B$7)&lt;'Launch Readiness'!$E$6,0,INDEX('Scenario Engine'!$N$30:$R$30,1,ROUNDUP((AE$6-'Launch Readiness'!$B$7)/12,0))/MAX(1,INDEX('Launch Readiness'!$B$26:$F$26,1,ROUNDUP((AE$6-'Launch Readiness'!$B$7)/12,0))))))-IF(AE$6&lt;'Launch Readiness'!$E$6,0,INDEX('Scenario Engine'!$N$47:$R$47,1,AE$7)/MAX(1,INDEX('Launch Readiness'!$B$26:$F$26,1,AE$7)))-INDEX('Scenario Engine'!$N$52:$R$52,1,AE$7)/12-((INDEX('Scenario Engine'!$N$53:$R$53,1,AE$7)-'Launch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Readiness'!$E$16/12,0))-(IF(AE$6&lt;=6,'Startup 6mo'!$F$44/6,0)+IF(AE$6&lt;'Launch Readiness'!$E$6,'Launch Readiness'!$E$8/MAX(1,'Launch Readiness'!$E$7),0)+IF(AE$6='Launch Readiness'!$G$14,'Launch Readiness'!$E$15,0)),0)</x:f>
        <x:v>-1772812</x:v>
      </x:c>
      <x:c r="AF54" s="103" t="n">
        <x:f>ROUND(AE54+(IF(AF$6&lt;='Launch Readiness'!$B$7,0,IF((AF$6-'Launch Readiness'!$B$7)&lt;'Launch Readiness'!$E$6,0,INDEX('Scenario Engine'!$N$30:$R$30,1,ROUNDUP((AF$6-'Launch Readiness'!$B$7)/12,0))/MAX(1,INDEX('Launch Readiness'!$B$26:$F$26,1,ROUNDUP((AF$6-'Launch Readiness'!$B$7)/12,0))))))-IF(AF$6&lt;'Launch Readiness'!$E$6,0,INDEX('Scenario Engine'!$N$47:$R$47,1,AF$7)/MAX(1,INDEX('Launch Readiness'!$B$26:$F$26,1,AF$7)))-INDEX('Scenario Engine'!$N$52:$R$52,1,AF$7)/12-((INDEX('Scenario Engine'!$N$53:$R$53,1,AF$7)-'Launch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Readiness'!$E$16/12,0))-(IF(AF$6&lt;=6,'Startup 6mo'!$F$44/6,0)+IF(AF$6&lt;'Launch Readiness'!$E$6,'Launch Readiness'!$E$8/MAX(1,'Launch Readiness'!$E$7),0)+IF(AF$6='Launch Readiness'!$G$14,'Launch Readiness'!$E$15,0)),0)</x:f>
        <x:v>-1762967</x:v>
      </x:c>
      <x:c r="AG54" s="103" t="n">
        <x:f>ROUND(AF54+(IF(AG$6&lt;='Launch Readiness'!$B$7,0,IF((AG$6-'Launch Readiness'!$B$7)&lt;'Launch Readiness'!$E$6,0,INDEX('Scenario Engine'!$N$30:$R$30,1,ROUNDUP((AG$6-'Launch Readiness'!$B$7)/12,0))/MAX(1,INDEX('Launch Readiness'!$B$26:$F$26,1,ROUNDUP((AG$6-'Launch Readiness'!$B$7)/12,0))))))-IF(AG$6&lt;'Launch Readiness'!$E$6,0,INDEX('Scenario Engine'!$N$47:$R$47,1,AG$7)/MAX(1,INDEX('Launch Readiness'!$B$26:$F$26,1,AG$7)))-INDEX('Scenario Engine'!$N$52:$R$52,1,AG$7)/12-((INDEX('Scenario Engine'!$N$53:$R$53,1,AG$7)-'Launch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Readiness'!$E$16/12,0))-(IF(AG$6&lt;=6,'Startup 6mo'!$F$44/6,0)+IF(AG$6&lt;'Launch Readiness'!$E$6,'Launch Readiness'!$E$8/MAX(1,'Launch Readiness'!$E$7),0)+IF(AG$6='Launch Readiness'!$G$14,'Launch Readiness'!$E$15,0)),0)</x:f>
        <x:v>-1753122</x:v>
      </x:c>
      <x:c r="AH54" s="103" t="n">
        <x:f>ROUND(AG54+(IF(AH$6&lt;='Launch Readiness'!$B$7,0,IF((AH$6-'Launch Readiness'!$B$7)&lt;'Launch Readiness'!$E$6,0,INDEX('Scenario Engine'!$N$30:$R$30,1,ROUNDUP((AH$6-'Launch Readiness'!$B$7)/12,0))/MAX(1,INDEX('Launch Readiness'!$B$26:$F$26,1,ROUNDUP((AH$6-'Launch Readiness'!$B$7)/12,0))))))-IF(AH$6&lt;'Launch Readiness'!$E$6,0,INDEX('Scenario Engine'!$N$47:$R$47,1,AH$7)/MAX(1,INDEX('Launch Readiness'!$B$26:$F$26,1,AH$7)))-INDEX('Scenario Engine'!$N$52:$R$52,1,AH$7)/12-((INDEX('Scenario Engine'!$N$53:$R$53,1,AH$7)-'Launch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Readiness'!$E$16/12,0))-(IF(AH$6&lt;=6,'Startup 6mo'!$F$44/6,0)+IF(AH$6&lt;'Launch Readiness'!$E$6,'Launch Readiness'!$E$8/MAX(1,'Launch Readiness'!$E$7),0)+IF(AH$6='Launch Readiness'!$G$14,'Launch Readiness'!$E$15,0)),0)</x:f>
        <x:v>-1743277</x:v>
      </x:c>
      <x:c r="AI54" s="103" t="n">
        <x:f>ROUND(AH54+(IF(AI$6&lt;='Launch Readiness'!$B$7,0,IF((AI$6-'Launch Readiness'!$B$7)&lt;'Launch Readiness'!$E$6,0,INDEX('Scenario Engine'!$N$30:$R$30,1,ROUNDUP((AI$6-'Launch Readiness'!$B$7)/12,0))/MAX(1,INDEX('Launch Readiness'!$B$26:$F$26,1,ROUNDUP((AI$6-'Launch Readiness'!$B$7)/12,0))))))-IF(AI$6&lt;'Launch Readiness'!$E$6,0,INDEX('Scenario Engine'!$N$47:$R$47,1,AI$7)/MAX(1,INDEX('Launch Readiness'!$B$26:$F$26,1,AI$7)))-INDEX('Scenario Engine'!$N$52:$R$52,1,AI$7)/12-((INDEX('Scenario Engine'!$N$53:$R$53,1,AI$7)-'Launch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Readiness'!$E$16/12,0))-(IF(AI$6&lt;=6,'Startup 6mo'!$F$44/6,0)+IF(AI$6&lt;'Launch Readiness'!$E$6,'Launch Readiness'!$E$8/MAX(1,'Launch Readiness'!$E$7),0)+IF(AI$6='Launch Readiness'!$G$14,'Launch Readiness'!$E$15,0)),0)</x:f>
        <x:v>-1733432</x:v>
      </x:c>
      <x:c r="AJ54" s="103" t="n">
        <x:f>ROUND(AI54+(IF(AJ$6&lt;='Launch Readiness'!$B$7,0,IF((AJ$6-'Launch Readiness'!$B$7)&lt;'Launch Readiness'!$E$6,0,INDEX('Scenario Engine'!$N$30:$R$30,1,ROUNDUP((AJ$6-'Launch Readiness'!$B$7)/12,0))/MAX(1,INDEX('Launch Readiness'!$B$26:$F$26,1,ROUNDUP((AJ$6-'Launch Readiness'!$B$7)/12,0))))))-IF(AJ$6&lt;'Launch Readiness'!$E$6,0,INDEX('Scenario Engine'!$N$47:$R$47,1,AJ$7)/MAX(1,INDEX('Launch Readiness'!$B$26:$F$26,1,AJ$7)))-INDEX('Scenario Engine'!$N$52:$R$52,1,AJ$7)/12-((INDEX('Scenario Engine'!$N$53:$R$53,1,AJ$7)-'Launch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Readiness'!$E$16/12,0))-(IF(AJ$6&lt;=6,'Startup 6mo'!$F$44/6,0)+IF(AJ$6&lt;'Launch Readiness'!$E$6,'Launch Readiness'!$E$8/MAX(1,'Launch Readiness'!$E$7),0)+IF(AJ$6='Launch Readiness'!$G$14,'Launch Readiness'!$E$15,0)),0)</x:f>
        <x:v>-1723587</x:v>
      </x:c>
      <x:c r="AK54" s="103" t="n">
        <x:f>ROUND(AJ54+(IF(AK$6&lt;='Launch Readiness'!$B$7,0,IF((AK$6-'Launch Readiness'!$B$7)&lt;'Launch Readiness'!$E$6,0,INDEX('Scenario Engine'!$N$30:$R$30,1,ROUNDUP((AK$6-'Launch Readiness'!$B$7)/12,0))/MAX(1,INDEX('Launch Readiness'!$B$26:$F$26,1,ROUNDUP((AK$6-'Launch Readiness'!$B$7)/12,0))))))-IF(AK$6&lt;'Launch Readiness'!$E$6,0,INDEX('Scenario Engine'!$N$47:$R$47,1,AK$7)/MAX(1,INDEX('Launch Readiness'!$B$26:$F$26,1,AK$7)))-INDEX('Scenario Engine'!$N$52:$R$52,1,AK$7)/12-((INDEX('Scenario Engine'!$N$53:$R$53,1,AK$7)-'Launch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Readiness'!$E$16/12,0))-(IF(AK$6&lt;=6,'Startup 6mo'!$F$44/6,0)+IF(AK$6&lt;'Launch Readiness'!$E$6,'Launch Readiness'!$E$8/MAX(1,'Launch Readiness'!$E$7),0)+IF(AK$6='Launch Readiness'!$G$14,'Launch Readiness'!$E$15,0)),0)</x:f>
        <x:v>-1713742</x:v>
      </x:c>
      <x:c r="AL54" s="103" t="n">
        <x:f>ROUND(AK54+(IF(AL$6&lt;='Launch Readiness'!$B$7,0,IF((AL$6-'Launch Readiness'!$B$7)&lt;'Launch Readiness'!$E$6,0,INDEX('Scenario Engine'!$N$30:$R$30,1,ROUNDUP((AL$6-'Launch Readiness'!$B$7)/12,0))/MAX(1,INDEX('Launch Readiness'!$B$26:$F$26,1,ROUNDUP((AL$6-'Launch Readiness'!$B$7)/12,0))))))-IF(AL$6&lt;'Launch Readiness'!$E$6,0,INDEX('Scenario Engine'!$N$47:$R$47,1,AL$7)/MAX(1,INDEX('Launch Readiness'!$B$26:$F$26,1,AL$7)))-INDEX('Scenario Engine'!$N$52:$R$52,1,AL$7)/12-((INDEX('Scenario Engine'!$N$53:$R$53,1,AL$7)-'Launch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Readiness'!$E$16/12,0))-(IF(AL$6&lt;=6,'Startup 6mo'!$F$44/6,0)+IF(AL$6&lt;'Launch Readiness'!$E$6,'Launch Readiness'!$E$8/MAX(1,'Launch Readiness'!$E$7),0)+IF(AL$6='Launch Readiness'!$G$14,'Launch Readiness'!$E$15,0)),0)</x:f>
        <x:v>-1983265</x:v>
      </x:c>
      <x:c r="AM54" s="103" t="n">
        <x:f>ROUND(AL54+(IF(AM$6&lt;='Launch Readiness'!$B$7,0,IF((AM$6-'Launch Readiness'!$B$7)&lt;'Launch Readiness'!$E$6,0,INDEX('Scenario Engine'!$N$30:$R$30,1,ROUNDUP((AM$6-'Launch Readiness'!$B$7)/12,0))/MAX(1,INDEX('Launch Readiness'!$B$26:$F$26,1,ROUNDUP((AM$6-'Launch Readiness'!$B$7)/12,0))))))-IF(AM$6&lt;'Launch Readiness'!$E$6,0,INDEX('Scenario Engine'!$N$47:$R$47,1,AM$7)/MAX(1,INDEX('Launch Readiness'!$B$26:$F$26,1,AM$7)))-INDEX('Scenario Engine'!$N$52:$R$52,1,AM$7)/12-((INDEX('Scenario Engine'!$N$53:$R$53,1,AM$7)-'Launch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Readiness'!$E$16/12,0))-(IF(AM$6&lt;=6,'Startup 6mo'!$F$44/6,0)+IF(AM$6&lt;'Launch Readiness'!$E$6,'Launch Readiness'!$E$8/MAX(1,'Launch Readiness'!$E$7),0)+IF(AM$6='Launch Readiness'!$G$14,'Launch Readiness'!$E$15,0)),0)</x:f>
        <x:v>-1049634</x:v>
      </x:c>
      <x:c r="AN54" s="103" t="n">
        <x:f>ROUND(AM54+(IF(AN$6&lt;='Launch Readiness'!$B$7,0,IF((AN$6-'Launch Readiness'!$B$7)&lt;'Launch Readiness'!$E$6,0,INDEX('Scenario Engine'!$N$30:$R$30,1,ROUNDUP((AN$6-'Launch Readiness'!$B$7)/12,0))/MAX(1,INDEX('Launch Readiness'!$B$26:$F$26,1,ROUNDUP((AN$6-'Launch Readiness'!$B$7)/12,0))))))-IF(AN$6&lt;'Launch Readiness'!$E$6,0,INDEX('Scenario Engine'!$N$47:$R$47,1,AN$7)/MAX(1,INDEX('Launch Readiness'!$B$26:$F$26,1,AN$7)))-INDEX('Scenario Engine'!$N$52:$R$52,1,AN$7)/12-((INDEX('Scenario Engine'!$N$53:$R$53,1,AN$7)-'Launch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Readiness'!$E$16/12,0))-(IF(AN$6&lt;=6,'Startup 6mo'!$F$44/6,0)+IF(AN$6&lt;'Launch Readiness'!$E$6,'Launch Readiness'!$E$8/MAX(1,'Launch Readiness'!$E$7),0)+IF(AN$6='Launch Readiness'!$G$14,'Launch Readiness'!$E$15,0)),0)</x:f>
        <x:v>-116003</x:v>
      </x:c>
      <x:c r="AO54" s="103" t="n">
        <x:f>ROUND(AN54+(IF(AO$6&lt;='Launch Readiness'!$B$7,0,IF((AO$6-'Launch Readiness'!$B$7)&lt;'Launch Readiness'!$E$6,0,INDEX('Scenario Engine'!$N$30:$R$30,1,ROUNDUP((AO$6-'Launch Readiness'!$B$7)/12,0))/MAX(1,INDEX('Launch Readiness'!$B$26:$F$26,1,ROUNDUP((AO$6-'Launch Readiness'!$B$7)/12,0))))))-IF(AO$6&lt;'Launch Readiness'!$E$6,0,INDEX('Scenario Engine'!$N$47:$R$47,1,AO$7)/MAX(1,INDEX('Launch Readiness'!$B$26:$F$26,1,AO$7)))-INDEX('Scenario Engine'!$N$52:$R$52,1,AO$7)/12-((INDEX('Scenario Engine'!$N$53:$R$53,1,AO$7)-'Launch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Readiness'!$E$16/12,0))-(IF(AO$6&lt;=6,'Startup 6mo'!$F$44/6,0)+IF(AO$6&lt;'Launch Readiness'!$E$6,'Launch Readiness'!$E$8/MAX(1,'Launch Readiness'!$E$7),0)+IF(AO$6='Launch Readiness'!$G$14,'Launch Readiness'!$E$15,0)),0)</x:f>
        <x:v>817628</x:v>
      </x:c>
      <x:c r="AP54" s="103" t="n">
        <x:f>ROUND(AO54+(IF(AP$6&lt;='Launch Readiness'!$B$7,0,IF((AP$6-'Launch Readiness'!$B$7)&lt;'Launch Readiness'!$E$6,0,INDEX('Scenario Engine'!$N$30:$R$30,1,ROUNDUP((AP$6-'Launch Readiness'!$B$7)/12,0))/MAX(1,INDEX('Launch Readiness'!$B$26:$F$26,1,ROUNDUP((AP$6-'Launch Readiness'!$B$7)/12,0))))))-IF(AP$6&lt;'Launch Readiness'!$E$6,0,INDEX('Scenario Engine'!$N$47:$R$47,1,AP$7)/MAX(1,INDEX('Launch Readiness'!$B$26:$F$26,1,AP$7)))-INDEX('Scenario Engine'!$N$52:$R$52,1,AP$7)/12-((INDEX('Scenario Engine'!$N$53:$R$53,1,AP$7)-'Launch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Readiness'!$E$16/12,0))-(IF(AP$6&lt;=6,'Startup 6mo'!$F$44/6,0)+IF(AP$6&lt;'Launch Readiness'!$E$6,'Launch Readiness'!$E$8/MAX(1,'Launch Readiness'!$E$7),0)+IF(AP$6='Launch Readiness'!$G$14,'Launch Readiness'!$E$15,0)),0)</x:f>
        <x:v>1751259</x:v>
      </x:c>
      <x:c r="AQ54" s="103" t="n">
        <x:f>ROUND(AP54+(IF(AQ$6&lt;='Launch Readiness'!$B$7,0,IF((AQ$6-'Launch Readiness'!$B$7)&lt;'Launch Readiness'!$E$6,0,INDEX('Scenario Engine'!$N$30:$R$30,1,ROUNDUP((AQ$6-'Launch Readiness'!$B$7)/12,0))/MAX(1,INDEX('Launch Readiness'!$B$26:$F$26,1,ROUNDUP((AQ$6-'Launch Readiness'!$B$7)/12,0))))))-IF(AQ$6&lt;'Launch Readiness'!$E$6,0,INDEX('Scenario Engine'!$N$47:$R$47,1,AQ$7)/MAX(1,INDEX('Launch Readiness'!$B$26:$F$26,1,AQ$7)))-INDEX('Scenario Engine'!$N$52:$R$52,1,AQ$7)/12-((INDEX('Scenario Engine'!$N$53:$R$53,1,AQ$7)-'Launch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Readiness'!$E$16/12,0))-(IF(AQ$6&lt;=6,'Startup 6mo'!$F$44/6,0)+IF(AQ$6&lt;'Launch Readiness'!$E$6,'Launch Readiness'!$E$8/MAX(1,'Launch Readiness'!$E$7),0)+IF(AQ$6='Launch Readiness'!$G$14,'Launch Readiness'!$E$15,0)),0)</x:f>
        <x:v>2684890</x:v>
      </x:c>
      <x:c r="AR54" s="103" t="n">
        <x:f>ROUND(AQ54+(IF(AR$6&lt;='Launch Readiness'!$B$7,0,IF((AR$6-'Launch Readiness'!$B$7)&lt;'Launch Readiness'!$E$6,0,INDEX('Scenario Engine'!$N$30:$R$30,1,ROUNDUP((AR$6-'Launch Readiness'!$B$7)/12,0))/MAX(1,INDEX('Launch Readiness'!$B$26:$F$26,1,ROUNDUP((AR$6-'Launch Readiness'!$B$7)/12,0))))))-IF(AR$6&lt;'Launch Readiness'!$E$6,0,INDEX('Scenario Engine'!$N$47:$R$47,1,AR$7)/MAX(1,INDEX('Launch Readiness'!$B$26:$F$26,1,AR$7)))-INDEX('Scenario Engine'!$N$52:$R$52,1,AR$7)/12-((INDEX('Scenario Engine'!$N$53:$R$53,1,AR$7)-'Launch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Readiness'!$E$16/12,0))-(IF(AR$6&lt;=6,'Startup 6mo'!$F$44/6,0)+IF(AR$6&lt;'Launch Readiness'!$E$6,'Launch Readiness'!$E$8/MAX(1,'Launch Readiness'!$E$7),0)+IF(AR$6='Launch Readiness'!$G$14,'Launch Readiness'!$E$15,0)),0)</x:f>
        <x:v>3618521</x:v>
      </x:c>
      <x:c r="AS54" s="103" t="n">
        <x:f>ROUND(AR54+(IF(AS$6&lt;='Launch Readiness'!$B$7,0,IF((AS$6-'Launch Readiness'!$B$7)&lt;'Launch Readiness'!$E$6,0,INDEX('Scenario Engine'!$N$30:$R$30,1,ROUNDUP((AS$6-'Launch Readiness'!$B$7)/12,0))/MAX(1,INDEX('Launch Readiness'!$B$26:$F$26,1,ROUNDUP((AS$6-'Launch Readiness'!$B$7)/12,0))))))-IF(AS$6&lt;'Launch Readiness'!$E$6,0,INDEX('Scenario Engine'!$N$47:$R$47,1,AS$7)/MAX(1,INDEX('Launch Readiness'!$B$26:$F$26,1,AS$7)))-INDEX('Scenario Engine'!$N$52:$R$52,1,AS$7)/12-((INDEX('Scenario Engine'!$N$53:$R$53,1,AS$7)-'Launch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Readiness'!$E$16/12,0))-(IF(AS$6&lt;=6,'Startup 6mo'!$F$44/6,0)+IF(AS$6&lt;'Launch Readiness'!$E$6,'Launch Readiness'!$E$8/MAX(1,'Launch Readiness'!$E$7),0)+IF(AS$6='Launch Readiness'!$G$14,'Launch Readiness'!$E$15,0)),0)</x:f>
        <x:v>4552152</x:v>
      </x:c>
      <x:c r="AT54" s="103" t="n">
        <x:f>ROUND(AS54+(IF(AT$6&lt;='Launch Readiness'!$B$7,0,IF((AT$6-'Launch Readiness'!$B$7)&lt;'Launch Readiness'!$E$6,0,INDEX('Scenario Engine'!$N$30:$R$30,1,ROUNDUP((AT$6-'Launch Readiness'!$B$7)/12,0))/MAX(1,INDEX('Launch Readiness'!$B$26:$F$26,1,ROUNDUP((AT$6-'Launch Readiness'!$B$7)/12,0))))))-IF(AT$6&lt;'Launch Readiness'!$E$6,0,INDEX('Scenario Engine'!$N$47:$R$47,1,AT$7)/MAX(1,INDEX('Launch Readiness'!$B$26:$F$26,1,AT$7)))-INDEX('Scenario Engine'!$N$52:$R$52,1,AT$7)/12-((INDEX('Scenario Engine'!$N$53:$R$53,1,AT$7)-'Launch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Readiness'!$E$16/12,0))-(IF(AT$6&lt;=6,'Startup 6mo'!$F$44/6,0)+IF(AT$6&lt;'Launch Readiness'!$E$6,'Launch Readiness'!$E$8/MAX(1,'Launch Readiness'!$E$7),0)+IF(AT$6='Launch Readiness'!$G$14,'Launch Readiness'!$E$15,0)),0)</x:f>
        <x:v>5485783</x:v>
      </x:c>
      <x:c r="AU54" s="103" t="n">
        <x:f>ROUND(AT54+(IF(AU$6&lt;='Launch Readiness'!$B$7,0,IF((AU$6-'Launch Readiness'!$B$7)&lt;'Launch Readiness'!$E$6,0,INDEX('Scenario Engine'!$N$30:$R$30,1,ROUNDUP((AU$6-'Launch Readiness'!$B$7)/12,0))/MAX(1,INDEX('Launch Readiness'!$B$26:$F$26,1,ROUNDUP((AU$6-'Launch Readiness'!$B$7)/12,0))))))-IF(AU$6&lt;'Launch Readiness'!$E$6,0,INDEX('Scenario Engine'!$N$47:$R$47,1,AU$7)/MAX(1,INDEX('Launch Readiness'!$B$26:$F$26,1,AU$7)))-INDEX('Scenario Engine'!$N$52:$R$52,1,AU$7)/12-((INDEX('Scenario Engine'!$N$53:$R$53,1,AU$7)-'Launch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Readiness'!$E$16/12,0))-(IF(AU$6&lt;=6,'Startup 6mo'!$F$44/6,0)+IF(AU$6&lt;'Launch Readiness'!$E$6,'Launch Readiness'!$E$8/MAX(1,'Launch Readiness'!$E$7),0)+IF(AU$6='Launch Readiness'!$G$14,'Launch Readiness'!$E$15,0)),0)</x:f>
        <x:v>6419414</x:v>
      </x:c>
      <x:c r="AV54" s="103" t="n">
        <x:f>ROUND(AU54+(IF(AV$6&lt;='Launch Readiness'!$B$7,0,IF((AV$6-'Launch Readiness'!$B$7)&lt;'Launch Readiness'!$E$6,0,INDEX('Scenario Engine'!$N$30:$R$30,1,ROUNDUP((AV$6-'Launch Readiness'!$B$7)/12,0))/MAX(1,INDEX('Launch Readiness'!$B$26:$F$26,1,ROUNDUP((AV$6-'Launch Readiness'!$B$7)/12,0))))))-IF(AV$6&lt;'Launch Readiness'!$E$6,0,INDEX('Scenario Engine'!$N$47:$R$47,1,AV$7)/MAX(1,INDEX('Launch Readiness'!$B$26:$F$26,1,AV$7)))-INDEX('Scenario Engine'!$N$52:$R$52,1,AV$7)/12-((INDEX('Scenario Engine'!$N$53:$R$53,1,AV$7)-'Launch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Readiness'!$E$16/12,0))-(IF(AV$6&lt;=6,'Startup 6mo'!$F$44/6,0)+IF(AV$6&lt;'Launch Readiness'!$E$6,'Launch Readiness'!$E$8/MAX(1,'Launch Readiness'!$E$7),0)+IF(AV$6='Launch Readiness'!$G$14,'Launch Readiness'!$E$15,0)),0)</x:f>
        <x:v>7353045</x:v>
      </x:c>
      <x:c r="AW54" s="103" t="n">
        <x:f>ROUND(AV54+(IF(AW$6&lt;='Launch Readiness'!$B$7,0,IF((AW$6-'Launch Readiness'!$B$7)&lt;'Launch Readiness'!$E$6,0,INDEX('Scenario Engine'!$N$30:$R$30,1,ROUNDUP((AW$6-'Launch Readiness'!$B$7)/12,0))/MAX(1,INDEX('Launch Readiness'!$B$26:$F$26,1,ROUNDUP((AW$6-'Launch Readiness'!$B$7)/12,0))))))-IF(AW$6&lt;'Launch Readiness'!$E$6,0,INDEX('Scenario Engine'!$N$47:$R$47,1,AW$7)/MAX(1,INDEX('Launch Readiness'!$B$26:$F$26,1,AW$7)))-INDEX('Scenario Engine'!$N$52:$R$52,1,AW$7)/12-((INDEX('Scenario Engine'!$N$53:$R$53,1,AW$7)-'Launch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Readiness'!$E$16/12,0))-(IF(AW$6&lt;=6,'Startup 6mo'!$F$44/6,0)+IF(AW$6&lt;'Launch Readiness'!$E$6,'Launch Readiness'!$E$8/MAX(1,'Launch Readiness'!$E$7),0)+IF(AW$6='Launch Readiness'!$G$14,'Launch Readiness'!$E$15,0)),0)</x:f>
        <x:v>8286676</x:v>
      </x:c>
      <x:c r="AX54" s="103" t="n">
        <x:f>ROUND(AW54+(IF(AX$6&lt;='Launch Readiness'!$B$7,0,IF((AX$6-'Launch Readiness'!$B$7)&lt;'Launch Readiness'!$E$6,0,INDEX('Scenario Engine'!$N$30:$R$30,1,ROUNDUP((AX$6-'Launch Readiness'!$B$7)/12,0))/MAX(1,INDEX('Launch Readiness'!$B$26:$F$26,1,ROUNDUP((AX$6-'Launch Readiness'!$B$7)/12,0))))))-IF(AX$6&lt;'Launch Readiness'!$E$6,0,INDEX('Scenario Engine'!$N$47:$R$47,1,AX$7)/MAX(1,INDEX('Launch Readiness'!$B$26:$F$26,1,AX$7)))-INDEX('Scenario Engine'!$N$52:$R$52,1,AX$7)/12-((INDEX('Scenario Engine'!$N$53:$R$53,1,AX$7)-'Launch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Readiness'!$E$16/12,0))-(IF(AX$6&lt;=6,'Startup 6mo'!$F$44/6,0)+IF(AX$6&lt;'Launch Readiness'!$E$6,'Launch Readiness'!$E$8/MAX(1,'Launch Readiness'!$E$7),0)+IF(AX$6='Launch Readiness'!$G$14,'Launch Readiness'!$E$15,0)),0)</x:f>
        <x:v>8852703</x:v>
      </x:c>
      <x:c r="AY54" s="103" t="n">
        <x:f>ROUND(AX54+(IF(AY$6&lt;='Launch Readiness'!$B$7,0,IF((AY$6-'Launch Readiness'!$B$7)&lt;'Launch Readiness'!$E$6,0,INDEX('Scenario Engine'!$N$30:$R$30,1,ROUNDUP((AY$6-'Launch Readiness'!$B$7)/12,0))/MAX(1,INDEX('Launch Readiness'!$B$26:$F$26,1,ROUNDUP((AY$6-'Launch Readiness'!$B$7)/12,0))))))-IF(AY$6&lt;'Launch Readiness'!$E$6,0,INDEX('Scenario Engine'!$N$47:$R$47,1,AY$7)/MAX(1,INDEX('Launch Readiness'!$B$26:$F$26,1,AY$7)))-INDEX('Scenario Engine'!$N$52:$R$52,1,AY$7)/12-((INDEX('Scenario Engine'!$N$53:$R$53,1,AY$7)-'Launch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Readiness'!$E$16/12,0))-(IF(AY$6&lt;=6,'Startup 6mo'!$F$44/6,0)+IF(AY$6&lt;'Launch Readiness'!$E$6,'Launch Readiness'!$E$8/MAX(1,'Launch Readiness'!$E$7),0)+IF(AY$6='Launch Readiness'!$G$14,'Launch Readiness'!$E$15,0)),0)</x:f>
        <x:v>11128334</x:v>
      </x:c>
      <x:c r="AZ54" s="103" t="n">
        <x:f>ROUND(AY54+(IF(AZ$6&lt;='Launch Readiness'!$B$7,0,IF((AZ$6-'Launch Readiness'!$B$7)&lt;'Launch Readiness'!$E$6,0,INDEX('Scenario Engine'!$N$30:$R$30,1,ROUNDUP((AZ$6-'Launch Readiness'!$B$7)/12,0))/MAX(1,INDEX('Launch Readiness'!$B$26:$F$26,1,ROUNDUP((AZ$6-'Launch Readiness'!$B$7)/12,0))))))-IF(AZ$6&lt;'Launch Readiness'!$E$6,0,INDEX('Scenario Engine'!$N$47:$R$47,1,AZ$7)/MAX(1,INDEX('Launch Readiness'!$B$26:$F$26,1,AZ$7)))-INDEX('Scenario Engine'!$N$52:$R$52,1,AZ$7)/12-((INDEX('Scenario Engine'!$N$53:$R$53,1,AZ$7)-'Launch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Readiness'!$E$16/12,0))-(IF(AZ$6&lt;=6,'Startup 6mo'!$F$44/6,0)+IF(AZ$6&lt;'Launch Readiness'!$E$6,'Launch Readiness'!$E$8/MAX(1,'Launch Readiness'!$E$7),0)+IF(AZ$6='Launch Readiness'!$G$14,'Launch Readiness'!$E$15,0)),0)</x:f>
        <x:v>13403965</x:v>
      </x:c>
      <x:c r="BA54" s="103" t="n">
        <x:f>ROUND(AZ54+(IF(BA$6&lt;='Launch Readiness'!$B$7,0,IF((BA$6-'Launch Readiness'!$B$7)&lt;'Launch Readiness'!$E$6,0,INDEX('Scenario Engine'!$N$30:$R$30,1,ROUNDUP((BA$6-'Launch Readiness'!$B$7)/12,0))/MAX(1,INDEX('Launch Readiness'!$B$26:$F$26,1,ROUNDUP((BA$6-'Launch Readiness'!$B$7)/12,0))))))-IF(BA$6&lt;'Launch Readiness'!$E$6,0,INDEX('Scenario Engine'!$N$47:$R$47,1,BA$7)/MAX(1,INDEX('Launch Readiness'!$B$26:$F$26,1,BA$7)))-INDEX('Scenario Engine'!$N$52:$R$52,1,BA$7)/12-((INDEX('Scenario Engine'!$N$53:$R$53,1,BA$7)-'Launch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Readiness'!$E$16/12,0))-(IF(BA$6&lt;=6,'Startup 6mo'!$F$44/6,0)+IF(BA$6&lt;'Launch Readiness'!$E$6,'Launch Readiness'!$E$8/MAX(1,'Launch Readiness'!$E$7),0)+IF(BA$6='Launch Readiness'!$G$14,'Launch Readiness'!$E$15,0)),0)</x:f>
        <x:v>15679596</x:v>
      </x:c>
      <x:c r="BB54" s="103" t="n">
        <x:f>ROUND(BA54+(IF(BB$6&lt;='Launch Readiness'!$B$7,0,IF((BB$6-'Launch Readiness'!$B$7)&lt;'Launch Readiness'!$E$6,0,INDEX('Scenario Engine'!$N$30:$R$30,1,ROUNDUP((BB$6-'Launch Readiness'!$B$7)/12,0))/MAX(1,INDEX('Launch Readiness'!$B$26:$F$26,1,ROUNDUP((BB$6-'Launch Readiness'!$B$7)/12,0))))))-IF(BB$6&lt;'Launch Readiness'!$E$6,0,INDEX('Scenario Engine'!$N$47:$R$47,1,BB$7)/MAX(1,INDEX('Launch Readiness'!$B$26:$F$26,1,BB$7)))-INDEX('Scenario Engine'!$N$52:$R$52,1,BB$7)/12-((INDEX('Scenario Engine'!$N$53:$R$53,1,BB$7)-'Launch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Readiness'!$E$16/12,0))-(IF(BB$6&lt;=6,'Startup 6mo'!$F$44/6,0)+IF(BB$6&lt;'Launch Readiness'!$E$6,'Launch Readiness'!$E$8/MAX(1,'Launch Readiness'!$E$7),0)+IF(BB$6='Launch Readiness'!$G$14,'Launch Readiness'!$E$15,0)),0)</x:f>
        <x:v>17955227</x:v>
      </x:c>
      <x:c r="BC54" s="103" t="n">
        <x:f>ROUND(BB54+(IF(BC$6&lt;='Launch Readiness'!$B$7,0,IF((BC$6-'Launch Readiness'!$B$7)&lt;'Launch Readiness'!$E$6,0,INDEX('Scenario Engine'!$N$30:$R$30,1,ROUNDUP((BC$6-'Launch Readiness'!$B$7)/12,0))/MAX(1,INDEX('Launch Readiness'!$B$26:$F$26,1,ROUNDUP((BC$6-'Launch Readiness'!$B$7)/12,0))))))-IF(BC$6&lt;'Launch Readiness'!$E$6,0,INDEX('Scenario Engine'!$N$47:$R$47,1,BC$7)/MAX(1,INDEX('Launch Readiness'!$B$26:$F$26,1,BC$7)))-INDEX('Scenario Engine'!$N$52:$R$52,1,BC$7)/12-((INDEX('Scenario Engine'!$N$53:$R$53,1,BC$7)-'Launch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Readiness'!$E$16/12,0))-(IF(BC$6&lt;=6,'Startup 6mo'!$F$44/6,0)+IF(BC$6&lt;'Launch Readiness'!$E$6,'Launch Readiness'!$E$8/MAX(1,'Launch Readiness'!$E$7),0)+IF(BC$6='Launch Readiness'!$G$14,'Launch Readiness'!$E$15,0)),0)</x:f>
        <x:v>20230858</x:v>
      </x:c>
      <x:c r="BD54" s="103" t="n">
        <x:f>ROUND(BC54+(IF(BD$6&lt;='Launch Readiness'!$B$7,0,IF((BD$6-'Launch Readiness'!$B$7)&lt;'Launch Readiness'!$E$6,0,INDEX('Scenario Engine'!$N$30:$R$30,1,ROUNDUP((BD$6-'Launch Readiness'!$B$7)/12,0))/MAX(1,INDEX('Launch Readiness'!$B$26:$F$26,1,ROUNDUP((BD$6-'Launch Readiness'!$B$7)/12,0))))))-IF(BD$6&lt;'Launch Readiness'!$E$6,0,INDEX('Scenario Engine'!$N$47:$R$47,1,BD$7)/MAX(1,INDEX('Launch Readiness'!$B$26:$F$26,1,BD$7)))-INDEX('Scenario Engine'!$N$52:$R$52,1,BD$7)/12-((INDEX('Scenario Engine'!$N$53:$R$53,1,BD$7)-'Launch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Readiness'!$E$16/12,0))-(IF(BD$6&lt;=6,'Startup 6mo'!$F$44/6,0)+IF(BD$6&lt;'Launch Readiness'!$E$6,'Launch Readiness'!$E$8/MAX(1,'Launch Readiness'!$E$7),0)+IF(BD$6='Launch Readiness'!$G$14,'Launch Readiness'!$E$15,0)),0)</x:f>
        <x:v>22506489</x:v>
      </x:c>
      <x:c r="BE54" s="103" t="n">
        <x:f>ROUND(BD54+(IF(BE$6&lt;='Launch Readiness'!$B$7,0,IF((BE$6-'Launch Readiness'!$B$7)&lt;'Launch Readiness'!$E$6,0,INDEX('Scenario Engine'!$N$30:$R$30,1,ROUNDUP((BE$6-'Launch Readiness'!$B$7)/12,0))/MAX(1,INDEX('Launch Readiness'!$B$26:$F$26,1,ROUNDUP((BE$6-'Launch Readiness'!$B$7)/12,0))))))-IF(BE$6&lt;'Launch Readiness'!$E$6,0,INDEX('Scenario Engine'!$N$47:$R$47,1,BE$7)/MAX(1,INDEX('Launch Readiness'!$B$26:$F$26,1,BE$7)))-INDEX('Scenario Engine'!$N$52:$R$52,1,BE$7)/12-((INDEX('Scenario Engine'!$N$53:$R$53,1,BE$7)-'Launch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Readiness'!$E$16/12,0))-(IF(BE$6&lt;=6,'Startup 6mo'!$F$44/6,0)+IF(BE$6&lt;'Launch Readiness'!$E$6,'Launch Readiness'!$E$8/MAX(1,'Launch Readiness'!$E$7),0)+IF(BE$6='Launch Readiness'!$G$14,'Launch Readiness'!$E$15,0)),0)</x:f>
        <x:v>24782120</x:v>
      </x:c>
      <x:c r="BF54" s="103" t="n">
        <x:f>ROUND(BE54+(IF(BF$6&lt;='Launch Readiness'!$B$7,0,IF((BF$6-'Launch Readiness'!$B$7)&lt;'Launch Readiness'!$E$6,0,INDEX('Scenario Engine'!$N$30:$R$30,1,ROUNDUP((BF$6-'Launch Readiness'!$B$7)/12,0))/MAX(1,INDEX('Launch Readiness'!$B$26:$F$26,1,ROUNDUP((BF$6-'Launch Readiness'!$B$7)/12,0))))))-IF(BF$6&lt;'Launch Readiness'!$E$6,0,INDEX('Scenario Engine'!$N$47:$R$47,1,BF$7)/MAX(1,INDEX('Launch Readiness'!$B$26:$F$26,1,BF$7)))-INDEX('Scenario Engine'!$N$52:$R$52,1,BF$7)/12-((INDEX('Scenario Engine'!$N$53:$R$53,1,BF$7)-'Launch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Readiness'!$E$16/12,0))-(IF(BF$6&lt;=6,'Startup 6mo'!$F$44/6,0)+IF(BF$6&lt;'Launch Readiness'!$E$6,'Launch Readiness'!$E$8/MAX(1,'Launch Readiness'!$E$7),0)+IF(BF$6='Launch Readiness'!$G$14,'Launch Readiness'!$E$15,0)),0)</x:f>
        <x:v>27057751</x:v>
      </x:c>
      <x:c r="BG54" s="103" t="n">
        <x:f>ROUND(BF54+(IF(BG$6&lt;='Launch Readiness'!$B$7,0,IF((BG$6-'Launch Readiness'!$B$7)&lt;'Launch Readiness'!$E$6,0,INDEX('Scenario Engine'!$N$30:$R$30,1,ROUNDUP((BG$6-'Launch Readiness'!$B$7)/12,0))/MAX(1,INDEX('Launch Readiness'!$B$26:$F$26,1,ROUNDUP((BG$6-'Launch Readiness'!$B$7)/12,0))))))-IF(BG$6&lt;'Launch Readiness'!$E$6,0,INDEX('Scenario Engine'!$N$47:$R$47,1,BG$7)/MAX(1,INDEX('Launch Readiness'!$B$26:$F$26,1,BG$7)))-INDEX('Scenario Engine'!$N$52:$R$52,1,BG$7)/12-((INDEX('Scenario Engine'!$N$53:$R$53,1,BG$7)-'Launch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Readiness'!$E$16/12,0))-(IF(BG$6&lt;=6,'Startup 6mo'!$F$44/6,0)+IF(BG$6&lt;'Launch Readiness'!$E$6,'Launch Readiness'!$E$8/MAX(1,'Launch Readiness'!$E$7),0)+IF(BG$6='Launch Readiness'!$G$14,'Launch Readiness'!$E$15,0)),0)</x:f>
        <x:v>29333382</x:v>
      </x:c>
      <x:c r="BH54" s="103" t="n">
        <x:f>ROUND(BG54+(IF(BH$6&lt;='Launch Readiness'!$B$7,0,IF((BH$6-'Launch Readiness'!$B$7)&lt;'Launch Readiness'!$E$6,0,INDEX('Scenario Engine'!$N$30:$R$30,1,ROUNDUP((BH$6-'Launch Readiness'!$B$7)/12,0))/MAX(1,INDEX('Launch Readiness'!$B$26:$F$26,1,ROUNDUP((BH$6-'Launch Readiness'!$B$7)/12,0))))))-IF(BH$6&lt;'Launch Readiness'!$E$6,0,INDEX('Scenario Engine'!$N$47:$R$47,1,BH$7)/MAX(1,INDEX('Launch Readiness'!$B$26:$F$26,1,BH$7)))-INDEX('Scenario Engine'!$N$52:$R$52,1,BH$7)/12-((INDEX('Scenario Engine'!$N$53:$R$53,1,BH$7)-'Launch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Readiness'!$E$16/12,0))-(IF(BH$6&lt;=6,'Startup 6mo'!$F$44/6,0)+IF(BH$6&lt;'Launch Readiness'!$E$6,'Launch Readiness'!$E$8/MAX(1,'Launch Readiness'!$E$7),0)+IF(BH$6='Launch Readiness'!$G$14,'Launch Readiness'!$E$15,0)),0)</x:f>
        <x:v>31609013</x:v>
      </x:c>
      <x:c r="BI54" s="103" t="n">
        <x:f>ROUND(BH54+(IF(BI$6&lt;='Launch Readiness'!$B$7,0,IF((BI$6-'Launch Readiness'!$B$7)&lt;'Launch Readiness'!$E$6,0,INDEX('Scenario Engine'!$N$30:$R$30,1,ROUNDUP((BI$6-'Launch Readiness'!$B$7)/12,0))/MAX(1,INDEX('Launch Readiness'!$B$26:$F$26,1,ROUNDUP((BI$6-'Launch Readiness'!$B$7)/12,0))))))-IF(BI$6&lt;'Launch Readiness'!$E$6,0,INDEX('Scenario Engine'!$N$47:$R$47,1,BI$7)/MAX(1,INDEX('Launch Readiness'!$B$26:$F$26,1,BI$7)))-INDEX('Scenario Engine'!$N$52:$R$52,1,BI$7)/12-((INDEX('Scenario Engine'!$N$53:$R$53,1,BI$7)-'Launch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Readiness'!$E$16/12,0))-(IF(BI$6&lt;=6,'Startup 6mo'!$F$44/6,0)+IF(BI$6&lt;'Launch Readiness'!$E$6,'Launch Readiness'!$E$8/MAX(1,'Launch Readiness'!$E$7),0)+IF(BI$6='Launch Readiness'!$G$14,'Launch Readiness'!$E$15,0)),0)</x:f>
        <x:v>33884644</x:v>
      </x:c>
    </x:row>
    <x:row r="55" ht="12" customHeight="1">
      <x:c r="A55" s="49" t="s">
        <x:v>524</x:v>
      </x:c>
      <x:c r="B55" s="49" t="str">
        <x:f t="shared" ref="B55:AG55" si="32">IF(B52&gt;=0,"Reached","")</x:f>
      </x:c>
      <x:c r="C55" s="49" t="str">
        <x:f t="shared" si="32"/>
      </x:c>
      <x:c r="D55" s="49" t="str">
        <x:f t="shared" si="32"/>
      </x:c>
      <x:c r="E55" s="49" t="str">
        <x:f t="shared" si="32"/>
      </x:c>
      <x:c r="F55" s="49" t="str">
        <x:f t="shared" si="32"/>
      </x:c>
      <x:c r="G55" s="49" t="str">
        <x:f t="shared" si="32"/>
      </x:c>
      <x:c r="H55" s="49" t="str">
        <x:f t="shared" si="32"/>
      </x:c>
      <x:c r="I55" s="49" t="str">
        <x:f t="shared" si="32"/>
      </x:c>
      <x:c r="J55" s="49" t="str">
        <x:f t="shared" si="32"/>
      </x:c>
      <x:c r="K55" s="49" t="str">
        <x:f t="shared" si="32"/>
      </x:c>
      <x:c r="L55" s="49" t="str">
        <x:f t="shared" si="32"/>
      </x:c>
      <x:c r="M55" s="49" t="str">
        <x:f t="shared" si="32"/>
      </x:c>
      <x:c r="N55" s="49" t="str">
        <x:f t="shared" si="32"/>
      </x:c>
      <x:c r="O55" s="49" t="str">
        <x:f t="shared" si="32"/>
      </x:c>
      <x:c r="P55" s="49" t="str">
        <x:f t="shared" si="32"/>
      </x:c>
      <x:c r="Q55" s="49" t="str">
        <x:f t="shared" si="32"/>
      </x:c>
      <x:c r="R55" s="49" t="str">
        <x:f t="shared" si="32"/>
      </x:c>
      <x:c r="S55" s="49" t="str">
        <x:f t="shared" si="32"/>
      </x:c>
      <x:c r="T55" s="49" t="str">
        <x:f t="shared" si="32"/>
      </x:c>
      <x:c r="U55" s="49" t="str">
        <x:f t="shared" si="32"/>
      </x:c>
      <x:c r="V55" s="49" t="str">
        <x:f t="shared" si="32"/>
      </x:c>
      <x:c r="W55" s="49" t="str">
        <x:f t="shared" si="32"/>
      </x:c>
      <x:c r="X55" s="49" t="str">
        <x:f t="shared" si="32"/>
      </x:c>
      <x:c r="Y55" s="49" t="str">
        <x:f t="shared" si="32"/>
      </x:c>
      <x:c r="Z55" s="49" t="str">
        <x:f t="shared" si="32"/>
      </x:c>
      <x:c r="AA55" s="49" t="str">
        <x:f t="shared" si="32"/>
      </x:c>
      <x:c r="AB55" s="49" t="str">
        <x:f t="shared" si="32"/>
      </x:c>
      <x:c r="AC55" s="49" t="str">
        <x:f t="shared" si="32"/>
      </x:c>
      <x:c r="AD55" s="49" t="str">
        <x:f t="shared" si="32"/>
      </x:c>
      <x:c r="AE55" s="49" t="str">
        <x:f t="shared" si="32"/>
      </x:c>
      <x:c r="AF55" s="49" t="str">
        <x:f t="shared" si="32"/>
      </x:c>
      <x:c r="AG55" s="49" t="str">
        <x:f t="shared" si="32"/>
      </x:c>
      <x:c r="AH55" s="49" t="str">
        <x:f t="shared" ref="AH55:BI55" si="33">IF(AH52&gt;=0,"Reached","")</x:f>
      </x:c>
      <x:c r="AI55" s="49" t="str">
        <x:f t="shared" si="33"/>
      </x:c>
      <x:c r="AJ55" s="49" t="str">
        <x:f t="shared" si="33"/>
      </x:c>
      <x:c r="AK55" s="49" t="str">
        <x:f t="shared" si="33"/>
      </x:c>
      <x:c r="AL55" s="49" t="str">
        <x:f t="shared" si="33"/>
      </x:c>
      <x:c r="AM55" s="49" t="str">
        <x:f t="shared" si="33"/>
      </x:c>
      <x:c r="AN55" s="49" t="str">
        <x:f t="shared" si="33"/>
      </x:c>
      <x:c r="AO55" s="49" t="str">
        <x:f t="shared" si="33"/>
      </x:c>
      <x:c r="AP55" s="49" t="str">
        <x:f t="shared" si="33"/>
      </x:c>
      <x:c r="AQ55" s="49" t="str">
        <x:f t="shared" si="33"/>
      </x:c>
      <x:c r="AR55" s="49" t="str">
        <x:f t="shared" si="33"/>
      </x:c>
      <x:c r="AS55" s="49" t="str">
        <x:f t="shared" si="33"/>
      </x:c>
      <x:c r="AT55" s="49" t="str">
        <x:f t="shared" si="33"/>
      </x:c>
      <x:c r="AU55" s="49" t="str">
        <x:f t="shared" si="33"/>
      </x:c>
      <x:c r="AV55" s="49" t="str">
        <x:f t="shared" si="33"/>
      </x:c>
      <x:c r="AW55" s="49" t="str">
        <x:f t="shared" si="33"/>
      </x:c>
      <x:c r="AX55" s="49" t="str">
        <x:f t="shared" si="33"/>
      </x:c>
      <x:c r="AY55" s="49" t="str">
        <x:f t="shared" si="33"/>
      </x:c>
      <x:c r="AZ55" s="49" t="str">
        <x:f t="shared" si="33"/>
      </x:c>
      <x:c r="BA55" s="49" t="str">
        <x:f t="shared" si="33"/>
      </x:c>
      <x:c r="BB55" s="49" t="str">
        <x:f t="shared" si="33"/>
      </x:c>
      <x:c r="BC55" s="49" t="str">
        <x:f t="shared" si="33"/>
      </x:c>
      <x:c r="BD55" s="49" t="str">
        <x:f t="shared" si="33"/>
      </x:c>
      <x:c r="BE55" s="49" t="str">
        <x:f t="shared" si="33"/>
      </x:c>
      <x:c r="BF55" s="49" t="str">
        <x:f t="shared" si="33"/>
      </x:c>
      <x:c r="BG55" s="49" t="str">
        <x:f t="shared" si="33"/>
      </x:c>
      <x:c r="BH55" s="49" t="str">
        <x:f t="shared" si="33"/>
      </x:c>
      <x:c r="BI55" s="49" t="str">
        <x:f t="shared" si="33"/>
      </x:c>
    </x:row>
    <x:row r="56" ht="12" customHeight="1">
      <x:c r="A56" s="49" t="s">
        <x:v>525</x:v>
      </x:c>
      <x:c r="B56" s="49" t="str">
        <x:f t="shared" ref="B56:AG56" si="34">IF(B53&gt;=0,"Reached","")</x:f>
      </x:c>
      <x:c r="C56" s="49" t="str">
        <x:f t="shared" si="34"/>
      </x:c>
      <x:c r="D56" s="49" t="str">
        <x:f t="shared" si="34"/>
      </x:c>
      <x:c r="E56" s="49" t="str">
        <x:f t="shared" si="34"/>
      </x:c>
      <x:c r="F56" s="49" t="str">
        <x:f t="shared" si="34"/>
      </x:c>
      <x:c r="G56" s="49" t="str">
        <x:f t="shared" si="34"/>
      </x:c>
      <x:c r="H56" s="49" t="str">
        <x:f t="shared" si="34"/>
      </x:c>
      <x:c r="I56" s="49" t="str">
        <x:f t="shared" si="34"/>
      </x:c>
      <x:c r="J56" s="49" t="str">
        <x:f t="shared" si="34"/>
      </x:c>
      <x:c r="K56" s="49" t="str">
        <x:f t="shared" si="34"/>
      </x:c>
      <x:c r="L56" s="49" t="str">
        <x:f t="shared" si="34"/>
      </x:c>
      <x:c r="M56" s="49" t="str">
        <x:f t="shared" si="34"/>
      </x:c>
      <x:c r="N56" s="49" t="str">
        <x:f t="shared" si="34"/>
      </x:c>
      <x:c r="O56" s="49" t="str">
        <x:f t="shared" si="34"/>
      </x:c>
      <x:c r="P56" s="49" t="str">
        <x:f t="shared" si="34"/>
      </x:c>
      <x:c r="Q56" s="49" t="str">
        <x:f t="shared" si="34"/>
      </x:c>
      <x:c r="R56" s="49" t="str">
        <x:f t="shared" si="34"/>
      </x:c>
      <x:c r="S56" s="49" t="str">
        <x:f t="shared" si="34"/>
      </x:c>
      <x:c r="T56" s="49" t="str">
        <x:f t="shared" si="34"/>
      </x:c>
      <x:c r="U56" s="49" t="str">
        <x:f t="shared" si="34"/>
      </x:c>
      <x:c r="V56" s="49" t="str">
        <x:f t="shared" si="34"/>
      </x:c>
      <x:c r="W56" s="49" t="str">
        <x:f t="shared" si="34"/>
      </x:c>
      <x:c r="X56" s="49" t="str">
        <x:f t="shared" si="34"/>
      </x:c>
      <x:c r="Y56" s="49" t="str">
        <x:f t="shared" si="34"/>
      </x:c>
      <x:c r="Z56" s="49" t="str">
        <x:f t="shared" si="34"/>
      </x:c>
      <x:c r="AA56" s="49" t="str">
        <x:f t="shared" si="34"/>
      </x:c>
      <x:c r="AB56" s="49" t="str">
        <x:f t="shared" si="34"/>
      </x:c>
      <x:c r="AC56" s="49" t="str">
        <x:f t="shared" si="34"/>
      </x:c>
      <x:c r="AD56" s="49" t="str">
        <x:f t="shared" si="34"/>
      </x:c>
      <x:c r="AE56" s="49" t="str">
        <x:f t="shared" si="34"/>
      </x:c>
      <x:c r="AF56" s="49" t="str">
        <x:f t="shared" si="34"/>
      </x:c>
      <x:c r="AG56" s="49" t="str">
        <x:f t="shared" si="34"/>
      </x:c>
      <x:c r="AH56" s="49" t="str">
        <x:f t="shared" ref="AH56:BI56" si="35">IF(AH53&gt;=0,"Reached","")</x:f>
      </x:c>
      <x:c r="AI56" s="49" t="str">
        <x:f t="shared" si="35"/>
      </x:c>
      <x:c r="AJ56" s="49" t="str">
        <x:f t="shared" si="35"/>
      </x:c>
      <x:c r="AK56" s="49" t="str">
        <x:f t="shared" si="35"/>
      </x:c>
      <x:c r="AL56" s="49" t="str">
        <x:f t="shared" si="35"/>
      </x:c>
      <x:c r="AM56" s="49" t="str">
        <x:f t="shared" si="35"/>
      </x:c>
      <x:c r="AN56" s="49" t="str">
        <x:f t="shared" si="35"/>
      </x:c>
      <x:c r="AO56" s="49" t="str">
        <x:f t="shared" si="35"/>
      </x:c>
      <x:c r="AP56" s="49" t="str">
        <x:f t="shared" si="35"/>
      </x:c>
      <x:c r="AQ56" s="49" t="str">
        <x:f t="shared" si="35"/>
      </x:c>
      <x:c r="AR56" s="49" t="str">
        <x:f t="shared" si="35"/>
      </x:c>
      <x:c r="AS56" s="49" t="str">
        <x:f t="shared" si="35"/>
        <x:v>Reached</x:v>
      </x:c>
      <x:c r="AT56" s="49" t="str">
        <x:f t="shared" si="35"/>
        <x:v>Reached</x:v>
      </x:c>
      <x:c r="AU56" s="49" t="str">
        <x:f t="shared" si="35"/>
        <x:v>Reached</x:v>
      </x:c>
      <x:c r="AV56" s="49" t="str">
        <x:f t="shared" si="35"/>
        <x:v>Reached</x:v>
      </x:c>
      <x:c r="AW56" s="49" t="str">
        <x:f t="shared" si="35"/>
        <x:v>Reached</x:v>
      </x:c>
      <x:c r="AX56" s="49" t="str">
        <x:f t="shared" si="35"/>
        <x:v>Reached</x:v>
      </x:c>
      <x:c r="AY56" s="49" t="str">
        <x:f t="shared" si="35"/>
        <x:v>Reached</x:v>
      </x:c>
      <x:c r="AZ56" s="49" t="str">
        <x:f t="shared" si="35"/>
        <x:v>Reached</x:v>
      </x:c>
      <x:c r="BA56" s="49" t="str">
        <x:f t="shared" si="35"/>
        <x:v>Reached</x:v>
      </x:c>
      <x:c r="BB56" s="49" t="str">
        <x:f t="shared" si="35"/>
        <x:v>Reached</x:v>
      </x:c>
      <x:c r="BC56" s="49" t="str">
        <x:f t="shared" si="35"/>
        <x:v>Reached</x:v>
      </x:c>
      <x:c r="BD56" s="49" t="str">
        <x:f t="shared" si="35"/>
        <x:v>Reached</x:v>
      </x:c>
      <x:c r="BE56" s="49" t="str">
        <x:f t="shared" si="35"/>
        <x:v>Reached</x:v>
      </x:c>
      <x:c r="BF56" s="49" t="str">
        <x:f t="shared" si="35"/>
        <x:v>Reached</x:v>
      </x:c>
      <x:c r="BG56" s="49" t="str">
        <x:f t="shared" si="35"/>
        <x:v>Reached</x:v>
      </x:c>
      <x:c r="BH56" s="49" t="str">
        <x:f t="shared" si="35"/>
        <x:v>Reached</x:v>
      </x:c>
      <x:c r="BI56" s="49" t="str">
        <x:f t="shared" si="35"/>
        <x:v>Reached</x:v>
      </x:c>
    </x:row>
    <x:row r="57" ht="12" customHeight="1">
      <x:c r="A57" s="49" t="s">
        <x:v>526</x:v>
      </x:c>
      <x:c r="B57" s="49" t="str">
        <x:f t="shared" ref="B57:AG57" si="36">IF(B54&gt;=0,"Reached","")</x:f>
      </x:c>
      <x:c r="C57" s="49" t="str">
        <x:f t="shared" si="36"/>
      </x:c>
      <x:c r="D57" s="49" t="str">
        <x:f t="shared" si="36"/>
      </x:c>
      <x:c r="E57" s="49" t="str">
        <x:f t="shared" si="36"/>
      </x:c>
      <x:c r="F57" s="49" t="str">
        <x:f t="shared" si="36"/>
      </x:c>
      <x:c r="G57" s="49" t="str">
        <x:f t="shared" si="36"/>
      </x:c>
      <x:c r="H57" s="49" t="str">
        <x:f t="shared" si="36"/>
      </x:c>
      <x:c r="I57" s="49" t="str">
        <x:f t="shared" si="36"/>
      </x:c>
      <x:c r="J57" s="49" t="str">
        <x:f t="shared" si="36"/>
      </x:c>
      <x:c r="K57" s="49" t="str">
        <x:f t="shared" si="36"/>
      </x:c>
      <x:c r="L57" s="49" t="str">
        <x:f t="shared" si="36"/>
      </x:c>
      <x:c r="M57" s="49" t="str">
        <x:f t="shared" si="36"/>
      </x:c>
      <x:c r="N57" s="49" t="str">
        <x:f t="shared" si="36"/>
      </x:c>
      <x:c r="O57" s="49" t="str">
        <x:f t="shared" si="36"/>
      </x:c>
      <x:c r="P57" s="49" t="str">
        <x:f t="shared" si="36"/>
      </x:c>
      <x:c r="Q57" s="49" t="str">
        <x:f t="shared" si="36"/>
      </x:c>
      <x:c r="R57" s="49" t="str">
        <x:f t="shared" si="36"/>
      </x:c>
      <x:c r="S57" s="49" t="str">
        <x:f t="shared" si="36"/>
      </x:c>
      <x:c r="T57" s="49" t="str">
        <x:f t="shared" si="36"/>
      </x:c>
      <x:c r="U57" s="49" t="str">
        <x:f t="shared" si="36"/>
      </x:c>
      <x:c r="V57" s="49" t="str">
        <x:f t="shared" si="36"/>
      </x:c>
      <x:c r="W57" s="49" t="str">
        <x:f t="shared" si="36"/>
      </x:c>
      <x:c r="X57" s="49" t="str">
        <x:f t="shared" si="36"/>
      </x:c>
      <x:c r="Y57" s="49" t="str">
        <x:f t="shared" si="36"/>
      </x:c>
      <x:c r="Z57" s="49" t="str">
        <x:f t="shared" si="36"/>
      </x:c>
      <x:c r="AA57" s="49" t="str">
        <x:f t="shared" si="36"/>
      </x:c>
      <x:c r="AB57" s="49" t="str">
        <x:f t="shared" si="36"/>
      </x:c>
      <x:c r="AC57" s="49" t="str">
        <x:f t="shared" si="36"/>
      </x:c>
      <x:c r="AD57" s="49" t="str">
        <x:f t="shared" si="36"/>
      </x:c>
      <x:c r="AE57" s="49" t="str">
        <x:f t="shared" si="36"/>
      </x:c>
      <x:c r="AF57" s="49" t="str">
        <x:f t="shared" si="36"/>
      </x:c>
      <x:c r="AG57" s="49" t="str">
        <x:f t="shared" si="36"/>
      </x:c>
      <x:c r="AH57" s="49" t="str">
        <x:f t="shared" ref="AH57:BI57" si="37">IF(AH54&gt;=0,"Reached","")</x:f>
      </x:c>
      <x:c r="AI57" s="49" t="str">
        <x:f t="shared" si="37"/>
      </x:c>
      <x:c r="AJ57" s="49" t="str">
        <x:f t="shared" si="37"/>
      </x:c>
      <x:c r="AK57" s="49" t="str">
        <x:f t="shared" si="37"/>
      </x:c>
      <x:c r="AL57" s="49" t="str">
        <x:f t="shared" si="37"/>
      </x:c>
      <x:c r="AM57" s="49" t="str">
        <x:f t="shared" si="37"/>
      </x:c>
      <x:c r="AN57" s="49" t="str">
        <x:f t="shared" si="37"/>
      </x:c>
      <x:c r="AO57" s="49" t="str">
        <x:f t="shared" si="37"/>
        <x:v>Reached</x:v>
      </x:c>
      <x:c r="AP57" s="49" t="str">
        <x:f t="shared" si="37"/>
        <x:v>Reached</x:v>
      </x:c>
      <x:c r="AQ57" s="49" t="str">
        <x:f t="shared" si="37"/>
        <x:v>Reached</x:v>
      </x:c>
      <x:c r="AR57" s="49" t="str">
        <x:f t="shared" si="37"/>
        <x:v>Reached</x:v>
      </x:c>
      <x:c r="AS57" s="49" t="str">
        <x:f t="shared" si="37"/>
        <x:v>Reached</x:v>
      </x:c>
      <x:c r="AT57" s="49" t="str">
        <x:f t="shared" si="37"/>
        <x:v>Reached</x:v>
      </x:c>
      <x:c r="AU57" s="49" t="str">
        <x:f t="shared" si="37"/>
        <x:v>Reached</x:v>
      </x:c>
      <x:c r="AV57" s="49" t="str">
        <x:f t="shared" si="37"/>
        <x:v>Reached</x:v>
      </x:c>
      <x:c r="AW57" s="49" t="str">
        <x:f t="shared" si="37"/>
        <x:v>Reached</x:v>
      </x:c>
      <x:c r="AX57" s="49" t="str">
        <x:f t="shared" si="37"/>
        <x:v>Reached</x:v>
      </x:c>
      <x:c r="AY57" s="49" t="str">
        <x:f t="shared" si="37"/>
        <x:v>Reached</x:v>
      </x:c>
      <x:c r="AZ57" s="49" t="str">
        <x:f t="shared" si="37"/>
        <x:v>Reached</x:v>
      </x:c>
      <x:c r="BA57" s="49" t="str">
        <x:f t="shared" si="37"/>
        <x:v>Reached</x:v>
      </x:c>
      <x:c r="BB57" s="49" t="str">
        <x:f t="shared" si="37"/>
        <x:v>Reached</x:v>
      </x:c>
      <x:c r="BC57" s="49" t="str">
        <x:f t="shared" si="37"/>
        <x:v>Reached</x:v>
      </x:c>
      <x:c r="BD57" s="49" t="str">
        <x:f t="shared" si="37"/>
        <x:v>Reached</x:v>
      </x:c>
      <x:c r="BE57" s="49" t="str">
        <x:f t="shared" si="37"/>
        <x:v>Reached</x:v>
      </x:c>
      <x:c r="BF57" s="49" t="str">
        <x:f t="shared" si="37"/>
        <x:v>Reached</x:v>
      </x:c>
      <x:c r="BG57" s="49" t="str">
        <x:f t="shared" si="37"/>
        <x:v>Reached</x:v>
      </x:c>
      <x:c r="BH57" s="49" t="str">
        <x:f t="shared" si="37"/>
        <x:v>Reached</x:v>
      </x:c>
      <x:c r="BI57" s="49" t="str">
        <x:f t="shared" si="37"/>
        <x:v>Reached</x:v>
      </x:c>
    </x:row>
    <x:row r="58" ht="12" customHeight="1">
      <x:c r="A58" s="49" t="s">
        <x:v>527</x:v>
      </x:c>
      <x:c r="B58" s="49" t="str">
        <x:f t="shared" ref="B58:AG58" si="38">IF(B38&gt;=0,"Reached","")</x:f>
      </x:c>
      <x:c r="C58" s="49" t="str">
        <x:f t="shared" si="38"/>
      </x:c>
      <x:c r="D58" s="49" t="str">
        <x:f t="shared" si="38"/>
      </x:c>
      <x:c r="E58" s="49" t="str">
        <x:f t="shared" si="38"/>
      </x:c>
      <x:c r="F58" s="49" t="str">
        <x:f t="shared" si="38"/>
      </x:c>
      <x:c r="G58" s="49" t="str">
        <x:f t="shared" si="38"/>
      </x:c>
      <x:c r="H58" s="49" t="str">
        <x:f t="shared" si="38"/>
      </x:c>
      <x:c r="I58" s="49" t="str">
        <x:f t="shared" si="38"/>
      </x:c>
      <x:c r="J58" s="49" t="str">
        <x:f t="shared" si="38"/>
      </x:c>
      <x:c r="K58" s="49" t="str">
        <x:f t="shared" si="38"/>
      </x:c>
      <x:c r="L58" s="49" t="str">
        <x:f t="shared" si="38"/>
      </x:c>
      <x:c r="M58" s="49" t="str">
        <x:f t="shared" si="38"/>
      </x:c>
      <x:c r="N58" s="49" t="str">
        <x:f t="shared" si="38"/>
      </x:c>
      <x:c r="O58" s="49" t="str">
        <x:f t="shared" si="38"/>
      </x:c>
      <x:c r="P58" s="49" t="str">
        <x:f t="shared" si="38"/>
      </x:c>
      <x:c r="Q58" s="49" t="str">
        <x:f t="shared" si="38"/>
      </x:c>
      <x:c r="R58" s="49" t="str">
        <x:f t="shared" si="38"/>
      </x:c>
      <x:c r="S58" s="49" t="str">
        <x:f t="shared" si="38"/>
      </x:c>
      <x:c r="T58" s="49" t="str">
        <x:f t="shared" si="38"/>
      </x:c>
      <x:c r="U58" s="49" t="str">
        <x:f t="shared" si="38"/>
      </x:c>
      <x:c r="V58" s="49" t="str">
        <x:f t="shared" si="38"/>
      </x:c>
      <x:c r="W58" s="49" t="str">
        <x:f t="shared" si="38"/>
      </x:c>
      <x:c r="X58" s="49" t="str">
        <x:f t="shared" si="38"/>
      </x:c>
      <x:c r="Y58" s="49" t="str">
        <x:f t="shared" si="38"/>
      </x:c>
      <x:c r="Z58" s="49" t="str">
        <x:f t="shared" si="38"/>
      </x:c>
      <x:c r="AA58" s="49" t="str">
        <x:f t="shared" si="38"/>
      </x:c>
      <x:c r="AB58" s="49" t="str">
        <x:f t="shared" si="38"/>
      </x:c>
      <x:c r="AC58" s="49" t="str">
        <x:f t="shared" si="38"/>
      </x:c>
      <x:c r="AD58" s="49" t="str">
        <x:f t="shared" si="38"/>
      </x:c>
      <x:c r="AE58" s="49" t="str">
        <x:f t="shared" si="38"/>
      </x:c>
      <x:c r="AF58" s="49" t="str">
        <x:f t="shared" si="38"/>
      </x:c>
      <x:c r="AG58" s="49" t="str">
        <x:f t="shared" si="38"/>
      </x:c>
      <x:c r="AH58" s="49" t="str">
        <x:f t="shared" ref="AH58:BI58" si="39">IF(AH38&gt;=0,"Reached","")</x:f>
      </x:c>
      <x:c r="AI58" s="49" t="str">
        <x:f t="shared" si="39"/>
      </x:c>
      <x:c r="AJ58" s="49" t="str">
        <x:f t="shared" si="39"/>
      </x:c>
      <x:c r="AK58" s="49" t="str">
        <x:f t="shared" si="39"/>
      </x:c>
      <x:c r="AL58" s="49" t="str">
        <x:f t="shared" si="39"/>
      </x:c>
      <x:c r="AM58" s="49" t="str">
        <x:f t="shared" si="39"/>
      </x:c>
      <x:c r="AN58" s="49" t="str">
        <x:f t="shared" si="39"/>
      </x:c>
      <x:c r="AO58" s="49" t="str">
        <x:f t="shared" si="39"/>
      </x:c>
      <x:c r="AP58" s="49" t="str">
        <x:f t="shared" si="39"/>
      </x:c>
      <x:c r="AQ58" s="49" t="str">
        <x:f t="shared" si="39"/>
      </x:c>
      <x:c r="AR58" s="49" t="str">
        <x:f t="shared" si="39"/>
      </x:c>
      <x:c r="AS58" s="49" t="str">
        <x:f t="shared" si="39"/>
        <x:v>Reached</x:v>
      </x:c>
      <x:c r="AT58" s="49" t="str">
        <x:f t="shared" si="39"/>
        <x:v>Reached</x:v>
      </x:c>
      <x:c r="AU58" s="49" t="str">
        <x:f t="shared" si="39"/>
        <x:v>Reached</x:v>
      </x:c>
      <x:c r="AV58" s="49" t="str">
        <x:f t="shared" si="39"/>
        <x:v>Reached</x:v>
      </x:c>
      <x:c r="AW58" s="49" t="str">
        <x:f t="shared" si="39"/>
        <x:v>Reached</x:v>
      </x:c>
      <x:c r="AX58" s="49" t="str">
        <x:f t="shared" si="39"/>
        <x:v>Reached</x:v>
      </x:c>
      <x:c r="AY58" s="49" t="str">
        <x:f t="shared" si="39"/>
        <x:v>Reached</x:v>
      </x:c>
      <x:c r="AZ58" s="49" t="str">
        <x:f t="shared" si="39"/>
        <x:v>Reached</x:v>
      </x:c>
      <x:c r="BA58" s="49" t="str">
        <x:f t="shared" si="39"/>
        <x:v>Reached</x:v>
      </x:c>
      <x:c r="BB58" s="49" t="str">
        <x:f t="shared" si="39"/>
        <x:v>Reached</x:v>
      </x:c>
      <x:c r="BC58" s="49" t="str">
        <x:f t="shared" si="39"/>
        <x:v>Reached</x:v>
      </x:c>
      <x:c r="BD58" s="49" t="str">
        <x:f t="shared" si="39"/>
        <x:v>Reached</x:v>
      </x:c>
      <x:c r="BE58" s="49" t="str">
        <x:f t="shared" si="39"/>
        <x:v>Reached</x:v>
      </x:c>
      <x:c r="BF58" s="49" t="str">
        <x:f t="shared" si="39"/>
        <x:v>Reached</x:v>
      </x:c>
      <x:c r="BG58" s="49" t="str">
        <x:f t="shared" si="39"/>
        <x:v>Reached</x:v>
      </x:c>
      <x:c r="BH58" s="49" t="str">
        <x:f t="shared" si="39"/>
        <x:v>Reached</x:v>
      </x:c>
      <x:c r="BI58" s="49" t="str">
        <x:f t="shared" si="39"/>
        <x:v>Reached</x:v>
      </x:c>
    </x:row>
  </x:sheetData>
  <x:mergeCells>
    <x:mergeCell ref="A1:N1"/>
    <x:mergeCell ref="A2:N2"/>
    <x:mergeCell ref="A43:L43"/>
    <x:mergeCell ref="A49:BI4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A6491"/>
  </x:sheetPr>
  <x:sheetViews>
    <x:sheetView showGridLines="0" workbookViewId="0"/>
  </x:sheetViews>
  <x:sheetFormatPr defaultColWidth="32.5703125" defaultRowHeight="12.75"/>
  <x:cols>
    <x:col min="1" max="1" width="46" customWidth="1"/>
    <x:col min="2" max="6" width="15" customWidth="1"/>
    <x:col min="7" max="7" width="3" customWidth="1"/>
    <x:col min="8" max="12" width="15" customWidth="1"/>
    <x:col min="13" max="13" width="3" customWidth="1"/>
    <x:col min="14" max="18" width="15" customWidth="1"/>
  </x:cols>
  <x:sheetData>
    <x:row r="1" ht="27.950000762939453" customHeight="1">
      <x:c r="A1" s="1" t="s">
        <x:v>528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15.949999809265137" customHeight="1">
      <x:c r="A2" s="4" t="s">
        <x:v>529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15.949999809265137" customHeight="1">
      <x:c r="A3" s="4" t="s">
        <x:v>530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0.100000381469727" customHeight="1">
      <x:c r="A4" s="5"/>
      <x:c r="B4" s="5" t="s">
        <x:v>531</x:v>
      </x:c>
      <x:c r="C4" s="5"/>
      <x:c r="D4" s="5"/>
      <x:c r="E4" s="5"/>
      <x:c r="F4" s="5"/>
      <x:c r="G4" s="5"/>
      <x:c r="H4" s="5" t="s">
        <x:v>532</x:v>
      </x:c>
      <x:c r="I4" s="5"/>
      <x:c r="J4" s="5"/>
      <x:c r="K4" s="5"/>
      <x:c r="L4" s="5"/>
      <x:c r="M4" s="5"/>
      <x:c r="N4" s="5" t="s">
        <x:v>533</x:v>
      </x:c>
      <x:c r="O4" s="5"/>
      <x:c r="P4" s="5"/>
      <x:c r="Q4" s="5"/>
      <x:c r="R4" s="5"/>
    </x:row>
    <x:row r="5" ht="20.100000381469727" customHeight="1">
      <x:c r="A5" s="9"/>
      <x:c r="B5" s="9" t="s">
        <x:v>203</x:v>
      </x:c>
      <x:c r="C5" s="9" t="s">
        <x:v>204</x:v>
      </x:c>
      <x:c r="D5" s="9" t="s">
        <x:v>205</x:v>
      </x:c>
      <x:c r="E5" s="9" t="s">
        <x:v>206</x:v>
      </x:c>
      <x:c r="F5" s="9" t="s">
        <x:v>207</x:v>
      </x:c>
      <x:c r="G5" s="9"/>
      <x:c r="H5" s="83" t="s">
        <x:v>203</x:v>
      </x:c>
      <x:c r="I5" s="9" t="s">
        <x:v>204</x:v>
      </x:c>
      <x:c r="J5" s="9" t="s">
        <x:v>205</x:v>
      </x:c>
      <x:c r="K5" s="9" t="s">
        <x:v>206</x:v>
      </x:c>
      <x:c r="L5" s="9" t="s">
        <x:v>207</x:v>
      </x:c>
      <x:c r="M5" s="9"/>
      <x:c r="N5" s="83" t="s">
        <x:v>203</x:v>
      </x:c>
      <x:c r="O5" s="9" t="s">
        <x:v>204</x:v>
      </x:c>
      <x:c r="P5" s="9" t="s">
        <x:v>205</x:v>
      </x:c>
      <x:c r="Q5" s="9" t="s">
        <x:v>206</x:v>
      </x:c>
      <x:c r="R5" s="9" t="s">
        <x:v>207</x:v>
      </x:c>
    </x:row>
    <x:row r="6" ht="8.100000381469727" customHeight="1"/>
    <x:row r="7" ht="18.950000762939453" customHeight="1">
      <x:c r="A7" s="5" t="s">
        <x:v>342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ht="15" customHeight="1">
      <x:c r="A8" s="12" t="s">
        <x:v>343</x:v>
      </x:c>
      <x:c r="B8" s="91" t="n">
        <x:f>ROUND(Assumptions!$C$10*'Launch Readiness'!$B$28,0)</x:f>
        <x:v>1</x:v>
      </x:c>
      <x:c r="C8" s="91" t="n">
        <x:f>ROUND(Assumptions!$C$11*'Launch Readiness'!$C$28,0)</x:f>
        <x:v>250</x:v>
      </x:c>
      <x:c r="D8" s="91" t="n">
        <x:f>ROUND(Assumptions!$C$12*'Launch Readiness'!$D$28,0)</x:f>
        <x:v>1200</x:v>
      </x:c>
      <x:c r="E8" s="91" t="n">
        <x:f>ROUND(Assumptions!$C$147*'Launch Readiness'!$E$28,0)</x:f>
        <x:v>1800</x:v>
      </x:c>
      <x:c r="F8" s="91" t="n">
        <x:f>ROUND(Assumptions!$C$148*'Launch Readiness'!$F$28,0)</x:f>
        <x:v>6000</x:v>
      </x:c>
      <x:c r="H8" s="109" t="n">
        <x:f>ROUND(Assumptions!$D$10*'Launch Readiness'!$B$28,0)</x:f>
        <x:v>3</x:v>
      </x:c>
      <x:c r="I8" s="91" t="n">
        <x:f>ROUND(Assumptions!$D$11*'Launch Readiness'!$C$28,0)</x:f>
        <x:v>500</x:v>
      </x:c>
      <x:c r="J8" s="91" t="n">
        <x:f>ROUND(Assumptions!$D$12*'Launch Readiness'!$D$28,0)</x:f>
        <x:v>2000</x:v>
      </x:c>
      <x:c r="K8" s="91" t="n">
        <x:f>ROUND(Assumptions!$D$147*'Launch Readiness'!$E$28,0)</x:f>
        <x:v>15000</x:v>
      </x:c>
      <x:c r="L8" s="91" t="n">
        <x:f>ROUND(Assumptions!$D$148*'Launch Readiness'!$F$28,0)</x:f>
        <x:v>30000</x:v>
      </x:c>
      <x:c r="N8" s="109" t="n">
        <x:f>ROUND(Assumptions!$E$10*'Launch Readiness'!$B$28,0)</x:f>
        <x:v>9</x:v>
      </x:c>
      <x:c r="O8" s="91" t="n">
        <x:f>ROUND(Assumptions!$E$11*'Launch Readiness'!$C$28,0)</x:f>
        <x:v>1000</x:v>
      </x:c>
      <x:c r="P8" s="91" t="n">
        <x:f>ROUND(Assumptions!$E$12*'Launch Readiness'!$D$28,0)</x:f>
        <x:v>3200</x:v>
      </x:c>
      <x:c r="Q8" s="91" t="n">
        <x:f>ROUND(Assumptions!$E$147*'Launch Readiness'!$E$28,0)</x:f>
        <x:v>32000</x:v>
      </x:c>
      <x:c r="R8" s="91" t="n">
        <x:f>ROUND(Assumptions!$E$148*'Launch Readiness'!$F$28,0)</x:f>
        <x:v>70000</x:v>
      </x:c>
    </x:row>
    <x:row r="9" ht="15" customHeight="1">
      <x:c r="A9" s="12" t="s">
        <x:v>534</x:v>
      </x:c>
      <x:c r="B9" s="56" t="n">
        <x:f>IF(B8=0,0,B10/B8)</x:f>
        <x:v>30250</x:v>
      </x:c>
      <x:c r="C9" s="56" t="n">
        <x:f>IF(C8=0,0,C10/C8)</x:f>
        <x:v>32515</x:v>
      </x:c>
      <x:c r="D9" s="56" t="n">
        <x:f>IF(D8=0,0,D10/D8)</x:f>
        <x:v>35696.8</x:v>
      </x:c>
      <x:c r="E9" s="56" t="n">
        <x:f>IF(E8=0,0,E10/E8)</x:f>
        <x:v>39663.79950000001</x:v>
      </x:c>
      <x:c r="F9" s="56" t="n">
        <x:f>IF(F8=0,0,F10/F8)</x:f>
        <x:v>44333.77908500002</x:v>
      </x:c>
      <x:c r="H9" s="107" t="n">
        <x:f>IF(H8=0,0,H10/H8)</x:f>
        <x:v>30750</x:v>
      </x:c>
      <x:c r="I9" s="56" t="n">
        <x:f>IF(I8=0,0,I10/I8)</x:f>
        <x:v>34005</x:v>
      </x:c>
      <x:c r="J9" s="56" t="n">
        <x:f>IF(J8=0,0,J10/J8)</x:f>
        <x:v>38015.55</x:v>
      </x:c>
      <x:c r="K9" s="56" t="n">
        <x:f>IF(K8=0,0,K10/K8)</x:f>
        <x:v>42822.53520000001</x:v>
      </x:c>
      <x:c r="L9" s="56" t="n">
        <x:f>IF(L8=0,0,L10/L8)</x:f>
        <x:v>47897.37657500001</x:v>
      </x:c>
      <x:c r="N9" s="107" t="n">
        <x:f>IF(N8=0,0,N10/N8)</x:f>
        <x:v>31500</x:v>
      </x:c>
      <x:c r="O9" s="56" t="n">
        <x:f>IF(O8=0,0,O10/O8)</x:f>
        <x:v>35055</x:v>
      </x:c>
      <x:c r="P9" s="56" t="n">
        <x:f>IF(P8=0,0,P10/P8)</x:f>
        <x:v>39678.850000000006</x:v>
      </x:c>
      <x:c r="Q9" s="56" t="n">
        <x:f>IF(Q8=0,0,Q10/Q8)</x:f>
        <x:v>44325.33780000002</x:v>
      </x:c>
      <x:c r="R9" s="56" t="n">
        <x:f>IF(R8=0,0,R10/R8)</x:f>
        <x:v>49322.81557100002</x:v>
      </x:c>
    </x:row>
    <x:row r="10" ht="15" customHeight="1">
      <x:c r="A10" s="12" t="s">
        <x:v>347</x:v>
      </x:c>
      <x:c r="B10" s="67" t="n">
        <x:f>B8*(B11*'Tier Economics'!$B$8+B12*'Tier Economics'!$C$8+B13*'Tier Economics'!$D$8)</x:f>
        <x:v>30250</x:v>
      </x:c>
      <x:c r="C10" s="67" t="n">
        <x:f>C8*(C11*'Tier Economics'!$F$8+C12*'Tier Economics'!$G$8+C13*'Tier Economics'!$H$8)</x:f>
        <x:v>8128750</x:v>
      </x:c>
      <x:c r="D10" s="67" t="n">
        <x:f>D8*(D11*'Tier Economics'!$J$8+D12*'Tier Economics'!$K$8+D13*'Tier Economics'!$L$8)</x:f>
        <x:v>42836160</x:v>
      </x:c>
      <x:c r="E10" s="67" t="n">
        <x:f>E8*(E11*'Tier Economics'!$N$8+E12*'Tier Economics'!$O$8+E13*'Tier Economics'!$P$8)</x:f>
        <x:v>71394839.10000001</x:v>
      </x:c>
      <x:c r="F10" s="67" t="n">
        <x:f>F8*(F11*'Tier Economics'!$R$8+F12*'Tier Economics'!$S$8+F13*'Tier Economics'!$T$8)</x:f>
        <x:v>266002674.5100001</x:v>
      </x:c>
      <x:c r="H10" s="110" t="n">
        <x:f>H8*(H11*'Tier Economics'!$B$8+H12*'Tier Economics'!$C$8+H13*'Tier Economics'!$D$8)</x:f>
        <x:v>92250</x:v>
      </x:c>
      <x:c r="I10" s="67" t="n">
        <x:f>I8*(I11*'Tier Economics'!$F$8+I12*'Tier Economics'!$G$8+I13*'Tier Economics'!$H$8)</x:f>
        <x:v>17002500</x:v>
      </x:c>
      <x:c r="J10" s="67" t="n">
        <x:f>J8*(J11*'Tier Economics'!$J$8+J12*'Tier Economics'!$K$8+J13*'Tier Economics'!$L$8)</x:f>
        <x:v>76031100</x:v>
      </x:c>
      <x:c r="K10" s="67" t="n">
        <x:f>K8*(K11*'Tier Economics'!$N$8+K12*'Tier Economics'!$O$8+K13*'Tier Economics'!$P$8)</x:f>
        <x:v>642338028.0000002</x:v>
      </x:c>
      <x:c r="L10" s="67" t="n">
        <x:f>L8*(L11*'Tier Economics'!$R$8+L12*'Tier Economics'!$S$8+L13*'Tier Economics'!$T$8)</x:f>
        <x:v>1436921297.2500002</x:v>
      </x:c>
      <x:c r="N10" s="110" t="n">
        <x:f>N8*(N11*'Tier Economics'!$B$8+N12*'Tier Economics'!$C$8+N13*'Tier Economics'!$D$8)</x:f>
        <x:v>283500</x:v>
      </x:c>
      <x:c r="O10" s="67" t="n">
        <x:f>O8*(O11*'Tier Economics'!$F$8+O12*'Tier Economics'!$G$8+O13*'Tier Economics'!$H$8)</x:f>
        <x:v>35055000</x:v>
      </x:c>
      <x:c r="P10" s="67" t="n">
        <x:f>P8*(P11*'Tier Economics'!$J$8+P12*'Tier Economics'!$K$8+P13*'Tier Economics'!$L$8)</x:f>
        <x:v>126972320.00000001</x:v>
      </x:c>
      <x:c r="Q10" s="67" t="n">
        <x:f>Q8*(Q11*'Tier Economics'!$N$8+Q12*'Tier Economics'!$O$8+Q13*'Tier Economics'!$P$8)</x:f>
        <x:v>1418410809.6000006</x:v>
      </x:c>
      <x:c r="R10" s="67" t="n">
        <x:f>R8*(R11*'Tier Economics'!$R$8+R12*'Tier Economics'!$S$8+R13*'Tier Economics'!$T$8)</x:f>
        <x:v>3452597089.9700017</x:v>
      </x:c>
    </x:row>
    <x:row r="11" ht="15" customHeight="1">
      <x:c r="A11" s="12" t="s">
        <x:v>535</x:v>
      </x:c>
      <x:c r="B11" s="90" t="n">
        <x:f>Assumptions!$C$61</x:f>
        <x:v>0.05</x:v>
      </x:c>
      <x:c r="C11" s="90" t="n">
        <x:f>Assumptions!$C$64</x:f>
        <x:v>0.1</x:v>
      </x:c>
      <x:c r="D11" s="90" t="n">
        <x:f>Assumptions!$C$67</x:f>
        <x:v>0.2</x:v>
      </x:c>
      <x:c r="E11" s="90" t="n">
        <x:f>Assumptions!$C$149</x:f>
        <x:v>0.3</x:v>
      </x:c>
      <x:c r="F11" s="90" t="n">
        <x:f>Assumptions!$C$152</x:f>
        <x:v>0.4</x:v>
      </x:c>
      <x:c r="H11" s="111" t="n">
        <x:f>Assumptions!$D$61</x:f>
        <x:v>0.15</x:v>
      </x:c>
      <x:c r="I11" s="90" t="n">
        <x:f>Assumptions!$D$64</x:f>
        <x:v>0.3</x:v>
      </x:c>
      <x:c r="J11" s="90" t="n">
        <x:f>Assumptions!$D$67</x:f>
        <x:v>0.45</x:v>
      </x:c>
      <x:c r="K11" s="90" t="n">
        <x:f>Assumptions!$D$149</x:f>
        <x:v>0.6</x:v>
      </x:c>
      <x:c r="L11" s="90" t="n">
        <x:f>Assumptions!$D$152</x:f>
        <x:v>0.7</x:v>
      </x:c>
      <x:c r="N11" s="111" t="n">
        <x:f>Assumptions!$E$61</x:f>
        <x:v>0.3</x:v>
      </x:c>
      <x:c r="O11" s="90" t="n">
        <x:f>Assumptions!$E$64</x:f>
        <x:v>0.45</x:v>
      </x:c>
      <x:c r="P11" s="90" t="n">
        <x:f>Assumptions!$E$67</x:f>
        <x:v>0.65</x:v>
      </x:c>
      <x:c r="Q11" s="90" t="n">
        <x:f>Assumptions!$E$149</x:f>
        <x:v>0.75</x:v>
      </x:c>
      <x:c r="R11" s="90" t="n">
        <x:f>Assumptions!$E$152</x:f>
        <x:v>0.82</x:v>
      </x:c>
    </x:row>
    <x:row r="12" ht="15" customHeight="1">
      <x:c r="A12" s="12" t="s">
        <x:v>536</x:v>
      </x:c>
      <x:c r="B12" s="90" t="n">
        <x:f>Assumptions!$C$62</x:f>
        <x:v>0.25</x:v>
      </x:c>
      <x:c r="C12" s="90" t="n">
        <x:f>Assumptions!$C$65</x:f>
        <x:v>0.35</x:v>
      </x:c>
      <x:c r="D12" s="90" t="n">
        <x:f>Assumptions!$C$68</x:f>
        <x:v>0.4</x:v>
      </x:c>
      <x:c r="E12" s="90" t="n">
        <x:f>Assumptions!$C$150</x:f>
        <x:v>0.45</x:v>
      </x:c>
      <x:c r="F12" s="90" t="n">
        <x:f>Assumptions!$C$153</x:f>
        <x:v>0.45</x:v>
      </x:c>
      <x:c r="H12" s="111" t="n">
        <x:f>Assumptions!$D$62</x:f>
        <x:v>0.45</x:v>
      </x:c>
      <x:c r="I12" s="90" t="n">
        <x:f>Assumptions!$D$65</x:f>
        <x:v>0.45</x:v>
      </x:c>
      <x:c r="J12" s="90" t="n">
        <x:f>Assumptions!$D$68</x:f>
        <x:v>0.4</x:v>
      </x:c>
      <x:c r="K12" s="90" t="n">
        <x:f>Assumptions!$D$150</x:f>
        <x:v>0.32</x:v>
      </x:c>
      <x:c r="L12" s="90" t="n">
        <x:f>Assumptions!$D$153</x:f>
        <x:v>0.25</x:v>
      </x:c>
      <x:c r="N12" s="111" t="n">
        <x:f>Assumptions!$E$62</x:f>
        <x:v>0.5</x:v>
      </x:c>
      <x:c r="O12" s="90" t="n">
        <x:f>Assumptions!$E$65</x:f>
        <x:v>0.45</x:v>
      </x:c>
      <x:c r="P12" s="90" t="n">
        <x:f>Assumptions!$E$68</x:f>
        <x:v>0.3</x:v>
      </x:c>
      <x:c r="Q12" s="90" t="n">
        <x:f>Assumptions!$E$150</x:f>
        <x:v>0.23</x:v>
      </x:c>
      <x:c r="R12" s="90" t="n">
        <x:f>Assumptions!$E$153</x:f>
        <x:v>0.17</x:v>
      </x:c>
    </x:row>
    <x:row r="13" ht="15" customHeight="1">
      <x:c r="A13" s="12" t="s">
        <x:v>537</x:v>
      </x:c>
      <x:c r="B13" s="90" t="n">
        <x:f>Assumptions!$C$63</x:f>
        <x:v>0.7</x:v>
      </x:c>
      <x:c r="C13" s="90" t="n">
        <x:f>Assumptions!$C$66</x:f>
        <x:v>0.55</x:v>
      </x:c>
      <x:c r="D13" s="90" t="n">
        <x:f>Assumptions!$C$69</x:f>
        <x:v>0.4</x:v>
      </x:c>
      <x:c r="E13" s="90" t="n">
        <x:f>Assumptions!$C$151</x:f>
        <x:v>0.25</x:v>
      </x:c>
      <x:c r="F13" s="90" t="n">
        <x:f>Assumptions!$C$154</x:f>
        <x:v>0.15</x:v>
      </x:c>
      <x:c r="H13" s="111" t="n">
        <x:f>Assumptions!$D$63</x:f>
        <x:v>0.4</x:v>
      </x:c>
      <x:c r="I13" s="90" t="n">
        <x:f>Assumptions!$D$66</x:f>
        <x:v>0.25</x:v>
      </x:c>
      <x:c r="J13" s="90" t="n">
        <x:f>Assumptions!$D$69</x:f>
        <x:v>0.15</x:v>
      </x:c>
      <x:c r="K13" s="90" t="n">
        <x:f>Assumptions!$D$151</x:f>
        <x:v>0.08</x:v>
      </x:c>
      <x:c r="L13" s="90" t="n">
        <x:f>Assumptions!$D$154</x:f>
        <x:v>0.05</x:v>
      </x:c>
      <x:c r="N13" s="111" t="n">
        <x:f>Assumptions!$E$63</x:f>
        <x:v>0.2</x:v>
      </x:c>
      <x:c r="O13" s="90" t="n">
        <x:f>Assumptions!$E$66</x:f>
        <x:v>0.1</x:v>
      </x:c>
      <x:c r="P13" s="90" t="n">
        <x:f>Assumptions!$E$69</x:f>
        <x:v>0.05</x:v>
      </x:c>
      <x:c r="Q13" s="90" t="n">
        <x:f>Assumptions!$E$151</x:f>
        <x:v>0.02</x:v>
      </x:c>
      <x:c r="R13" s="90" t="n">
        <x:f>Assumptions!$E$154</x:f>
        <x:v>0.01</x:v>
      </x:c>
    </x:row>
    <x:row r="14" ht="15" customHeight="1">
      <x:c r="A14" s="12" t="s">
        <x:v>310</x:v>
      </x:c>
      <x:c r="B14" s="91" t="n">
        <x:f>B8*(B11*Assumptions!$F$103+B12*Assumptions!$F$104+B13*Assumptions!$F$105)</x:f>
        <x:v>7.949999999999999</x:v>
      </x:c>
      <x:c r="C14" s="91" t="n">
        <x:f>C8*(C11*Assumptions!$F$103+C12*Assumptions!$F$104+C13*Assumptions!$F$105)</x:f>
        <x:v>1837.5</x:v>
      </x:c>
      <x:c r="D14" s="91" t="n">
        <x:f>D8*(D11*Assumptions!$F$103+D12*Assumptions!$F$104+D13*Assumptions!$F$105)</x:f>
        <x:v>7920.000000000001</x:v>
      </x:c>
      <x:c r="E14" s="91" t="n">
        <x:f>E8*(E11*Assumptions!$F$103+E12*Assumptions!$F$104+E13*Assumptions!$F$105)</x:f>
        <x:v>10530</x:v>
      </x:c>
      <x:c r="F14" s="91" t="n">
        <x:f>F8*(F11*Assumptions!$F$103+F12*Assumptions!$F$104+F13*Assumptions!$F$105)</x:f>
        <x:v>31500</x:v>
      </x:c>
      <x:c r="H14" s="109" t="n">
        <x:f>H8*(H11*Assumptions!$F$103+H12*Assumptions!$F$104+H13*Assumptions!$F$105)</x:f>
        <x:v>20.25</x:v>
      </x:c>
      <x:c r="I14" s="91" t="n">
        <x:f>I8*(I11*Assumptions!$F$103+I12*Assumptions!$F$104+I13*Assumptions!$F$105)</x:f>
        <x:v>2925</x:v>
      </x:c>
      <x:c r="J14" s="91" t="n">
        <x:f>J8*(J11*Assumptions!$F$103+J12*Assumptions!$F$104+J13*Assumptions!$F$105)</x:f>
        <x:v>10200.000000000002</x:v>
      </x:c>
      <x:c r="K14" s="91" t="n">
        <x:f>K8*(K11*Assumptions!$F$103+K12*Assumptions!$F$104+K13*Assumptions!$F$105)</x:f>
        <x:v>66599.99999999999</x:v>
      </x:c>
      <x:c r="L14" s="91" t="n">
        <x:f>L8*(L11*Assumptions!$F$103+L12*Assumptions!$F$104+L13*Assumptions!$F$105)</x:f>
        <x:v>121500</x:v>
      </x:c>
      <x:c r="N14" s="109" t="n">
        <x:f>N8*(N11*Assumptions!$F$103+N12*Assumptions!$F$104+N13*Assumptions!$F$105)</x:f>
        <x:v>51.300000000000004</x:v>
      </x:c>
      <x:c r="O14" s="91" t="n">
        <x:f>O8*(O11*Assumptions!$F$103+O12*Assumptions!$F$104+O13*Assumptions!$F$105)</x:f>
        <x:v>4950.000000000001</x:v>
      </x:c>
      <x:c r="P14" s="91" t="n">
        <x:f>P8*(P11*Assumptions!$F$103+P12*Assumptions!$F$104+P13*Assumptions!$F$105)</x:f>
        <x:v>13440</x:v>
      </x:c>
      <x:c r="Q14" s="91" t="n">
        <x:f>Q8*(Q11*Assumptions!$F$103+Q12*Assumptions!$F$104+Q13*Assumptions!$F$105)</x:f>
        <x:v>121920</x:v>
      </x:c>
      <x:c r="R14" s="91" t="n">
        <x:f>R8*(R11*Assumptions!$F$103+R12*Assumptions!$F$104+R13*Assumptions!$F$105)</x:f>
        <x:v>249900</x:v>
      </x:c>
    </x:row>
    <x:row r="15" ht="15" customHeight="1">
      <x:c r="A15" s="12" t="s">
        <x:v>350</x:v>
      </x:c>
      <x:c r="B15" s="91" t="n">
        <x:f>B8*Assumptions!$F$13*Assumptions!$F$59</x:f>
        <x:v>1</x:v>
      </x:c>
      <x:c r="C15" s="91" t="n">
        <x:f>C8*Assumptions!$F$13*Assumptions!$F$59</x:f>
        <x:v>250</x:v>
      </x:c>
      <x:c r="D15" s="91" t="n">
        <x:f>D8*Assumptions!$F$13*Assumptions!$F$59</x:f>
        <x:v>1200</x:v>
      </x:c>
      <x:c r="E15" s="91" t="n">
        <x:f>E8*Assumptions!$F$13*Assumptions!$F$59</x:f>
        <x:v>1800</x:v>
      </x:c>
      <x:c r="F15" s="91" t="n">
        <x:f>F8*Assumptions!$F$13*Assumptions!$F$59</x:f>
        <x:v>6000</x:v>
      </x:c>
      <x:c r="H15" s="109" t="n">
        <x:f>H8*Assumptions!$F$13*Assumptions!$F$59</x:f>
        <x:v>3</x:v>
      </x:c>
      <x:c r="I15" s="91" t="n">
        <x:f>I8*Assumptions!$F$13*Assumptions!$F$59</x:f>
        <x:v>500</x:v>
      </x:c>
      <x:c r="J15" s="91" t="n">
        <x:f>J8*Assumptions!$F$13*Assumptions!$F$59</x:f>
        <x:v>2000</x:v>
      </x:c>
      <x:c r="K15" s="91" t="n">
        <x:f>K8*Assumptions!$F$13*Assumptions!$F$59</x:f>
        <x:v>15000</x:v>
      </x:c>
      <x:c r="L15" s="91" t="n">
        <x:f>L8*Assumptions!$F$13*Assumptions!$F$59</x:f>
        <x:v>30000</x:v>
      </x:c>
      <x:c r="N15" s="109" t="n">
        <x:f>N8*Assumptions!$F$13*Assumptions!$F$59</x:f>
        <x:v>9</x:v>
      </x:c>
      <x:c r="O15" s="91" t="n">
        <x:f>O8*Assumptions!$F$13*Assumptions!$F$59</x:f>
        <x:v>1000</x:v>
      </x:c>
      <x:c r="P15" s="91" t="n">
        <x:f>P8*Assumptions!$F$13*Assumptions!$F$59</x:f>
        <x:v>3200</x:v>
      </x:c>
      <x:c r="Q15" s="91" t="n">
        <x:f>Q8*Assumptions!$F$13*Assumptions!$F$59</x:f>
        <x:v>32000</x:v>
      </x:c>
      <x:c r="R15" s="91" t="n">
        <x:f>R8*Assumptions!$F$13*Assumptions!$F$59</x:f>
        <x:v>70000</x:v>
      </x:c>
    </x:row>
    <x:row r="16" ht="15" customHeight="1">
      <x:c r="A16" s="12" t="s">
        <x:v>538</x:v>
      </x:c>
      <x:c r="B16" s="91" t="n">
        <x:f>B8*(B11*Assumptions!$F$91+B12*Assumptions!$F$92+B13*Assumptions!$F$93)</x:f>
        <x:v>0.16699999999999998</x:v>
      </x:c>
      <x:c r="C16" s="91" t="n">
        <x:f>C8*(C11*Assumptions!$F$91+C12*Assumptions!$F$92+C13*Assumptions!$F$93)</x:f>
        <x:v>37.25000000000001</x:v>
      </x:c>
      <x:c r="D16" s="91" t="n">
        <x:f>D8*(D11*Assumptions!$F$91+D12*Assumptions!$F$92+D13*Assumptions!$F$93)</x:f>
        <x:v>153.60000000000002</x:v>
      </x:c>
      <x:c r="E16" s="91" t="n">
        <x:f>E8*(E11*Assumptions!$F$91+E12*Assumptions!$F$92+E13*Assumptions!$F$93)</x:f>
        <x:v>192.60000000000002</x:v>
      </x:c>
      <x:c r="F16" s="91" t="n">
        <x:f>F8*(F11*Assumptions!$F$91+F12*Assumptions!$F$92+F13*Assumptions!$F$93)</x:f>
        <x:v>546</x:v>
      </x:c>
      <x:c r="H16" s="109" t="n">
        <x:f>H8*(H11*Assumptions!$F$91+H12*Assumptions!$F$92+H13*Assumptions!$F$93)</x:f>
        <x:v>0.393</x:v>
      </x:c>
      <x:c r="I16" s="91" t="n">
        <x:f>I8*(I11*Assumptions!$F$91+I12*Assumptions!$F$92+I13*Assumptions!$F$93)</x:f>
        <x:v>53.50000000000001</x:v>
      </x:c>
      <x:c r="J16" s="91" t="n">
        <x:f>J8*(J11*Assumptions!$F$91+J12*Assumptions!$F$92+J13*Assumptions!$F$93)</x:f>
        <x:v>176.00000000000003</x:v>
      </x:c>
      <x:c r="K16" s="91" t="n">
        <x:f>K8*(K11*Assumptions!$F$91+K12*Assumptions!$F$92+K13*Assumptions!$F$93)</x:f>
        <x:v>1080.0000000000002</x:v>
      </x:c>
      <x:c r="L16" s="91" t="n">
        <x:f>L8*(L11*Assumptions!$F$91+L12*Assumptions!$F$92+L13*Assumptions!$F$93)</x:f>
        <x:v>1890</x:v>
      </x:c>
      <x:c r="N16" s="109" t="n">
        <x:f>N8*(N11*Assumptions!$F$91+N12*Assumptions!$F$92+N13*Assumptions!$F$93)</x:f>
        <x:v>0.918</x:v>
      </x:c>
      <x:c r="O16" s="91" t="n">
        <x:f>O8*(O11*Assumptions!$F$91+O12*Assumptions!$F$92+O13*Assumptions!$F$93)</x:f>
        <x:v>83</x:v>
      </x:c>
      <x:c r="P16" s="91" t="n">
        <x:f>P8*(P11*Assumptions!$F$91+P12*Assumptions!$F$92+P13*Assumptions!$F$93)</x:f>
        <x:v>211.20000000000002</x:v>
      </x:c>
      <x:c r="Q16" s="91" t="n">
        <x:f>Q8*(Q11*Assumptions!$F$91+Q12*Assumptions!$F$92+Q13*Assumptions!$F$93)</x:f>
        <x:v>1824.0000000000002</x:v>
      </x:c>
      <x:c r="R16" s="91" t="n">
        <x:f>R8*(R11*Assumptions!$F$91+R12*Assumptions!$F$92+R13*Assumptions!$F$93)</x:f>
        <x:v>3626</x:v>
      </x:c>
    </x:row>
    <x:row r="17" ht="8.100000381469727" customHeight="1"/>
    <x:row r="18" ht="18.950000762939453" customHeight="1">
      <x:c r="A18" s="5" t="s">
        <x:v>354</x:v>
      </x:c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</x:row>
    <x:row r="19" ht="15" customHeight="1">
      <x:c r="A19" s="12" t="s">
        <x:v>539</x:v>
      </x:c>
      <x:c r="B19" s="67" t="n">
        <x:f>B8*(B11*MAX('Tier Economics'!$B$8*Assumptions!$F$70,Assumptions!$F$73)+B12*MAX('Tier Economics'!$C$8*Assumptions!$F$71,Assumptions!$F$74)+B13*MAX('Tier Economics'!$D$8*Assumptions!$F$72,Assumptions!$F$75))</x:f>
        <x:v>756.5</x:v>
      </x:c>
      <x:c r="C19" s="67" t="n">
        <x:f>C8*(C11*MAX('Tier Economics'!$F$8*Assumptions!$F$70,Assumptions!$F$73)+C12*MAX('Tier Economics'!$G$8*Assumptions!$F$71,Assumptions!$F$74)+C13*MAX('Tier Economics'!$H$8*Assumptions!$F$72,Assumptions!$F$75))</x:f>
        <x:v>180162.50000000003</x:v>
      </x:c>
      <x:c r="D19" s="67" t="n">
        <x:f>D8*(D11*MAX('Tier Economics'!$J$8*Assumptions!$F$70,Assumptions!$F$73)+D12*MAX('Tier Economics'!$K$8*Assumptions!$F$71,Assumptions!$F$74)+D13*MAX('Tier Economics'!$L$8*Assumptions!$F$72,Assumptions!$F$75))</x:f>
        <x:v>809534.4000000001</x:v>
      </x:c>
      <x:c r="E19" s="67" t="n">
        <x:f>E8*(E11*MAX('Tier Economics'!$N$8*Assumptions!$F$70,Assumptions!$F$73)+E12*MAX('Tier Economics'!$O$8*Assumptions!$F$71,Assumptions!$F$74)+E13*MAX('Tier Economics'!$P$8*Assumptions!$F$72,Assumptions!$F$75))</x:f>
        <x:v>1129250.3490000002</x:v>
      </x:c>
      <x:c r="F19" s="67" t="n">
        <x:f>F8*(F11*MAX('Tier Economics'!$R$8*Assumptions!$F$70,Assumptions!$F$73)+F12*MAX('Tier Economics'!$S$8*Assumptions!$F$71,Assumptions!$F$74)+F13*MAX('Tier Economics'!$T$8*Assumptions!$F$72,Assumptions!$F$75))</x:f>
        <x:v>3621429.3489000006</x:v>
      </x:c>
      <x:c r="H19" s="110" t="n">
        <x:f>H8*(H11*MAX('Tier Economics'!$B$8*Assumptions!$F$70,Assumptions!$F$73)+H12*MAX('Tier Economics'!$C$8*Assumptions!$F$71,Assumptions!$F$74)+H13*MAX('Tier Economics'!$D$8*Assumptions!$F$72,Assumptions!$F$75))</x:f>
        <x:v>1813.5</x:v>
      </x:c>
      <x:c r="I19" s="67" t="n">
        <x:f>I8*(I11*MAX('Tier Economics'!$F$8*Assumptions!$F$70,Assumptions!$F$73)+I12*MAX('Tier Economics'!$G$8*Assumptions!$F$71,Assumptions!$F$74)+I13*MAX('Tier Economics'!$H$8*Assumptions!$F$72,Assumptions!$F$75))</x:f>
        <x:v>273675</x:v>
      </x:c>
      <x:c r="J19" s="67" t="n">
        <x:f>J8*(J11*MAX('Tier Economics'!$J$8*Assumptions!$F$70,Assumptions!$F$73)+J12*MAX('Tier Economics'!$K$8*Assumptions!$F$71,Assumptions!$F$74)+J13*MAX('Tier Economics'!$L$8*Assumptions!$F$72,Assumptions!$F$75))</x:f>
        <x:v>1022499</x:v>
      </x:c>
      <x:c r="K19" s="67" t="n">
        <x:f>K8*(K11*MAX('Tier Economics'!$N$8*Assumptions!$F$70,Assumptions!$F$73)+K12*MAX('Tier Economics'!$O$8*Assumptions!$F$71,Assumptions!$F$74)+K13*MAX('Tier Economics'!$P$8*Assumptions!$F$72,Assumptions!$F$75))</x:f>
        <x:v>7325332.920000003</x:v>
      </x:c>
      <x:c r="L19" s="67" t="n">
        <x:f>L8*(L11*MAX('Tier Economics'!$R$8*Assumptions!$F$70,Assumptions!$F$73)+L12*MAX('Tier Economics'!$S$8*Assumptions!$F$71,Assumptions!$F$74)+L13*MAX('Tier Economics'!$T$8*Assumptions!$F$72,Assumptions!$F$75))</x:f>
        <x:v>14841491.677500004</x:v>
      </x:c>
      <x:c r="N19" s="110" t="n">
        <x:f>N8*(N11*MAX('Tier Economics'!$B$8*Assumptions!$F$70,Assumptions!$F$73)+N12*MAX('Tier Economics'!$C$8*Assumptions!$F$71,Assumptions!$F$74)+N13*MAX('Tier Economics'!$D$8*Assumptions!$F$72,Assumptions!$F$75))</x:f>
        <x:v>4401</x:v>
      </x:c>
      <x:c r="O19" s="67" t="n">
        <x:f>O8*(O11*MAX('Tier Economics'!$F$8*Assumptions!$F$70,Assumptions!$F$73)+O12*MAX('Tier Economics'!$G$8*Assumptions!$F$71,Assumptions!$F$74)+O13*MAX('Tier Economics'!$H$8*Assumptions!$F$72,Assumptions!$F$75))</x:f>
        <x:v>451800</x:v>
      </x:c>
      <x:c r="P19" s="67" t="n">
        <x:f>P8*(P11*MAX('Tier Economics'!$J$8*Assumptions!$F$70,Assumptions!$F$73)+P12*MAX('Tier Economics'!$K$8*Assumptions!$F$71,Assumptions!$F$74)+P13*MAX('Tier Economics'!$L$8*Assumptions!$F$72,Assumptions!$F$75))</x:f>
        <x:v>1367348.8000000003</x:v>
      </x:c>
      <x:c r="Q19" s="67" t="n">
        <x:f>Q8*(Q11*MAX('Tier Economics'!$N$8*Assumptions!$F$70,Assumptions!$F$73)+Q12*MAX('Tier Economics'!$O$8*Assumptions!$F$71,Assumptions!$F$74)+Q13*MAX('Tier Economics'!$P$8*Assumptions!$F$72,Assumptions!$F$75))</x:f>
        <x:v>13783278.144000003</x:v>
      </x:c>
      <x:c r="R19" s="67" t="n">
        <x:f>R8*(R11*MAX('Tier Economics'!$R$8*Assumptions!$F$70,Assumptions!$F$73)+R12*MAX('Tier Economics'!$S$8*Assumptions!$F$71,Assumptions!$F$74)+R13*MAX('Tier Economics'!$T$8*Assumptions!$F$72,Assumptions!$F$75))</x:f>
        <x:v>31582202.518300008</x:v>
      </x:c>
    </x:row>
    <x:row r="20" ht="15" customHeight="1">
      <x:c r="A20" s="12" t="s">
        <x:v>540</x:v>
      </x:c>
      <x:c r="B20" s="67" t="n">
        <x:f>B8*(B11*Assumptions!$F$76+B12*Assumptions!$F$77+B13*Assumptions!$F$78)</x:f>
        <x:v>233.75</x:v>
      </x:c>
      <x:c r="C20" s="67" t="n">
        <x:f>C8*(C11*Assumptions!$F$76+C12*Assumptions!$F$77+C13*Assumptions!$F$78)</x:f>
        <x:v>49750</x:v>
      </x:c>
      <x:c r="D20" s="67" t="n">
        <x:f>D8*(D11*Assumptions!$F$76+D12*Assumptions!$F$77+D13*Assumptions!$F$78)</x:f>
        <x:v>193200</x:v>
      </x:c>
      <x:c r="E20" s="67" t="n">
        <x:f>E8*(E11*Assumptions!$F$76+E12*Assumptions!$F$77+E13*Assumptions!$F$78)</x:f>
        <x:v>221400</x:v>
      </x:c>
      <x:c r="F20" s="67" t="n">
        <x:f>F8*(F11*Assumptions!$F$76+F12*Assumptions!$F$77+F13*Assumptions!$F$78)</x:f>
        <x:v>573000</x:v>
      </x:c>
      <x:c r="H20" s="110" t="n">
        <x:f>H8*(H11*Assumptions!$F$76+H12*Assumptions!$F$77+H13*Assumptions!$F$78)</x:f>
        <x:v>492.75</x:v>
      </x:c>
      <x:c r="I20" s="67" t="n">
        <x:f>I8*(I11*Assumptions!$F$76+I12*Assumptions!$F$77+I13*Assumptions!$F$78)</x:f>
        <x:v>61500</x:v>
      </x:c>
      <x:c r="J20" s="67" t="n">
        <x:f>J8*(J11*Assumptions!$F$76+J12*Assumptions!$F$77+J13*Assumptions!$F$78)</x:f>
        <x:v>184500</x:v>
      </x:c>
      <x:c r="K20" s="67" t="n">
        <x:f>K8*(K11*Assumptions!$F$76+K12*Assumptions!$F$77+K13*Assumptions!$F$78)</x:f>
        <x:v>1017000</x:v>
      </x:c>
      <x:c r="L20" s="67" t="n">
        <x:f>L8*(L11*Assumptions!$F$76+L12*Assumptions!$F$77+L13*Assumptions!$F$78)</x:f>
        <x:v>1650000</x:v>
      </x:c>
      <x:c r="N20" s="110" t="n">
        <x:f>N8*(N11*Assumptions!$F$76+N12*Assumptions!$F$77+N13*Assumptions!$F$78)</x:f>
        <x:v>1012.5</x:v>
      </x:c>
      <x:c r="O20" s="67" t="n">
        <x:f>O8*(O11*Assumptions!$F$76+O12*Assumptions!$F$77+O13*Assumptions!$F$78)</x:f>
        <x:v>81750</x:v>
      </x:c>
      <x:c r="P20" s="67" t="n">
        <x:f>P8*(P11*Assumptions!$F$76+P12*Assumptions!$F$77+P13*Assumptions!$F$78)</x:f>
        <x:v>186400</x:v>
      </x:c>
      <x:c r="Q20" s="67" t="n">
        <x:f>Q8*(Q11*Assumptions!$F$76+Q12*Assumptions!$F$77+Q13*Assumptions!$F$78)</x:f>
        <x:v>1454400</x:v>
      </x:c>
      <x:c r="R20" s="67" t="n">
        <x:f>R8*(R11*Assumptions!$F$76+R12*Assumptions!$F$77+R13*Assumptions!$F$78)</x:f>
        <x:v>2716000</x:v>
      </x:c>
    </x:row>
    <x:row r="21" ht="15" customHeight="1">
      <x:c r="A21" s="12" t="s">
        <x:v>541</x:v>
      </x:c>
      <x:c r="B21" s="67" t="n">
        <x:f>B8*(B11*Assumptions!$F$91*Assumptions!$F$79+B12*Assumptions!$F$92*Assumptions!$F$80+B13*Assumptions!$F$93*Assumptions!$F$81)</x:f>
        <x:v>75.19999999999999</x:v>
      </x:c>
      <x:c r="C21" s="67" t="n">
        <x:f>C8*(C11*Assumptions!$F$91*Assumptions!$F$79+C12*Assumptions!$F$92*Assumptions!$F$80+C13*Assumptions!$F$93*Assumptions!$F$81)</x:f>
        <x:v>15600.000000000002</x:v>
      </x:c>
      <x:c r="D21" s="67" t="n">
        <x:f>D8*(D11*Assumptions!$F$91*Assumptions!$F$79+D12*Assumptions!$F$92*Assumptions!$F$80+D13*Assumptions!$F$93*Assumptions!$F$81)</x:f>
        <x:v>58560.000000000015</x:v>
      </x:c>
      <x:c r="E21" s="67" t="n">
        <x:f>E8*(E11*Assumptions!$F$91*Assumptions!$F$79+E12*Assumptions!$F$92*Assumptions!$F$80+E13*Assumptions!$F$93*Assumptions!$F$81)</x:f>
        <x:v>63360.00000000001</x:v>
      </x:c>
      <x:c r="F21" s="67" t="n">
        <x:f>F8*(F11*Assumptions!$F$91*Assumptions!$F$79+F12*Assumptions!$F$92*Assumptions!$F$80+F13*Assumptions!$F$93*Assumptions!$F$81)</x:f>
        <x:v>153600</x:v>
      </x:c>
      <x:c r="H21" s="110" t="n">
        <x:f>H8*(H11*Assumptions!$F$91*Assumptions!$F$79+H12*Assumptions!$F$92*Assumptions!$F$80+H13*Assumptions!$F$93*Assumptions!$F$81)</x:f>
        <x:v>148.8</x:v>
      </x:c>
      <x:c r="I21" s="67" t="n">
        <x:f>I8*(I11*Assumptions!$F$91*Assumptions!$F$79+I12*Assumptions!$F$92*Assumptions!$F$80+I13*Assumptions!$F$93*Assumptions!$F$81)</x:f>
        <x:v>17600</x:v>
      </x:c>
      <x:c r="J21" s="67" t="n">
        <x:f>J8*(J11*Assumptions!$F$91*Assumptions!$F$79+J12*Assumptions!$F$92*Assumptions!$F$80+J13*Assumptions!$F$93*Assumptions!$F$81)</x:f>
        <x:v>49600.00000000001</x:v>
      </x:c>
      <x:c r="K21" s="67" t="n">
        <x:f>K8*(K11*Assumptions!$F$91*Assumptions!$F$79+K12*Assumptions!$F$92*Assumptions!$F$80+K13*Assumptions!$F$93*Assumptions!$F$81)</x:f>
        <x:v>252000</x:v>
      </x:c>
      <x:c r="L21" s="67" t="n">
        <x:f>L8*(L11*Assumptions!$F$91*Assumptions!$F$79+L12*Assumptions!$F$92*Assumptions!$F$80+L13*Assumptions!$F$93*Assumptions!$F$81)</x:f>
        <x:v>384000</x:v>
      </x:c>
      <x:c r="N21" s="110" t="n">
        <x:f>N8*(N11*Assumptions!$F$91*Assumptions!$F$79+N12*Assumptions!$F$92*Assumptions!$F$80+N13*Assumptions!$F$93*Assumptions!$F$81)</x:f>
        <x:v>280.8</x:v>
      </x:c>
      <x:c r="O21" s="67" t="n">
        <x:f>O8*(O11*Assumptions!$F$91*Assumptions!$F$79+O12*Assumptions!$F$92*Assumptions!$F$80+O13*Assumptions!$F$93*Assumptions!$F$81)</x:f>
        <x:v>20800.000000000004</x:v>
      </x:c>
      <x:c r="P21" s="67" t="n">
        <x:f>P8*(P11*Assumptions!$F$91*Assumptions!$F$79+P12*Assumptions!$F$92*Assumptions!$F$80+P13*Assumptions!$F$93*Assumptions!$F$81)</x:f>
        <x:v>43520.00000000001</x:v>
      </x:c>
      <x:c r="Q21" s="67" t="n">
        <x:f>Q8*(Q11*Assumptions!$F$91*Assumptions!$F$79+Q12*Assumptions!$F$92*Assumptions!$F$80+Q13*Assumptions!$F$93*Assumptions!$F$81)</x:f>
        <x:v>307200.00000000006</x:v>
      </x:c>
      <x:c r="R21" s="67" t="n">
        <x:f>R8*(R11*Assumptions!$F$91*Assumptions!$F$79+R12*Assumptions!$F$92*Assumptions!$F$80+R13*Assumptions!$F$93*Assumptions!$F$81)</x:f>
        <x:v>537600</x:v>
      </x:c>
    </x:row>
    <x:row r="22" ht="15" customHeight="1">
      <x:c r="A22" s="12" t="s">
        <x:v>542</x:v>
      </x:c>
      <x:c r="B22" s="67" t="n">
        <x:f>IFERROR(ROUND(-B62*(B19/B8)*Assumptions!$F$112,0),0)</x:f>
        <x:v>-252</x:v>
      </x:c>
      <x:c r="C22" s="67" t="n">
        <x:f>IFERROR(ROUND(-MAX(0,C62-B62)*(C19/C8)*Assumptions!$F$112,0),0)</x:f>
        <x:v>-44800</x:v>
      </x:c>
      <x:c r="D22" s="67" t="n">
        <x:f>IFERROR(ROUND(-MAX(0,D62-C62)*(D19/D8)*Assumptions!$F$112,0),0)</x:f>
        <x:v>-119744</x:v>
      </x:c>
      <x:c r="E22" s="67" t="n">
        <x:f>IFERROR(ROUND(-MAX(0,E62-D62)*(E19/E8)*Assumptions!$F$112,0),0)</x:f>
        <x:v>-37642</x:v>
      </x:c>
      <x:c r="F22" s="67" t="n">
        <x:f>IFERROR(ROUND(-MAX(0,F62-E62)*(F19/F8)*Assumptions!$F$112,0),0)</x:f>
        <x:v>-271607</x:v>
      </x:c>
      <x:c r="H22" s="110" t="n">
        <x:f>IFERROR(ROUND(-H62*(H19/H8)*Assumptions!$F$112,0),0)</x:f>
        <x:v>-302</x:v>
      </x:c>
      <x:c r="I22" s="67" t="n">
        <x:f>IFERROR(ROUND(-MAX(0,I62-H62)*(I19/I8)*Assumptions!$F$112,0),0)</x:f>
        <x:v>-33936</x:v>
      </x:c>
      <x:c r="J22" s="67" t="n">
        <x:f>IFERROR(ROUND(-MAX(0,J62-I62)*(J19/J8)*Assumptions!$F$112,0),0)</x:f>
        <x:v>-53255</x:v>
      </x:c>
      <x:c r="K22" s="67" t="n">
        <x:f>IFERROR(ROUND(-MAX(0,K62-J62)*(K19/K8)*Assumptions!$F$112,0),0)</x:f>
        <x:v>-376441</x:v>
      </x:c>
      <x:c r="L22" s="67" t="n">
        <x:f>IFERROR(ROUND(-MAX(0,L62-K62)*(L19/L8)*Assumptions!$F$112,0),0)</x:f>
        <x:v>-278278</x:v>
      </x:c>
      <x:c r="N22" s="110" t="n">
        <x:f>IFERROR(ROUND(-N62*(N19/N8)*Assumptions!$F$112,0),0)</x:f>
        <x:v>-440</x:v>
      </x:c>
      <x:c r="O22" s="67" t="n">
        <x:f>IFERROR(ROUND(-MAX(0,O62-N62)*(O19/O8)*Assumptions!$F$112,0),0)</x:f>
        <x:v>-37243</x:v>
      </x:c>
      <x:c r="P22" s="67" t="n">
        <x:f>IFERROR(ROUND(-MAX(0,P62-O62)*(P19/P8)*Assumptions!$F$112,0),0)</x:f>
        <x:v>-32759</x:v>
      </x:c>
      <x:c r="Q22" s="67" t="n">
        <x:f>IFERROR(ROUND(-MAX(0,Q62-P62)*(Q19/Q8)*Assumptions!$F$112,0),0)</x:f>
        <x:v>-505387</x:v>
      </x:c>
      <x:c r="R22" s="67" t="n">
        <x:f>IFERROR(ROUND(-MAX(0,R62-Q62)*(R19/R8)*Assumptions!$F$112,0),0)</x:f>
        <x:v>-451174</x:v>
      </x:c>
    </x:row>
    <x:row r="23" ht="15" customHeight="1">
      <x:c r="A23" s="12" t="str">
        <x:v>Partner / API and ancillary services</x:v>
      </x:c>
      <x:c r="B23" s="67" t="n">
        <x:f>(ROUND(B8*B12*Assumptions!$F$113*Assumptions!$F$115+B8*B13*Assumptions!$F$114*Assumptions!$F$116,0))+(ROUND(B15*Assumptions!$F$117,0))+(ROUND(B8*B13*Assumptions!$F$84*Assumptions!$F$118,0))+(ROUND(B8*B13*Assumptions!$F$119,0))+(ROUND(B16*Assumptions!$F$121*Assumptions!$F$120,0))+(0)+(ROUND(B8*Assumptions!$F$124,0))</x:f>
        <x:v>148</x:v>
      </x:c>
      <x:c r="C23" s="67" t="n">
        <x:f>(ROUND(C8*C12*Assumptions!$F$113*Assumptions!$F$115+C8*C13*Assumptions!$F$114*Assumptions!$F$116,0))+(ROUND(C15*Assumptions!$F$117,0))+(ROUND(C8*C13*Assumptions!$F$84*Assumptions!$F$118,0))+(ROUND(C8*C13*Assumptions!$F$119,0))+(ROUND(C16*Assumptions!$F$121*Assumptions!$F$120,0))+(ROUND(Assumptions!$C$14*Assumptions!$F$122,0)+ROUND(Assumptions!$C$14*Assumptions!$F$123*12,0))+(ROUND(C8*Assumptions!$F$124,0))</x:f>
        <x:v>30736</x:v>
      </x:c>
      <x:c r="D23" s="67" t="n">
        <x:f>(ROUND(D8*D12*Assumptions!$F$113*Assumptions!$F$115+D8*D13*Assumptions!$F$114*Assumptions!$F$116,0))+(ROUND(D15*Assumptions!$F$117,0))+(ROUND(D8*D13*Assumptions!$F$84*Assumptions!$F$118,0))+(ROUND(D8*D13*Assumptions!$F$119,0))+(ROUND(D16*Assumptions!$F$121*Assumptions!$F$120,0))+(ROUND(MAX(0,Assumptions!$C$110-Assumptions!$C$14)*Assumptions!$F$122,0)+ROUND(Assumptions!$C$110*Assumptions!$F$123*12,0))+(ROUND(D8*Assumptions!$F$124,0))</x:f>
        <x:v>117216</x:v>
      </x:c>
      <x:c r="E23" s="67" t="n">
        <x:f>(ROUND(E8*E12*Assumptions!$F$113*Assumptions!$F$115+E8*E13*Assumptions!$F$114*Assumptions!$F$116,0))+(ROUND(E15*Assumptions!$F$117,0))+(ROUND(E8*E13*Assumptions!$F$84*Assumptions!$F$118,0))+(ROUND(E8*E13*Assumptions!$F$119,0))+(ROUND(E16*Assumptions!$F$121*Assumptions!$F$120,0))+(ROUND(MAX(0,Assumptions!$C$155-Assumptions!$C$110)*Assumptions!$F$122,0)+ROUND(Assumptions!$C$155*Assumptions!$F$123*12,0))+(ROUND(E8*Assumptions!$F$124,0))</x:f>
        <x:v>146856</x:v>
      </x:c>
      <x:c r="F23" s="67" t="n">
        <x:f>(ROUND(F8*F12*Assumptions!$F$113*Assumptions!$F$115+F8*F13*Assumptions!$F$114*Assumptions!$F$116,0))+(ROUND(F15*Assumptions!$F$117,0))+(ROUND(F8*F13*Assumptions!$F$84*Assumptions!$F$118,0))+(ROUND(F8*F13*Assumptions!$F$119,0))+(ROUND(F16*Assumptions!$F$121*Assumptions!$F$120,0))+(ROUND(MAX(0,Assumptions!$C$156-Assumptions!$C$155)*Assumptions!$F$122,0)+ROUND(Assumptions!$C$156*Assumptions!$F$123*12,0))+(ROUND(F8*Assumptions!$F$124,0))</x:f>
        <x:v>371760</x:v>
      </x:c>
      <x:c r="G23"/>
      <x:c r="H23" s="110" t="n">
        <x:f>(ROUND(H8*H12*Assumptions!$F$113*Assumptions!$F$115+H8*H13*Assumptions!$F$114*Assumptions!$F$116,0))+(ROUND(H15*Assumptions!$F$117,0))+(ROUND(H8*H13*Assumptions!$F$84*Assumptions!$F$118,0))+(ROUND(H8*H13*Assumptions!$F$119,0))+(ROUND(H16*Assumptions!$F$121*Assumptions!$F$120,0))+(0)+(ROUND(H8*Assumptions!$F$124,0))</x:f>
        <x:v>296</x:v>
      </x:c>
      <x:c r="I23" s="67" t="n">
        <x:f>(ROUND(I8*I12*Assumptions!$F$113*Assumptions!$F$115+I8*I13*Assumptions!$F$114*Assumptions!$F$116,0))+(ROUND(I15*Assumptions!$F$117,0))+(ROUND(I8*I13*Assumptions!$F$84*Assumptions!$F$118,0))+(ROUND(I8*I13*Assumptions!$F$119,0))+(ROUND(I16*Assumptions!$F$121*Assumptions!$F$120,0))+(ROUND(Assumptions!$D$14*Assumptions!$F$122,0)+ROUND(Assumptions!$D$14*Assumptions!$F$123*12,0))+(ROUND(I8*Assumptions!$F$124,0))</x:f>
        <x:v>85710</x:v>
      </x:c>
      <x:c r="J23" s="67" t="n">
        <x:f>(ROUND(J8*J12*Assumptions!$F$113*Assumptions!$F$115+J8*J13*Assumptions!$F$114*Assumptions!$F$116,0))+(ROUND(J15*Assumptions!$F$117,0))+(ROUND(J8*J13*Assumptions!$F$84*Assumptions!$F$118,0))+(ROUND(J8*J13*Assumptions!$F$119,0))+(ROUND(J16*Assumptions!$F$121*Assumptions!$F$120,0))+(ROUND(MAX(0,Assumptions!$D$110-Assumptions!$D$14)*Assumptions!$F$122,0)+ROUND(Assumptions!$D$110*Assumptions!$F$123*12,0))+(ROUND(J8*Assumptions!$F$124,0))</x:f>
        <x:v>184560</x:v>
      </x:c>
      <x:c r="K23" s="67" t="n">
        <x:f>(ROUND(K8*K12*Assumptions!$F$113*Assumptions!$F$115+K8*K13*Assumptions!$F$114*Assumptions!$F$116,0))+(ROUND(K15*Assumptions!$F$117,0))+(ROUND(K8*K13*Assumptions!$F$84*Assumptions!$F$118,0))+(ROUND(K8*K13*Assumptions!$F$119,0))+(ROUND(K16*Assumptions!$F$121*Assumptions!$F$120,0))+(ROUND(MAX(0,Assumptions!$D$155-Assumptions!$D$110)*Assumptions!$F$122,0)+ROUND(Assumptions!$D$155*Assumptions!$F$123*12,0))+(ROUND(K8*Assumptions!$F$124,0))</x:f>
        <x:v>724800</x:v>
      </x:c>
      <x:c r="L23" s="67" t="n">
        <x:f>(ROUND(L8*L12*Assumptions!$F$113*Assumptions!$F$115+L8*L13*Assumptions!$F$114*Assumptions!$F$116,0))+(ROUND(L15*Assumptions!$F$117,0))+(ROUND(L8*L13*Assumptions!$F$84*Assumptions!$F$118,0))+(ROUND(L8*L13*Assumptions!$F$119,0))+(ROUND(L16*Assumptions!$F$121*Assumptions!$F$120,0))+(ROUND(MAX(0,Assumptions!$D$156-Assumptions!$D$155)*Assumptions!$F$122,0)+ROUND(Assumptions!$D$156*Assumptions!$F$123*12,0))+(ROUND(L8*Assumptions!$F$124,0))</x:f>
        <x:v>1235400</x:v>
      </x:c>
      <x:c r="M23"/>
      <x:c r="N23" s="110" t="n">
        <x:f>(ROUND(N8*N12*Assumptions!$F$113*Assumptions!$F$115+N8*N13*Assumptions!$F$114*Assumptions!$F$116,0))+(ROUND(N15*Assumptions!$F$117,0))+(ROUND(N8*N13*Assumptions!$F$84*Assumptions!$F$118,0))+(ROUND(N8*N13*Assumptions!$F$119,0))+(ROUND(N16*Assumptions!$F$121*Assumptions!$F$120,0))+(0)+(ROUND(N8*Assumptions!$F$124,0))</x:f>
        <x:v>582</x:v>
      </x:c>
      <x:c r="O23" s="67" t="n">
        <x:f>(ROUND(O8*O12*Assumptions!$F$113*Assumptions!$F$115+O8*O13*Assumptions!$F$114*Assumptions!$F$116,0))+(ROUND(O15*Assumptions!$F$117,0))+(ROUND(O8*O13*Assumptions!$F$84*Assumptions!$F$118,0))+(ROUND(O8*O13*Assumptions!$F$119,0))+(ROUND(O16*Assumptions!$F$121*Assumptions!$F$120,0))+(ROUND(Assumptions!$E$14*Assumptions!$F$122,0)+ROUND(Assumptions!$E$14*Assumptions!$F$123*12,0))+(ROUND(O8*Assumptions!$F$124,0))</x:f>
        <x:v>211230</x:v>
      </x:c>
      <x:c r="P23" s="67" t="n">
        <x:f>(ROUND(P8*P12*Assumptions!$F$113*Assumptions!$F$115+P8*P13*Assumptions!$F$114*Assumptions!$F$116,0))+(ROUND(P15*Assumptions!$F$117,0))+(ROUND(P8*P13*Assumptions!$F$84*Assumptions!$F$118,0))+(ROUND(P8*P13*Assumptions!$F$119,0))+(ROUND(P16*Assumptions!$F$121*Assumptions!$F$120,0))+(ROUND(MAX(0,Assumptions!$E$110-Assumptions!$E$14)*Assumptions!$F$122,0)+ROUND(Assumptions!$E$110*Assumptions!$F$123*12,0))+(ROUND(P8*Assumptions!$F$124,0))</x:f>
        <x:v>366072</x:v>
      </x:c>
      <x:c r="Q23" s="67" t="n">
        <x:f>(ROUND(Q8*Q12*Assumptions!$F$113*Assumptions!$F$115+Q8*Q13*Assumptions!$F$114*Assumptions!$F$116,0))+(ROUND(Q15*Assumptions!$F$117,0))+(ROUND(Q8*Q13*Assumptions!$F$84*Assumptions!$F$118,0))+(ROUND(Q8*Q13*Assumptions!$F$119,0))+(ROUND(Q16*Assumptions!$F$121*Assumptions!$F$120,0))+(ROUND(MAX(0,Assumptions!$E$155-Assumptions!$E$110)*Assumptions!$F$122,0)+ROUND(Assumptions!$E$155*Assumptions!$F$123*12,0))+(ROUND(Q8*Assumptions!$F$124,0))</x:f>
        <x:v>1328940</x:v>
      </x:c>
      <x:c r="R23" s="67" t="n">
        <x:f>(ROUND(R8*R12*Assumptions!$F$113*Assumptions!$F$115+R8*R13*Assumptions!$F$114*Assumptions!$F$116,0))+(ROUND(R15*Assumptions!$F$117,0))+(ROUND(R8*R13*Assumptions!$F$84*Assumptions!$F$118,0))+(ROUND(R8*R13*Assumptions!$F$119,0))+(ROUND(R16*Assumptions!$F$121*Assumptions!$F$120,0))+(ROUND(MAX(0,Assumptions!$E$156-Assumptions!$E$155)*Assumptions!$F$122,0)+ROUND(Assumptions!$E$156*Assumptions!$F$123*12,0))+(ROUND(R8*Assumptions!$F$124,0))</x:f>
        <x:v>2499060</x:v>
      </x:c>
    </x:row>
    <x:row r="24" ht="3" customHeight="1">
      <x:c r="A24" s="242" t="s">
        <x:v>543</x:v>
      </x:c>
      <x:c r="B24" s="243" t="n">
        <x:f>ROUND(B15*Assumptions!$F$117,0)</x:f>
        <x:v>15</x:v>
      </x:c>
      <x:c r="C24" s="243" t="n">
        <x:f>ROUND(C15*Assumptions!$F$117,0)</x:f>
        <x:v>3750</x:v>
      </x:c>
      <x:c r="D24" s="243" t="n">
        <x:f>ROUND(D15*Assumptions!$F$117,0)</x:f>
        <x:v>18000</x:v>
      </x:c>
      <x:c r="E24" s="243" t="n">
        <x:f>ROUND(E15*Assumptions!$F$117,0)</x:f>
        <x:v>27000</x:v>
      </x:c>
      <x:c r="F24" s="243" t="n">
        <x:f>ROUND(F15*Assumptions!$F$117,0)</x:f>
        <x:v>90000</x:v>
      </x:c>
      <x:c r="G24" s="244"/>
      <x:c r="H24" s="245" t="n">
        <x:f>ROUND(H15*Assumptions!$F$117,0)</x:f>
        <x:v>45</x:v>
      </x:c>
      <x:c r="I24" s="243" t="n">
        <x:f>ROUND(I15*Assumptions!$F$117,0)</x:f>
        <x:v>7500</x:v>
      </x:c>
      <x:c r="J24" s="243" t="n">
        <x:f>ROUND(J15*Assumptions!$F$117,0)</x:f>
        <x:v>30000</x:v>
      </x:c>
      <x:c r="K24" s="243" t="n">
        <x:f>ROUND(K15*Assumptions!$F$117,0)</x:f>
        <x:v>225000</x:v>
      </x:c>
      <x:c r="L24" s="243" t="n">
        <x:f>ROUND(L15*Assumptions!$F$117,0)</x:f>
        <x:v>450000</x:v>
      </x:c>
      <x:c r="M24" s="244"/>
      <x:c r="N24" s="245" t="n">
        <x:f>ROUND(N15*Assumptions!$F$117,0)</x:f>
        <x:v>135</x:v>
      </x:c>
      <x:c r="O24" s="243" t="n">
        <x:f>ROUND(O15*Assumptions!$F$117,0)</x:f>
        <x:v>15000</x:v>
      </x:c>
      <x:c r="P24" s="243" t="n">
        <x:f>ROUND(P15*Assumptions!$F$117,0)</x:f>
        <x:v>48000</x:v>
      </x:c>
      <x:c r="Q24" s="243" t="n">
        <x:f>ROUND(Q15*Assumptions!$F$117,0)</x:f>
        <x:v>480000</x:v>
      </x:c>
      <x:c r="R24" s="246" t="n">
        <x:f>ROUND(R15*Assumptions!$F$117,0)</x:f>
        <x:v>1050000</x:v>
      </x:c>
    </x:row>
    <x:row r="25" ht="3" customHeight="1">
      <x:c r="A25" s="247" t="s">
        <x:v>544</x:v>
      </x:c>
      <x:c r="B25" s="248" t="n">
        <x:f>ROUND(B8*B13*Assumptions!$F$84*Assumptions!$F$118,0)</x:f>
        <x:v>21</x:v>
      </x:c>
      <x:c r="C25" s="248" t="n">
        <x:f>ROUND(C8*C13*Assumptions!$F$84*Assumptions!$F$118,0)</x:f>
        <x:v>4125</x:v>
      </x:c>
      <x:c r="D25" s="248" t="n">
        <x:f>ROUND(D8*D13*Assumptions!$F$84*Assumptions!$F$118,0)</x:f>
        <x:v>14400</x:v>
      </x:c>
      <x:c r="E25" s="248" t="n">
        <x:f>ROUND(E8*E13*Assumptions!$F$84*Assumptions!$F$118,0)</x:f>
        <x:v>13500</x:v>
      </x:c>
      <x:c r="F25" s="248" t="n">
        <x:f>ROUND(F8*F13*Assumptions!$F$84*Assumptions!$F$118,0)</x:f>
        <x:v>27000</x:v>
      </x:c>
      <x:c r="G25" s="249"/>
      <x:c r="H25" s="250" t="n">
        <x:f>ROUND(H8*H13*Assumptions!$F$84*Assumptions!$F$118,0)</x:f>
        <x:v>36</x:v>
      </x:c>
      <x:c r="I25" s="248" t="n">
        <x:f>ROUND(I8*I13*Assumptions!$F$84*Assumptions!$F$118,0)</x:f>
        <x:v>3750</x:v>
      </x:c>
      <x:c r="J25" s="248" t="n">
        <x:f>ROUND(J8*J13*Assumptions!$F$84*Assumptions!$F$118,0)</x:f>
        <x:v>9000</x:v>
      </x:c>
      <x:c r="K25" s="248" t="n">
        <x:f>ROUND(K8*K13*Assumptions!$F$84*Assumptions!$F$118,0)</x:f>
        <x:v>36000</x:v>
      </x:c>
      <x:c r="L25" s="248" t="n">
        <x:f>ROUND(L8*L13*Assumptions!$F$84*Assumptions!$F$118,0)</x:f>
        <x:v>45000</x:v>
      </x:c>
      <x:c r="M25" s="249"/>
      <x:c r="N25" s="250" t="n">
        <x:f>ROUND(N8*N13*Assumptions!$F$84*Assumptions!$F$118,0)</x:f>
        <x:v>54</x:v>
      </x:c>
      <x:c r="O25" s="248" t="n">
        <x:f>ROUND(O8*O13*Assumptions!$F$84*Assumptions!$F$118,0)</x:f>
        <x:v>3000</x:v>
      </x:c>
      <x:c r="P25" s="248" t="n">
        <x:f>ROUND(P8*P13*Assumptions!$F$84*Assumptions!$F$118,0)</x:f>
        <x:v>4800</x:v>
      </x:c>
      <x:c r="Q25" s="248" t="n">
        <x:f>ROUND(Q8*Q13*Assumptions!$F$84*Assumptions!$F$118,0)</x:f>
        <x:v>19200</x:v>
      </x:c>
      <x:c r="R25" s="251" t="n">
        <x:f>ROUND(R8*R13*Assumptions!$F$84*Assumptions!$F$118,0)</x:f>
        <x:v>21000</x:v>
      </x:c>
    </x:row>
    <x:row r="26" ht="3" customHeight="1">
      <x:c r="A26" s="247" t="s">
        <x:v>545</x:v>
      </x:c>
      <x:c r="B26" s="248" t="n">
        <x:f>ROUND(B8*B13*Assumptions!$F$119,0)</x:f>
        <x:v>53</x:v>
      </x:c>
      <x:c r="C26" s="248" t="n">
        <x:f>ROUND(C8*C13*Assumptions!$F$119,0)</x:f>
        <x:v>10313</x:v>
      </x:c>
      <x:c r="D26" s="248" t="n">
        <x:f>ROUND(D8*D13*Assumptions!$F$119,0)</x:f>
        <x:v>36000</x:v>
      </x:c>
      <x:c r="E26" s="248" t="n">
        <x:f>ROUND(E8*E13*Assumptions!$F$119,0)</x:f>
        <x:v>33750</x:v>
      </x:c>
      <x:c r="F26" s="248" t="n">
        <x:f>ROUND(F8*F13*Assumptions!$F$119,0)</x:f>
        <x:v>67500</x:v>
      </x:c>
      <x:c r="G26" s="249"/>
      <x:c r="H26" s="250" t="n">
        <x:f>ROUND(H8*H13*Assumptions!$F$119,0)</x:f>
        <x:v>90</x:v>
      </x:c>
      <x:c r="I26" s="248" t="n">
        <x:f>ROUND(I8*I13*Assumptions!$F$119,0)</x:f>
        <x:v>9375</x:v>
      </x:c>
      <x:c r="J26" s="248" t="n">
        <x:f>ROUND(J8*J13*Assumptions!$F$119,0)</x:f>
        <x:v>22500</x:v>
      </x:c>
      <x:c r="K26" s="248" t="n">
        <x:f>ROUND(K8*K13*Assumptions!$F$119,0)</x:f>
        <x:v>90000</x:v>
      </x:c>
      <x:c r="L26" s="248" t="n">
        <x:f>ROUND(L8*L13*Assumptions!$F$119,0)</x:f>
        <x:v>112500</x:v>
      </x:c>
      <x:c r="M26" s="249"/>
      <x:c r="N26" s="250" t="n">
        <x:f>ROUND(N8*N13*Assumptions!$F$119,0)</x:f>
        <x:v>135</x:v>
      </x:c>
      <x:c r="O26" s="248" t="n">
        <x:f>ROUND(O8*O13*Assumptions!$F$119,0)</x:f>
        <x:v>7500</x:v>
      </x:c>
      <x:c r="P26" s="248" t="n">
        <x:f>ROUND(P8*P13*Assumptions!$F$119,0)</x:f>
        <x:v>12000</x:v>
      </x:c>
      <x:c r="Q26" s="248" t="n">
        <x:f>ROUND(Q8*Q13*Assumptions!$F$119,0)</x:f>
        <x:v>48000</x:v>
      </x:c>
      <x:c r="R26" s="251" t="n">
        <x:f>ROUND(R8*R13*Assumptions!$F$119,0)</x:f>
        <x:v>52500</x:v>
      </x:c>
    </x:row>
    <x:row r="27" ht="3" customHeight="1">
      <x:c r="A27" s="247" t="s">
        <x:v>546</x:v>
      </x:c>
      <x:c r="B27" s="248" t="n">
        <x:f>ROUND(B16*Assumptions!$F$121*Assumptions!$F$120,0)</x:f>
        <x:v>10</x:v>
      </x:c>
      <x:c r="C27" s="248" t="n">
        <x:f>ROUND(C16*Assumptions!$F$121*Assumptions!$F$120,0)</x:f>
        <x:v>2235</x:v>
      </x:c>
      <x:c r="D27" s="248" t="n">
        <x:f>ROUND(D16*Assumptions!$F$121*Assumptions!$F$120,0)</x:f>
        <x:v>9216</x:v>
      </x:c>
      <x:c r="E27" s="248" t="n">
        <x:f>ROUND(E16*Assumptions!$F$121*Assumptions!$F$120,0)</x:f>
        <x:v>11556</x:v>
      </x:c>
      <x:c r="F27" s="248" t="n">
        <x:f>ROUND(F16*Assumptions!$F$121*Assumptions!$F$120,0)</x:f>
        <x:v>32760</x:v>
      </x:c>
      <x:c r="G27" s="249"/>
      <x:c r="H27" s="250" t="n">
        <x:f>ROUND(H16*Assumptions!$F$121*Assumptions!$F$120,0)</x:f>
        <x:v>24</x:v>
      </x:c>
      <x:c r="I27" s="248" t="n">
        <x:f>ROUND(I16*Assumptions!$F$121*Assumptions!$F$120,0)</x:f>
        <x:v>3210</x:v>
      </x:c>
      <x:c r="J27" s="248" t="n">
        <x:f>ROUND(J16*Assumptions!$F$121*Assumptions!$F$120,0)</x:f>
        <x:v>10560</x:v>
      </x:c>
      <x:c r="K27" s="248" t="n">
        <x:f>ROUND(K16*Assumptions!$F$121*Assumptions!$F$120,0)</x:f>
        <x:v>64800</x:v>
      </x:c>
      <x:c r="L27" s="248" t="n">
        <x:f>ROUND(L16*Assumptions!$F$121*Assumptions!$F$120,0)</x:f>
        <x:v>113400</x:v>
      </x:c>
      <x:c r="M27" s="249"/>
      <x:c r="N27" s="250" t="n">
        <x:f>ROUND(N16*Assumptions!$F$121*Assumptions!$F$120,0)</x:f>
        <x:v>55</x:v>
      </x:c>
      <x:c r="O27" s="248" t="n">
        <x:f>ROUND(O16*Assumptions!$F$121*Assumptions!$F$120,0)</x:f>
        <x:v>4980</x:v>
      </x:c>
      <x:c r="P27" s="248" t="n">
        <x:f>ROUND(P16*Assumptions!$F$121*Assumptions!$F$120,0)</x:f>
        <x:v>12672</x:v>
      </x:c>
      <x:c r="Q27" s="248" t="n">
        <x:f>ROUND(Q16*Assumptions!$F$121*Assumptions!$F$120,0)</x:f>
        <x:v>109440</x:v>
      </x:c>
      <x:c r="R27" s="251" t="n">
        <x:f>ROUND(R16*Assumptions!$F$121*Assumptions!$F$120,0)</x:f>
        <x:v>217560</x:v>
      </x:c>
    </x:row>
    <x:row r="28" ht="3" customHeight="1">
      <x:c r="A28" s="247" t="s">
        <x:v>547</x:v>
      </x:c>
      <x:c r="B28" s="248" t="n">
        <x:f>0</x:f>
        <x:v>0</x:v>
      </x:c>
      <x:c r="C28" s="248" t="n">
        <x:f>ROUND(Assumptions!$C$14*Assumptions!$F$122,0)+ROUND(Assumptions!$C$14*Assumptions!$F$123*12,0)</x:f>
        <x:v>0</x:v>
      </x:c>
      <x:c r="D28" s="248" t="n">
        <x:f>ROUND(MAX(0,Assumptions!$C$110-Assumptions!$C$14)*Assumptions!$F$122,0)+ROUND(Assumptions!$C$110*Assumptions!$F$123*12,0)</x:f>
        <x:v>0</x:v>
      </x:c>
      <x:c r="E28" s="248" t="n">
        <x:f>ROUND(MAX(0,Assumptions!$C$155-Assumptions!$C$110)*Assumptions!$F$122,0)+ROUND(Assumptions!$C$155*Assumptions!$F$123*12,0)</x:f>
        <x:v>16500</x:v>
      </x:c>
      <x:c r="F28" s="248" t="n">
        <x:f>ROUND(MAX(0,Assumptions!$C$156-Assumptions!$C$155)*Assumptions!$F$122,0)+ROUND(Assumptions!$C$156*Assumptions!$F$123*12,0)</x:f>
        <x:v>42000</x:v>
      </x:c>
      <x:c r="G28" s="249"/>
      <x:c r="H28" s="250" t="n">
        <x:f>0</x:f>
        <x:v>0</x:v>
      </x:c>
      <x:c r="I28" s="248" t="n">
        <x:f>ROUND(Assumptions!$D$14*Assumptions!$F$122,0)+ROUND(Assumptions!$D$14*Assumptions!$F$123*12,0)</x:f>
        <x:v>49500</x:v>
      </x:c>
      <x:c r="J28" s="248" t="n">
        <x:f>ROUND(MAX(0,Assumptions!$D$110-Assumptions!$D$14)*Assumptions!$F$122,0)+ROUND(Assumptions!$D$110*Assumptions!$F$123*12,0)</x:f>
        <x:v>76500</x:v>
      </x:c>
      <x:c r="K28" s="248" t="n">
        <x:f>ROUND(MAX(0,Assumptions!$D$155-Assumptions!$D$110)*Assumptions!$F$122,0)+ROUND(Assumptions!$D$155*Assumptions!$F$123*12,0)</x:f>
        <x:v>120000</x:v>
      </x:c>
      <x:c r="L28" s="248" t="n">
        <x:f>ROUND(MAX(0,Assumptions!$D$156-Assumptions!$D$155)*Assumptions!$F$122,0)+ROUND(Assumptions!$D$156*Assumptions!$F$123*12,0)</x:f>
        <x:v>222000</x:v>
      </x:c>
      <x:c r="M28" s="249"/>
      <x:c r="N28" s="250" t="n">
        <x:f>0</x:f>
        <x:v>0</x:v>
      </x:c>
      <x:c r="O28" s="248" t="n">
        <x:f>ROUND(Assumptions!$E$14*Assumptions!$F$122,0)+ROUND(Assumptions!$E$14*Assumptions!$F$123*12,0)</x:f>
        <x:v>165000</x:v>
      </x:c>
      <x:c r="P28" s="248" t="n">
        <x:f>ROUND(MAX(0,Assumptions!$E$110-Assumptions!$E$14)*Assumptions!$F$122,0)+ROUND(Assumptions!$E$110*Assumptions!$F$123*12,0)</x:f>
        <x:v>255000</x:v>
      </x:c>
      <x:c r="Q28" s="248" t="n">
        <x:f>ROUND(MAX(0,Assumptions!$E$155-Assumptions!$E$110)*Assumptions!$F$122,0)+ROUND(Assumptions!$E$155*Assumptions!$F$123*12,0)</x:f>
        <x:v>427500</x:v>
      </x:c>
      <x:c r="R28" s="251" t="n">
        <x:f>ROUND(MAX(0,Assumptions!$E$156-Assumptions!$E$155)*Assumptions!$F$122,0)+ROUND(Assumptions!$E$156*Assumptions!$F$123*12,0)</x:f>
        <x:v>727500</x:v>
      </x:c>
    </x:row>
    <x:row r="29" ht="3" customHeight="1">
      <x:c r="A29" s="252" t="s">
        <x:v>548</x:v>
      </x:c>
      <x:c r="B29" s="253" t="n">
        <x:f>ROUND(B8*Assumptions!$F$124,0)</x:f>
        <x:v>3</x:v>
      </x:c>
      <x:c r="C29" s="253" t="n">
        <x:f>ROUND(C8*Assumptions!$F$124,0)</x:f>
        <x:v>750</x:v>
      </x:c>
      <x:c r="D29" s="253" t="n">
        <x:f>ROUND(D8*Assumptions!$F$124,0)</x:f>
        <x:v>3600</x:v>
      </x:c>
      <x:c r="E29" s="253" t="n">
        <x:f>ROUND(E8*Assumptions!$F$124,0)</x:f>
        <x:v>5400</x:v>
      </x:c>
      <x:c r="F29" s="253" t="n">
        <x:f>ROUND(F8*Assumptions!$F$124,0)</x:f>
        <x:v>18000</x:v>
      </x:c>
      <x:c r="G29" s="254"/>
      <x:c r="H29" s="255" t="n">
        <x:f>ROUND(H8*Assumptions!$F$124,0)</x:f>
        <x:v>9</x:v>
      </x:c>
      <x:c r="I29" s="253" t="n">
        <x:f>ROUND(I8*Assumptions!$F$124,0)</x:f>
        <x:v>1500</x:v>
      </x:c>
      <x:c r="J29" s="253" t="n">
        <x:f>ROUND(J8*Assumptions!$F$124,0)</x:f>
        <x:v>6000</x:v>
      </x:c>
      <x:c r="K29" s="253" t="n">
        <x:f>ROUND(K8*Assumptions!$F$124,0)</x:f>
        <x:v>45000</x:v>
      </x:c>
      <x:c r="L29" s="253" t="n">
        <x:f>ROUND(L8*Assumptions!$F$124,0)</x:f>
        <x:v>90000</x:v>
      </x:c>
      <x:c r="M29" s="254"/>
      <x:c r="N29" s="255" t="n">
        <x:f>ROUND(N8*Assumptions!$F$124,0)</x:f>
        <x:v>27</x:v>
      </x:c>
      <x:c r="O29" s="253" t="n">
        <x:f>ROUND(O8*Assumptions!$F$124,0)</x:f>
        <x:v>3000</x:v>
      </x:c>
      <x:c r="P29" s="253" t="n">
        <x:f>ROUND(P8*Assumptions!$F$124,0)</x:f>
        <x:v>9600</x:v>
      </x:c>
      <x:c r="Q29" s="253" t="n">
        <x:f>ROUND(Q8*Assumptions!$F$124,0)</x:f>
        <x:v>96000</x:v>
      </x:c>
      <x:c r="R29" s="256" t="n">
        <x:f>ROUND(R8*Assumptions!$F$124,0)</x:f>
        <x:v>210000</x:v>
      </x:c>
    </x:row>
    <x:row r="30" ht="15" customHeight="1">
      <x:c r="A30" s="24" t="s">
        <x:v>355</x:v>
      </x:c>
      <x:c r="B30" s="92" t="n">
        <x:f>SUM(B19:B23)</x:f>
        <x:v>961.45</x:v>
      </x:c>
      <x:c r="C30" s="92" t="n">
        <x:f>SUM(C19:C23)</x:f>
        <x:v>231448.50000000003</x:v>
      </x:c>
      <x:c r="D30" s="92" t="n">
        <x:f>SUM(D19:D23)</x:f>
        <x:v>1058766.4000000001</x:v>
      </x:c>
      <x:c r="E30" s="92" t="n">
        <x:f>SUM(E19:E23)</x:f>
        <x:v>1523224.3490000002</x:v>
      </x:c>
      <x:c r="F30" s="92" t="n">
        <x:f>SUM(F19:F23)</x:f>
        <x:v>4448182.348900001</x:v>
      </x:c>
      <x:c r="G30"/>
      <x:c r="H30" s="89" t="n">
        <x:f>SUM(H19:H23)</x:f>
        <x:v>2449.05</x:v>
      </x:c>
      <x:c r="I30" s="92" t="n">
        <x:f>SUM(I19:I23)</x:f>
        <x:v>404549</x:v>
      </x:c>
      <x:c r="J30" s="92" t="n">
        <x:f>SUM(J19:J23)</x:f>
        <x:v>1387904</x:v>
      </x:c>
      <x:c r="K30" s="92" t="n">
        <x:f>SUM(K19:K23)</x:f>
        <x:v>8942691.920000002</x:v>
      </x:c>
      <x:c r="L30" s="92" t="n">
        <x:f>SUM(L19:L23)</x:f>
        <x:v>17832613.677500002</x:v>
      </x:c>
      <x:c r="M30"/>
      <x:c r="N30" s="89" t="n">
        <x:f>SUM(N19:N23)</x:f>
        <x:v>5836.3</x:v>
      </x:c>
      <x:c r="O30" s="92" t="n">
        <x:f>SUM(O19:O23)</x:f>
        <x:v>728337</x:v>
      </x:c>
      <x:c r="P30" s="92" t="n">
        <x:f>SUM(P19:P23)</x:f>
        <x:v>1930581.8000000003</x:v>
      </x:c>
      <x:c r="Q30" s="92" t="n">
        <x:f>SUM(Q19:Q23)</x:f>
        <x:v>16368431.144000003</x:v>
      </x:c>
      <x:c r="R30" s="92" t="n">
        <x:f>SUM(R19:R23)</x:f>
        <x:v>36883688.51830001</x:v>
      </x:c>
    </x:row>
    <x:row r="31" ht="8.100000381469727" customHeight="1"/>
    <x:row r="32" ht="18.950000762939453" customHeight="1">
      <x:c r="A32" s="5" t="s">
        <x:v>357</x:v>
      </x:c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</x:row>
    <x:row r="33" ht="15" customHeight="1">
      <x:c r="A33" s="12" t="s">
        <x:v>358</x:v>
      </x:c>
      <x:c r="B33" s="67" t="n">
        <x:f>B14*Assumptions!$F$23/Assumptions!$F$8</x:f>
        <x:v>1.8632812499999998</x:v>
      </x:c>
      <x:c r="C33" s="67" t="n">
        <x:f>C14*Assumptions!$F$23/Assumptions!$F$8</x:f>
        <x:v>430.6640625</x:v>
      </x:c>
      <x:c r="D33" s="67" t="n">
        <x:f>D14*Assumptions!$F$23/Assumptions!$F$8</x:f>
        <x:v>1856.25</x:v>
      </x:c>
      <x:c r="E33" s="67" t="n">
        <x:f>E14*Assumptions!$F$23/Assumptions!$F$8</x:f>
        <x:v>2467.96875</x:v>
      </x:c>
      <x:c r="F33" s="67" t="n">
        <x:f>F14*Assumptions!$F$23/Assumptions!$F$8</x:f>
        <x:v>7382.8125</x:v>
      </x:c>
      <x:c r="H33" s="110" t="n">
        <x:f>H14*Assumptions!$F$23/Assumptions!$F$8</x:f>
        <x:v>4.74609375</x:v>
      </x:c>
      <x:c r="I33" s="67" t="n">
        <x:f>I14*Assumptions!$F$23/Assumptions!$F$8</x:f>
        <x:v>685.546875</x:v>
      </x:c>
      <x:c r="J33" s="67" t="n">
        <x:f>J14*Assumptions!$F$23/Assumptions!$F$8</x:f>
        <x:v>2390.6250000000005</x:v>
      </x:c>
      <x:c r="K33" s="67" t="n">
        <x:f>K14*Assumptions!$F$23/Assumptions!$F$8</x:f>
        <x:v>15609.374999999996</x:v>
      </x:c>
      <x:c r="L33" s="67" t="n">
        <x:f>L14*Assumptions!$F$23/Assumptions!$F$8</x:f>
        <x:v>28476.5625</x:v>
      </x:c>
      <x:c r="N33" s="110" t="n">
        <x:f>N14*Assumptions!$F$23/Assumptions!$F$8</x:f>
        <x:v>12.0234375</x:v>
      </x:c>
      <x:c r="O33" s="67" t="n">
        <x:f>O14*Assumptions!$F$23/Assumptions!$F$8</x:f>
        <x:v>1160.1562500000002</x:v>
      </x:c>
      <x:c r="P33" s="67" t="n">
        <x:f>P14*Assumptions!$F$23/Assumptions!$F$8</x:f>
        <x:v>3150</x:v>
      </x:c>
      <x:c r="Q33" s="67" t="n">
        <x:f>Q14*Assumptions!$F$23/Assumptions!$F$8</x:f>
        <x:v>28575</x:v>
      </x:c>
      <x:c r="R33" s="67" t="n">
        <x:f>R14*Assumptions!$F$23/Assumptions!$F$8</x:f>
        <x:v>58570.3125</x:v>
      </x:c>
    </x:row>
    <x:row r="34" ht="15" customHeight="1">
      <x:c r="A34" s="12" t="s">
        <x:v>360</x:v>
      </x:c>
      <x:c r="B34" s="67" t="n">
        <x:f>B15*Assumptions!$F$24/Assumptions!$F$8</x:f>
        <x:v>2.734375</x:v>
      </x:c>
      <x:c r="C34" s="67" t="n">
        <x:f>C15*Assumptions!$F$24/Assumptions!$F$8</x:f>
        <x:v>683.59375</x:v>
      </x:c>
      <x:c r="D34" s="67" t="n">
        <x:f>D15*Assumptions!$F$24/Assumptions!$F$8</x:f>
        <x:v>3281.25</x:v>
      </x:c>
      <x:c r="E34" s="67" t="n">
        <x:f>E15*Assumptions!$F$24/Assumptions!$F$8</x:f>
        <x:v>4921.875</x:v>
      </x:c>
      <x:c r="F34" s="67" t="n">
        <x:f>F15*Assumptions!$F$24/Assumptions!$F$8</x:f>
        <x:v>16406.25</x:v>
      </x:c>
      <x:c r="H34" s="110" t="n">
        <x:f>H15*Assumptions!$F$24/Assumptions!$F$8</x:f>
        <x:v>8.203125</x:v>
      </x:c>
      <x:c r="I34" s="67" t="n">
        <x:f>I15*Assumptions!$F$24/Assumptions!$F$8</x:f>
        <x:v>1367.1875</x:v>
      </x:c>
      <x:c r="J34" s="67" t="n">
        <x:f>J15*Assumptions!$F$24/Assumptions!$F$8</x:f>
        <x:v>5468.75</x:v>
      </x:c>
      <x:c r="K34" s="67" t="n">
        <x:f>K15*Assumptions!$F$24/Assumptions!$F$8</x:f>
        <x:v>41015.625</x:v>
      </x:c>
      <x:c r="L34" s="67" t="n">
        <x:f>L15*Assumptions!$F$24/Assumptions!$F$8</x:f>
        <x:v>82031.25</x:v>
      </x:c>
      <x:c r="N34" s="110" t="n">
        <x:f>N15*Assumptions!$F$24/Assumptions!$F$8</x:f>
        <x:v>24.609375</x:v>
      </x:c>
      <x:c r="O34" s="67" t="n">
        <x:f>O15*Assumptions!$F$24/Assumptions!$F$8</x:f>
        <x:v>2734.375</x:v>
      </x:c>
      <x:c r="P34" s="67" t="n">
        <x:f>P15*Assumptions!$F$24/Assumptions!$F$8</x:f>
        <x:v>8750</x:v>
      </x:c>
      <x:c r="Q34" s="67" t="n">
        <x:f>Q15*Assumptions!$F$24/Assumptions!$F$8</x:f>
        <x:v>87500</x:v>
      </x:c>
      <x:c r="R34" s="67" t="n">
        <x:f>R15*Assumptions!$F$24/Assumptions!$F$8</x:f>
        <x:v>191406.25</x:v>
      </x:c>
    </x:row>
    <x:row r="35" ht="15" customHeight="1">
      <x:c r="A35" s="12" t="s">
        <x:v>362</x:v>
      </x:c>
      <x:c r="B35" s="67" t="n">
        <x:f>B15*Assumptions!$F$25/Assumptions!$F$8</x:f>
        <x:v>1.0546875</x:v>
      </x:c>
      <x:c r="C35" s="67" t="n">
        <x:f>C15*Assumptions!$F$25/Assumptions!$F$8</x:f>
        <x:v>263.671875</x:v>
      </x:c>
      <x:c r="D35" s="67" t="n">
        <x:f>D15*Assumptions!$F$25/Assumptions!$F$8</x:f>
        <x:v>1265.625</x:v>
      </x:c>
      <x:c r="E35" s="67" t="n">
        <x:f>E15*Assumptions!$F$25/Assumptions!$F$8</x:f>
        <x:v>1898.4375</x:v>
      </x:c>
      <x:c r="F35" s="67" t="n">
        <x:f>F15*Assumptions!$F$25/Assumptions!$F$8</x:f>
        <x:v>6328.125000000001</x:v>
      </x:c>
      <x:c r="H35" s="110" t="n">
        <x:f>H15*Assumptions!$F$25/Assumptions!$F$8</x:f>
        <x:v>3.1640625000000004</x:v>
      </x:c>
      <x:c r="I35" s="67" t="n">
        <x:f>I15*Assumptions!$F$25/Assumptions!$F$8</x:f>
        <x:v>527.34375</x:v>
      </x:c>
      <x:c r="J35" s="67" t="n">
        <x:f>J15*Assumptions!$F$25/Assumptions!$F$8</x:f>
        <x:v>2109.375</x:v>
      </x:c>
      <x:c r="K35" s="67" t="n">
        <x:f>K15*Assumptions!$F$25/Assumptions!$F$8</x:f>
        <x:v>15820.3125</x:v>
      </x:c>
      <x:c r="L35" s="67" t="n">
        <x:f>L15*Assumptions!$F$25/Assumptions!$F$8</x:f>
        <x:v>31640.625</x:v>
      </x:c>
      <x:c r="N35" s="110" t="n">
        <x:f>N15*Assumptions!$F$25/Assumptions!$F$8</x:f>
        <x:v>9.4921875</x:v>
      </x:c>
      <x:c r="O35" s="67" t="n">
        <x:f>O15*Assumptions!$F$25/Assumptions!$F$8</x:f>
        <x:v>1054.6875</x:v>
      </x:c>
      <x:c r="P35" s="67" t="n">
        <x:f>P15*Assumptions!$F$25/Assumptions!$F$8</x:f>
        <x:v>3375</x:v>
      </x:c>
      <x:c r="Q35" s="67" t="n">
        <x:f>Q15*Assumptions!$F$25/Assumptions!$F$8</x:f>
        <x:v>33750</x:v>
      </x:c>
      <x:c r="R35" s="67" t="n">
        <x:f>R15*Assumptions!$F$25/Assumptions!$F$8</x:f>
        <x:v>73828.125</x:v>
      </x:c>
    </x:row>
    <x:row r="36" ht="15" customHeight="1">
      <x:c r="A36" s="12" t="s">
        <x:v>364</x:v>
      </x:c>
      <x:c r="B36" s="67" t="n">
        <x:f>B8*(B11*Assumptions!$F$82+B12*Assumptions!$F$83+B13*Assumptions!$F$84)+B8*(B11*Assumptions!$F$85+B12*Assumptions!$F$86+B13*Assumptions!$F$87)</x:f>
        <x:v>217.8</x:v>
      </x:c>
      <x:c r="C36" s="67" t="n">
        <x:f>C8*(C11*Assumptions!$F$82+C12*Assumptions!$F$83+C13*Assumptions!$F$84)+C8*(C11*Assumptions!$F$85+C12*Assumptions!$F$86+C13*Assumptions!$F$87)</x:f>
        <x:v>44025</x:v>
      </x:c>
      <x:c r="D36" s="67" t="n">
        <x:f>D8*(D11*Assumptions!$F$82+D12*Assumptions!$F$83+D13*Assumptions!$F$84)+D8*(D11*Assumptions!$F$85+D12*Assumptions!$F$86+D13*Assumptions!$F$87)</x:f>
        <x:v>159840</x:v>
      </x:c>
      <x:c r="E36" s="67" t="n">
        <x:f>E8*(E11*Assumptions!$F$82+E12*Assumptions!$F$83+E13*Assumptions!$F$84)+E8*(E11*Assumptions!$F$85+E12*Assumptions!$F$86+E13*Assumptions!$F$87)</x:f>
        <x:v>162540</x:v>
      </x:c>
      <x:c r="F36" s="67" t="n">
        <x:f>F8*(F11*Assumptions!$F$82+F12*Assumptions!$F$83+F13*Assumptions!$F$84)+F8*(F11*Assumptions!$F$85+F12*Assumptions!$F$86+F13*Assumptions!$F$87)</x:f>
        <x:v>365400</x:v>
      </x:c>
      <x:c r="H36" s="110" t="n">
        <x:f>H8*(H11*Assumptions!$F$82+H12*Assumptions!$F$83+H13*Assumptions!$F$84)+H8*(H11*Assumptions!$F$85+H12*Assumptions!$F$86+H13*Assumptions!$F$87)</x:f>
        <x:v>403.20000000000005</x:v>
      </x:c>
      <x:c r="I36" s="67" t="n">
        <x:f>I8*(I11*Assumptions!$F$82+I12*Assumptions!$F$83+I13*Assumptions!$F$84)+I8*(I11*Assumptions!$F$85+I12*Assumptions!$F$86+I13*Assumptions!$F$87)</x:f>
        <x:v>45150</x:v>
      </x:c>
      <x:c r="J36" s="67" t="n">
        <x:f>J8*(J11*Assumptions!$F$82+J12*Assumptions!$F$83+J13*Assumptions!$F$84)+J8*(J11*Assumptions!$F$85+J12*Assumptions!$F$86+J13*Assumptions!$F$87)</x:f>
        <x:v>119400</x:v>
      </x:c>
      <x:c r="K36" s="67" t="n">
        <x:f>K8*(K11*Assumptions!$F$82+K12*Assumptions!$F$83+K13*Assumptions!$F$84)+K8*(K11*Assumptions!$F$85+K12*Assumptions!$F$86+K13*Assumptions!$F$87)</x:f>
        <x:v>558000</x:v>
      </x:c>
      <x:c r="L36" s="67" t="n">
        <x:f>L8*(L11*Assumptions!$F$82+L12*Assumptions!$F$83+L13*Assumptions!$F$84)+L8*(L11*Assumptions!$F$85+L12*Assumptions!$F$86+L13*Assumptions!$F$87)</x:f>
        <x:v>801000</x:v>
      </x:c>
      <x:c r="N36" s="110" t="n">
        <x:f>N8*(N11*Assumptions!$F$82+N12*Assumptions!$F$83+N13*Assumptions!$F$84)+N8*(N11*Assumptions!$F$85+N12*Assumptions!$F$86+N13*Assumptions!$F$87)</x:f>
        <x:v>691.1999999999999</x:v>
      </x:c>
      <x:c r="O36" s="67" t="n">
        <x:f>O8*(O11*Assumptions!$F$82+O12*Assumptions!$F$83+O13*Assumptions!$F$84)+O8*(O11*Assumptions!$F$85+O12*Assumptions!$F$86+O13*Assumptions!$F$87)</x:f>
        <x:v>46200</x:v>
      </x:c>
      <x:c r="P36" s="67" t="n">
        <x:f>P8*(P11*Assumptions!$F$82+P12*Assumptions!$F$83+P13*Assumptions!$F$84)+P8*(P11*Assumptions!$F$85+P12*Assumptions!$F$86+P13*Assumptions!$F$87)</x:f>
        <x:v>89280</x:v>
      </x:c>
      <x:c r="Q36" s="67" t="n">
        <x:f>Q8*(Q11*Assumptions!$F$82+Q12*Assumptions!$F$83+Q13*Assumptions!$F$84)+Q8*(Q11*Assumptions!$F$85+Q12*Assumptions!$F$86+Q13*Assumptions!$F$87)</x:f>
        <x:v>556800.0000000001</x:v>
      </x:c>
      <x:c r="R36" s="67" t="n">
        <x:f>R8*(R11*Assumptions!$F$82+R12*Assumptions!$F$83+R13*Assumptions!$F$84)+R8*(R11*Assumptions!$F$85+R12*Assumptions!$F$86+R13*Assumptions!$F$87)</x:f>
        <x:v>911400</x:v>
      </x:c>
    </x:row>
    <x:row r="37" ht="15" customHeight="1">
      <x:c r="A37" s="12" t="s">
        <x:v>366</x:v>
      </x:c>
      <x:c r="B37" s="67" t="n">
        <x:f>B8*Assumptions!$F$26/Assumptions!$F$8</x:f>
        <x:v>0.15625</x:v>
      </x:c>
      <x:c r="C37" s="67" t="n">
        <x:f>C8*Assumptions!$F$26/Assumptions!$F$8</x:f>
        <x:v>39.0625</x:v>
      </x:c>
      <x:c r="D37" s="67" t="n">
        <x:f>D8*Assumptions!$F$26/Assumptions!$F$8</x:f>
        <x:v>187.5</x:v>
      </x:c>
      <x:c r="E37" s="67" t="n">
        <x:f>E8*Assumptions!$F$26/Assumptions!$F$8</x:f>
        <x:v>281.25</x:v>
      </x:c>
      <x:c r="F37" s="67" t="n">
        <x:f>F8*Assumptions!$F$26/Assumptions!$F$8</x:f>
        <x:v>937.5</x:v>
      </x:c>
      <x:c r="H37" s="110" t="n">
        <x:f>H8*Assumptions!$F$26/Assumptions!$F$8</x:f>
        <x:v>0.46875000000000006</x:v>
      </x:c>
      <x:c r="I37" s="67" t="n">
        <x:f>I8*Assumptions!$F$26/Assumptions!$F$8</x:f>
        <x:v>78.125</x:v>
      </x:c>
      <x:c r="J37" s="67" t="n">
        <x:f>J8*Assumptions!$F$26/Assumptions!$F$8</x:f>
        <x:v>312.5</x:v>
      </x:c>
      <x:c r="K37" s="67" t="n">
        <x:f>K8*Assumptions!$F$26/Assumptions!$F$8</x:f>
        <x:v>2343.75</x:v>
      </x:c>
      <x:c r="L37" s="67" t="n">
        <x:f>L8*Assumptions!$F$26/Assumptions!$F$8</x:f>
        <x:v>4687.5</x:v>
      </x:c>
      <x:c r="N37" s="110" t="n">
        <x:f>N8*Assumptions!$F$26/Assumptions!$F$8</x:f>
        <x:v>1.40625</x:v>
      </x:c>
      <x:c r="O37" s="67" t="n">
        <x:f>O8*Assumptions!$F$26/Assumptions!$F$8</x:f>
        <x:v>156.25</x:v>
      </x:c>
      <x:c r="P37" s="67" t="n">
        <x:f>P8*Assumptions!$F$26/Assumptions!$F$8</x:f>
        <x:v>500</x:v>
      </x:c>
      <x:c r="Q37" s="67" t="n">
        <x:f>Q8*Assumptions!$F$26/Assumptions!$F$8</x:f>
        <x:v>5000</x:v>
      </x:c>
      <x:c r="R37" s="67" t="n">
        <x:f>R8*Assumptions!$F$26/Assumptions!$F$8</x:f>
        <x:v>10937.5</x:v>
      </x:c>
    </x:row>
    <x:row r="38" ht="15" customHeight="1">
      <x:c r="A38" s="12" t="s">
        <x:v>368</x:v>
      </x:c>
      <x:c r="B38" s="67" t="n">
        <x:f>B8*Assumptions!$F$27/Assumptions!$F$8</x:f>
        <x:v>0.0078125</x:v>
      </x:c>
      <x:c r="C38" s="67" t="n">
        <x:f>C8*Assumptions!$F$27/Assumptions!$F$8</x:f>
        <x:v>1.953125</x:v>
      </x:c>
      <x:c r="D38" s="67" t="n">
        <x:f>D8*Assumptions!$F$27/Assumptions!$F$8</x:f>
        <x:v>9.375</x:v>
      </x:c>
      <x:c r="E38" s="67" t="n">
        <x:f>E8*Assumptions!$F$27/Assumptions!$F$8</x:f>
        <x:v>14.0625</x:v>
      </x:c>
      <x:c r="F38" s="67" t="n">
        <x:f>F8*Assumptions!$F$27/Assumptions!$F$8</x:f>
        <x:v>46.875</x:v>
      </x:c>
      <x:c r="H38" s="110" t="n">
        <x:f>H8*Assumptions!$F$27/Assumptions!$F$8</x:f>
        <x:v>0.0234375</x:v>
      </x:c>
      <x:c r="I38" s="67" t="n">
        <x:f>I8*Assumptions!$F$27/Assumptions!$F$8</x:f>
        <x:v>3.90625</x:v>
      </x:c>
      <x:c r="J38" s="67" t="n">
        <x:f>J8*Assumptions!$F$27/Assumptions!$F$8</x:f>
        <x:v>15.625</x:v>
      </x:c>
      <x:c r="K38" s="67" t="n">
        <x:f>K8*Assumptions!$F$27/Assumptions!$F$8</x:f>
        <x:v>117.1875</x:v>
      </x:c>
      <x:c r="L38" s="67" t="n">
        <x:f>L8*Assumptions!$F$27/Assumptions!$F$8</x:f>
        <x:v>234.375</x:v>
      </x:c>
      <x:c r="N38" s="110" t="n">
        <x:f>N8*Assumptions!$F$27/Assumptions!$F$8</x:f>
        <x:v>0.0703125</x:v>
      </x:c>
      <x:c r="O38" s="67" t="n">
        <x:f>O8*Assumptions!$F$27/Assumptions!$F$8</x:f>
        <x:v>7.8125</x:v>
      </x:c>
      <x:c r="P38" s="67" t="n">
        <x:f>P8*Assumptions!$F$27/Assumptions!$F$8</x:f>
        <x:v>25</x:v>
      </x:c>
      <x:c r="Q38" s="67" t="n">
        <x:f>Q8*Assumptions!$F$27/Assumptions!$F$8</x:f>
        <x:v>250</x:v>
      </x:c>
      <x:c r="R38" s="67" t="n">
        <x:f>R8*Assumptions!$F$27/Assumptions!$F$8</x:f>
        <x:v>546.875</x:v>
      </x:c>
    </x:row>
    <x:row r="39" ht="15" customHeight="1">
      <x:c r="A39" s="12" t="s">
        <x:v>370</x:v>
      </x:c>
      <x:c r="B39" s="67" t="n">
        <x:f>B8*Assumptions!$F$28/Assumptions!$F$8</x:f>
        <x:v>0.0234375</x:v>
      </x:c>
      <x:c r="C39" s="67" t="n">
        <x:f>C8*Assumptions!$F$28/Assumptions!$F$8</x:f>
        <x:v>5.859375</x:v>
      </x:c>
      <x:c r="D39" s="67" t="n">
        <x:f>D8*Assumptions!$F$28/Assumptions!$F$8</x:f>
        <x:v>28.125</x:v>
      </x:c>
      <x:c r="E39" s="67" t="n">
        <x:f>E8*Assumptions!$F$28/Assumptions!$F$8</x:f>
        <x:v>42.1875</x:v>
      </x:c>
      <x:c r="F39" s="67" t="n">
        <x:f>F8*Assumptions!$F$28/Assumptions!$F$8</x:f>
        <x:v>140.625</x:v>
      </x:c>
      <x:c r="H39" s="110" t="n">
        <x:f>H8*Assumptions!$F$28/Assumptions!$F$8</x:f>
        <x:v>0.0703125</x:v>
      </x:c>
      <x:c r="I39" s="67" t="n">
        <x:f>I8*Assumptions!$F$28/Assumptions!$F$8</x:f>
        <x:v>11.71875</x:v>
      </x:c>
      <x:c r="J39" s="67" t="n">
        <x:f>J8*Assumptions!$F$28/Assumptions!$F$8</x:f>
        <x:v>46.875</x:v>
      </x:c>
      <x:c r="K39" s="67" t="n">
        <x:f>K8*Assumptions!$F$28/Assumptions!$F$8</x:f>
        <x:v>351.5625</x:v>
      </x:c>
      <x:c r="L39" s="67" t="n">
        <x:f>L8*Assumptions!$F$28/Assumptions!$F$8</x:f>
        <x:v>703.125</x:v>
      </x:c>
      <x:c r="N39" s="110" t="n">
        <x:f>N8*Assumptions!$F$28/Assumptions!$F$8</x:f>
        <x:v>0.2109375</x:v>
      </x:c>
      <x:c r="O39" s="67" t="n">
        <x:f>O8*Assumptions!$F$28/Assumptions!$F$8</x:f>
        <x:v>23.4375</x:v>
      </x:c>
      <x:c r="P39" s="67" t="n">
        <x:f>P8*Assumptions!$F$28/Assumptions!$F$8</x:f>
        <x:v>75</x:v>
      </x:c>
      <x:c r="Q39" s="67" t="n">
        <x:f>Q8*Assumptions!$F$28/Assumptions!$F$8</x:f>
        <x:v>750</x:v>
      </x:c>
      <x:c r="R39" s="67" t="n">
        <x:f>R8*Assumptions!$F$28/Assumptions!$F$8</x:f>
        <x:v>1640.625</x:v>
      </x:c>
    </x:row>
    <x:row r="40" ht="15" customHeight="1">
      <x:c r="A40" s="12" t="s">
        <x:v>372</x:v>
      </x:c>
      <x:c r="B40" s="67" t="n">
        <x:f>B8*(B11*Assumptions!$F$88+B12*Assumptions!$F$89+B13*Assumptions!$F$90)</x:f>
        <x:v>15.6</x:v>
      </x:c>
      <x:c r="C40" s="67" t="n">
        <x:f>C8*(C11*Assumptions!$F$88+C12*Assumptions!$F$89+C13*Assumptions!$F$90)</x:f>
        <x:v>3325</x:v>
      </x:c>
      <x:c r="D40" s="67" t="n">
        <x:f>D8*(D11*Assumptions!$F$88+D12*Assumptions!$F$89+D13*Assumptions!$F$90)</x:f>
        <x:v>12960</x:v>
      </x:c>
      <x:c r="E40" s="67" t="n">
        <x:f>E8*(E11*Assumptions!$F$88+E12*Assumptions!$F$89+E13*Assumptions!$F$90)</x:f>
        <x:v>14940.000000000002</x:v>
      </x:c>
      <x:c r="F40" s="67" t="n">
        <x:f>F8*(F11*Assumptions!$F$88+F12*Assumptions!$F$89+F13*Assumptions!$F$90)</x:f>
        <x:v>39000</x:v>
      </x:c>
      <x:c r="H40" s="110" t="n">
        <x:f>H8*(H11*Assumptions!$F$88+H12*Assumptions!$F$89+H13*Assumptions!$F$90)</x:f>
        <x:v>33</x:v>
      </x:c>
      <x:c r="I40" s="67" t="n">
        <x:f>I8*(I11*Assumptions!$F$88+I12*Assumptions!$F$89+I13*Assumptions!$F$90)</x:f>
        <x:v>4150</x:v>
      </x:c>
      <x:c r="J40" s="67" t="n">
        <x:f>J8*(J11*Assumptions!$F$88+J12*Assumptions!$F$89+J13*Assumptions!$F$90)</x:f>
        <x:v>12600.000000000002</x:v>
      </x:c>
      <x:c r="K40" s="67" t="n">
        <x:f>K8*(K11*Assumptions!$F$88+K12*Assumptions!$F$89+K13*Assumptions!$F$90)</x:f>
        <x:v>70800.00000000001</x:v>
      </x:c>
      <x:c r="L40" s="67" t="n">
        <x:f>L8*(L11*Assumptions!$F$88+L12*Assumptions!$F$89+L13*Assumptions!$F$90)</x:f>
        <x:v>117000</x:v>
      </x:c>
      <x:c r="N40" s="110" t="n">
        <x:f>N8*(N11*Assumptions!$F$88+N12*Assumptions!$F$89+N13*Assumptions!$F$90)</x:f>
        <x:v>68.39999999999999</x:v>
      </x:c>
      <x:c r="O40" s="67" t="n">
        <x:f>O8*(O11*Assumptions!$F$88+O12*Assumptions!$F$89+O13*Assumptions!$F$90)</x:f>
        <x:v>5600</x:v>
      </x:c>
      <x:c r="P40" s="67" t="n">
        <x:f>P8*(P11*Assumptions!$F$88+P12*Assumptions!$F$89+P13*Assumptions!$F$90)</x:f>
        <x:v>13119.999999999998</x:v>
      </x:c>
      <x:c r="Q40" s="67" t="n">
        <x:f>Q8*(Q11*Assumptions!$F$88+Q12*Assumptions!$F$89+Q13*Assumptions!$F$90)</x:f>
        <x:v>104960</x:v>
      </x:c>
      <x:c r="R40" s="67" t="n">
        <x:f>R8*(R11*Assumptions!$F$88+R12*Assumptions!$F$89+R13*Assumptions!$F$90)</x:f>
        <x:v>200200.00000000003</x:v>
      </x:c>
    </x:row>
    <x:row r="41" ht="15" customHeight="1">
      <x:c r="A41" s="12" t="s">
        <x:v>549</x:v>
      </x:c>
      <x:c r="B41" s="67" t="n">
        <x:f>B8*(B11*Assumptions!$F$91*Assumptions!$F$94+B12*Assumptions!$F$92*Assumptions!$F$95+B13*Assumptions!$F$93*Assumptions!$F$96)</x:f>
        <x:v>52.11999999999999</x:v>
      </x:c>
      <x:c r="C41" s="67" t="n">
        <x:f>C8*(C11*Assumptions!$F$91*Assumptions!$F$94+C12*Assumptions!$F$92*Assumptions!$F$95+C13*Assumptions!$F$93*Assumptions!$F$96)</x:f>
        <x:v>10735.000000000002</x:v>
      </x:c>
      <x:c r="D41" s="67" t="n">
        <x:f>D8*(D11*Assumptions!$F$91*Assumptions!$F$94+D12*Assumptions!$F$92*Assumptions!$F$95+D13*Assumptions!$F$93*Assumptions!$F$96)</x:f>
        <x:v>39936.00000000001</x:v>
      </x:c>
      <x:c r="E41" s="67" t="n">
        <x:f>E8*(E11*Assumptions!$F$91*Assumptions!$F$94+E12*Assumptions!$F$92*Assumptions!$F$95+E13*Assumptions!$F$93*Assumptions!$F$96)</x:f>
        <x:v>42516</x:v>
      </x:c>
      <x:c r="F41" s="67" t="n">
        <x:f>F8*(F11*Assumptions!$F$91*Assumptions!$F$94+F12*Assumptions!$F$92*Assumptions!$F$95+F13*Assumptions!$F$93*Assumptions!$F$96)</x:f>
        <x:v>101160</x:v>
      </x:c>
      <x:c r="H41" s="110" t="n">
        <x:f>H8*(H11*Assumptions!$F$91*Assumptions!$F$94+H12*Assumptions!$F$92*Assumptions!$F$95+H13*Assumptions!$F$93*Assumptions!$F$96)</x:f>
        <x:v>101.28000000000002</x:v>
      </x:c>
      <x:c r="I41" s="67" t="n">
        <x:f>I8*(I11*Assumptions!$F$91*Assumptions!$F$94+I12*Assumptions!$F$92*Assumptions!$F$95+I13*Assumptions!$F$93*Assumptions!$F$96)</x:f>
        <x:v>11810</x:v>
      </x:c>
      <x:c r="J41" s="67" t="n">
        <x:f>J8*(J11*Assumptions!$F$91*Assumptions!$F$94+J12*Assumptions!$F$92*Assumptions!$F$95+J13*Assumptions!$F$93*Assumptions!$F$96)</x:f>
        <x:v>32760.000000000004</x:v>
      </x:c>
      <x:c r="K41" s="67" t="n">
        <x:f>K8*(K11*Assumptions!$F$91*Assumptions!$F$94+K12*Assumptions!$F$92*Assumptions!$F$95+K13*Assumptions!$F$93*Assumptions!$F$96)</x:f>
        <x:v>163199.99999999997</x:v>
      </x:c>
      <x:c r="L41" s="67" t="n">
        <x:f>L8*(L11*Assumptions!$F$91*Assumptions!$F$94+L12*Assumptions!$F$92*Assumptions!$F$95+L13*Assumptions!$F$93*Assumptions!$F$96)</x:f>
        <x:v>245400</x:v>
      </x:c>
      <x:c r="N41" s="110" t="n">
        <x:f>N8*(N11*Assumptions!$F$91*Assumptions!$F$94+N12*Assumptions!$F$92*Assumptions!$F$95+N13*Assumptions!$F$93*Assumptions!$F$96)</x:f>
        <x:v>186.48000000000002</x:v>
      </x:c>
      <x:c r="O41" s="67" t="n">
        <x:f>O8*(O11*Assumptions!$F$91*Assumptions!$F$94+O12*Assumptions!$F$92*Assumptions!$F$95+O13*Assumptions!$F$93*Assumptions!$F$96)</x:f>
        <x:v>13480.000000000002</x:v>
      </x:c>
      <x:c r="P41" s="67" t="n">
        <x:f>P8*(P11*Assumptions!$F$91*Assumptions!$F$94+P12*Assumptions!$F$92*Assumptions!$F$95+P13*Assumptions!$F$93*Assumptions!$F$96)</x:f>
        <x:v>27712</x:v>
      </x:c>
      <x:c r="Q41" s="67" t="n">
        <x:f>Q8*(Q11*Assumptions!$F$91*Assumptions!$F$94+Q12*Assumptions!$F$92*Assumptions!$F$95+Q13*Assumptions!$F$93*Assumptions!$F$96)</x:f>
        <x:v>190720.00000000003</x:v>
      </x:c>
      <x:c r="R41" s="67" t="n">
        <x:f>R8*(R11*Assumptions!$F$91*Assumptions!$F$94+R12*Assumptions!$F$92*Assumptions!$F$95+R13*Assumptions!$F$93*Assumptions!$F$96)</x:f>
        <x:v>329560</x:v>
      </x:c>
    </x:row>
    <x:row r="42" ht="15" customHeight="1">
      <x:c r="A42" s="12" t="str">
        <x:v>Exception and operating-risk costs</x:v>
      </x:c>
      <x:c r="B42" s="67" t="n">
        <x:f>(ROUND(B8*Assumptions!$F$131*Assumptions!$F$132+B8*Assumptions!$F$176*Assumptions!$F$181,0))+(ROUND(B16*Assumptions!$F$133*Assumptions!$F$134,0))+(ROUND(B30*Assumptions!$F$135,0))+(0)+(ROUND((B24+B27+0)*Assumptions!$F$140,0)+ROUND(B8*B12*Assumptions!$F$141*Assumptions!$F$142,0))</x:f>
        <x:v>61</x:v>
      </x:c>
      <x:c r="C42" s="67" t="n">
        <x:f>(ROUND(C8*Assumptions!$F$131*Assumptions!$F$132+C8*Assumptions!$F$177*Assumptions!$F$181,0))+(ROUND(C16*Assumptions!$F$133*Assumptions!$F$134,0))+(ROUND(C30*Assumptions!$F$135,0))+(ROUND(C30*Assumptions!$F$159*Assumptions!$F$139,0))+(ROUND((C24+C27+ROUND(Assumptions!$C$14*Assumptions!$F$123*12,0))*Assumptions!$F$140,0)+ROUND(C8*C12*Assumptions!$F$141*Assumptions!$F$142,0))</x:f>
        <x:v>19374</x:v>
      </x:c>
      <x:c r="D42" s="67" t="n">
        <x:f>(ROUND(D8*Assumptions!$F$131*Assumptions!$F$132+D8*Assumptions!$F$178*Assumptions!$F$181,0))+(ROUND(D16*Assumptions!$F$133*Assumptions!$F$134,0))+(ROUND(D30*Assumptions!$F$135,0))+(ROUND(D30*Assumptions!$F$159*Assumptions!$F$139,0))+(ROUND((D24+D27+ROUND(Assumptions!$C$110*Assumptions!$F$123*12,0))*Assumptions!$F$140,0)+ROUND(D8*D12*Assumptions!$F$141*Assumptions!$F$142,0))</x:f>
        <x:v>99641</x:v>
      </x:c>
      <x:c r="E42" s="67" t="n">
        <x:f>(ROUND(E8*Assumptions!$F$131*Assumptions!$F$132+E8*Assumptions!$F$179*Assumptions!$F$181,0))+(ROUND(E16*Assumptions!$F$133*Assumptions!$F$134,0))+(ROUND(E30*Assumptions!$F$135,0))+(ROUND(E30*Assumptions!$F$159*Assumptions!$F$139,0))+(ROUND((E24+E27+ROUND(Assumptions!$C$155*Assumptions!$F$123*12,0))*Assumptions!$F$140,0)+ROUND(E8*E12*Assumptions!$F$141*Assumptions!$F$142,0))</x:f>
        <x:v>159854</x:v>
      </x:c>
      <x:c r="F42" s="67" t="n">
        <x:f>(ROUND(F8*Assumptions!$F$131*Assumptions!$F$132+F8*Assumptions!$F$180*Assumptions!$F$181,0))+(ROUND(F16*Assumptions!$F$133*Assumptions!$F$134,0))+(ROUND(F30*Assumptions!$F$135,0))+(ROUND(F30*Assumptions!$F$159*Assumptions!$F$139,0))+(ROUND((F24+F27+ROUND(Assumptions!$C$156*Assumptions!$F$123*12,0))*Assumptions!$F$140,0)+ROUND(F8*F12*Assumptions!$F$141*Assumptions!$F$142,0))</x:f>
        <x:v>562928</x:v>
      </x:c>
      <x:c r="G42"/>
      <x:c r="H42" s="110" t="n">
        <x:f>(ROUND(H8*Assumptions!$F$131*Assumptions!$F$132+H8*Assumptions!$F$176*Assumptions!$F$181,0))+(ROUND(H16*Assumptions!$F$133*Assumptions!$F$134,0))+(ROUND(H30*Assumptions!$F$135,0))+(0)+(ROUND((H24+H27+0)*Assumptions!$F$140,0)+ROUND(H8*H12*Assumptions!$F$141*Assumptions!$F$142,0))</x:f>
        <x:v>153</x:v>
      </x:c>
      <x:c r="I42" s="67" t="n">
        <x:f>(ROUND(I8*Assumptions!$F$131*Assumptions!$F$132+I8*Assumptions!$F$177*Assumptions!$F$181,0))+(ROUND(I16*Assumptions!$F$133*Assumptions!$F$134,0))+(ROUND(I30*Assumptions!$F$135,0))+(ROUND(I30*Assumptions!$F$159*Assumptions!$F$139,0))+(ROUND((I24+I27+ROUND(Assumptions!$D$14*Assumptions!$F$123*12,0))*Assumptions!$F$140,0)+ROUND(I8*I12*Assumptions!$F$141*Assumptions!$F$142,0))</x:f>
        <x:v>32934</x:v>
      </x:c>
      <x:c r="J42" s="67" t="n">
        <x:f>(ROUND(J8*Assumptions!$F$131*Assumptions!$F$132+J8*Assumptions!$F$178*Assumptions!$F$181,0))+(ROUND(J16*Assumptions!$F$133*Assumptions!$F$134,0))+(ROUND(J30*Assumptions!$F$135,0))+(ROUND(J30*Assumptions!$F$159*Assumptions!$F$139,0))+(ROUND((J24+J27+ROUND(Assumptions!$D$110*Assumptions!$F$123*12,0))*Assumptions!$F$140,0)+ROUND(J8*J12*Assumptions!$F$141*Assumptions!$F$142,0))</x:f>
        <x:v>139144</x:v>
      </x:c>
      <x:c r="K42" s="67" t="n">
        <x:f>(ROUND(K8*Assumptions!$F$131*Assumptions!$F$132+K8*Assumptions!$F$179*Assumptions!$F$181,0))+(ROUND(K16*Assumptions!$F$133*Assumptions!$F$134,0))+(ROUND(K30*Assumptions!$F$135,0))+(ROUND(K30*Assumptions!$F$159*Assumptions!$F$139,0))+(ROUND((K24+K27+ROUND(Assumptions!$D$155*Assumptions!$F$123*12,0))*Assumptions!$F$140,0)+ROUND(K8*K12*Assumptions!$F$141*Assumptions!$F$142,0))</x:f>
        <x:v>1115665</x:v>
      </x:c>
      <x:c r="L42" s="67" t="n">
        <x:f>(ROUND(L8*Assumptions!$F$131*Assumptions!$F$132+L8*Assumptions!$F$180*Assumptions!$F$181,0))+(ROUND(L16*Assumptions!$F$133*Assumptions!$F$134,0))+(ROUND(L30*Assumptions!$F$135,0))+(ROUND(L30*Assumptions!$F$159*Assumptions!$F$139,0))+(ROUND((L24+L27+ROUND(Assumptions!$D$156*Assumptions!$F$123*12,0))*Assumptions!$F$140,0)+ROUND(L8*L12*Assumptions!$F$141*Assumptions!$F$142,0))</x:f>
        <x:v>2501694</x:v>
      </x:c>
      <x:c r="M42"/>
      <x:c r="N42" s="110" t="n">
        <x:f>(ROUND(N8*Assumptions!$F$131*Assumptions!$F$132+N8*Assumptions!$F$176*Assumptions!$F$181,0))+(ROUND(N16*Assumptions!$F$133*Assumptions!$F$134,0))+(ROUND(N30*Assumptions!$F$135,0))+(0)+(ROUND((N24+N27+0)*Assumptions!$F$140,0)+ROUND(N8*N12*Assumptions!$F$141*Assumptions!$F$142,0))</x:f>
        <x:v>388</x:v>
      </x:c>
      <x:c r="O42" s="67" t="n">
        <x:f>(ROUND(O8*Assumptions!$F$131*Assumptions!$F$132+O8*Assumptions!$F$177*Assumptions!$F$181,0))+(ROUND(O16*Assumptions!$F$133*Assumptions!$F$134,0))+(ROUND(O30*Assumptions!$F$135,0))+(ROUND(O30*Assumptions!$F$159*Assumptions!$F$139,0))+(ROUND((O24+O27+ROUND(Assumptions!$E$14*Assumptions!$F$123*12,0))*Assumptions!$F$140,0)+ROUND(O8*O12*Assumptions!$F$141*Assumptions!$F$142,0))</x:f>
        <x:v>58796</x:v>
      </x:c>
      <x:c r="P42" s="67" t="n">
        <x:f>(ROUND(P8*Assumptions!$F$131*Assumptions!$F$132+P8*Assumptions!$F$178*Assumptions!$F$181,0))+(ROUND(P16*Assumptions!$F$133*Assumptions!$F$134,0))+(ROUND(P30*Assumptions!$F$135,0))+(ROUND(P30*Assumptions!$F$159*Assumptions!$F$139,0))+(ROUND((P24+P27+ROUND(Assumptions!$E$110*Assumptions!$F$123*12,0))*Assumptions!$F$140,0)+ROUND(P8*P12*Assumptions!$F$141*Assumptions!$F$142,0))</x:f>
        <x:v>199712</x:v>
      </x:c>
      <x:c r="Q42" s="67" t="n">
        <x:f>(ROUND(Q8*Assumptions!$F$131*Assumptions!$F$132+Q8*Assumptions!$F$179*Assumptions!$F$181,0))+(ROUND(Q16*Assumptions!$F$133*Assumptions!$F$134,0))+(ROUND(Q30*Assumptions!$F$135,0))+(ROUND(Q30*Assumptions!$F$159*Assumptions!$F$139,0))+(ROUND((Q24+Q27+ROUND(Assumptions!$E$155*Assumptions!$F$123*12,0))*Assumptions!$F$140,0)+ROUND(Q8*Q12*Assumptions!$F$141*Assumptions!$F$142,0))</x:f>
        <x:v>2198814</x:v>
      </x:c>
      <x:c r="R42" s="67" t="n">
        <x:f>(ROUND(R8*Assumptions!$F$131*Assumptions!$F$132+R8*Assumptions!$F$180*Assumptions!$F$181,0))+(ROUND(R16*Assumptions!$F$133*Assumptions!$F$134,0))+(ROUND(R30*Assumptions!$F$135,0))+(ROUND(R30*Assumptions!$F$159*Assumptions!$F$139,0))+(ROUND((R24+R27+ROUND(Assumptions!$E$156*Assumptions!$F$123*12,0))*Assumptions!$F$140,0)+ROUND(R8*R12*Assumptions!$F$141*Assumptions!$F$142,0))</x:f>
        <x:v>5531293</x:v>
      </x:c>
    </x:row>
    <x:row r="43" ht="3" customHeight="1">
      <x:c r="A43" s="242" t="s">
        <x:v>550</x:v>
      </x:c>
      <x:c r="B43" s="243" t="n">
        <x:f>ROUND(B16*Assumptions!$F$133*Assumptions!$F$134,0)</x:f>
        <x:v>38</x:v>
      </x:c>
      <x:c r="C43" s="243" t="n">
        <x:f>ROUND(C16*Assumptions!$F$133*Assumptions!$F$134,0)</x:f>
        <x:v>8381</x:v>
      </x:c>
      <x:c r="D43" s="243" t="n">
        <x:f>ROUND(D16*Assumptions!$F$133*Assumptions!$F$134,0)</x:f>
        <x:v>34560</x:v>
      </x:c>
      <x:c r="E43" s="243" t="n">
        <x:f>ROUND(E16*Assumptions!$F$133*Assumptions!$F$134,0)</x:f>
        <x:v>43335</x:v>
      </x:c>
      <x:c r="F43" s="243" t="n">
        <x:f>ROUND(F16*Assumptions!$F$133*Assumptions!$F$134,0)</x:f>
        <x:v>122850</x:v>
      </x:c>
      <x:c r="G43" s="244"/>
      <x:c r="H43" s="245" t="n">
        <x:f>ROUND(H16*Assumptions!$F$133*Assumptions!$F$134,0)</x:f>
        <x:v>88</x:v>
      </x:c>
      <x:c r="I43" s="243" t="n">
        <x:f>ROUND(I16*Assumptions!$F$133*Assumptions!$F$134,0)</x:f>
        <x:v>12038</x:v>
      </x:c>
      <x:c r="J43" s="243" t="n">
        <x:f>ROUND(J16*Assumptions!$F$133*Assumptions!$F$134,0)</x:f>
        <x:v>39600</x:v>
      </x:c>
      <x:c r="K43" s="243" t="n">
        <x:f>ROUND(K16*Assumptions!$F$133*Assumptions!$F$134,0)</x:f>
        <x:v>243000</x:v>
      </x:c>
      <x:c r="L43" s="243" t="n">
        <x:f>ROUND(L16*Assumptions!$F$133*Assumptions!$F$134,0)</x:f>
        <x:v>425250</x:v>
      </x:c>
      <x:c r="M43" s="244"/>
      <x:c r="N43" s="245" t="n">
        <x:f>ROUND(N16*Assumptions!$F$133*Assumptions!$F$134,0)</x:f>
        <x:v>207</x:v>
      </x:c>
      <x:c r="O43" s="243" t="n">
        <x:f>ROUND(O16*Assumptions!$F$133*Assumptions!$F$134,0)</x:f>
        <x:v>18675</x:v>
      </x:c>
      <x:c r="P43" s="243" t="n">
        <x:f>ROUND(P16*Assumptions!$F$133*Assumptions!$F$134,0)</x:f>
        <x:v>47520</x:v>
      </x:c>
      <x:c r="Q43" s="243" t="n">
        <x:f>ROUND(Q16*Assumptions!$F$133*Assumptions!$F$134,0)</x:f>
        <x:v>410400</x:v>
      </x:c>
      <x:c r="R43" s="246" t="n">
        <x:f>ROUND(R16*Assumptions!$F$133*Assumptions!$F$134,0)</x:f>
        <x:v>815850</x:v>
      </x:c>
    </x:row>
    <x:row r="44" ht="3" customHeight="1">
      <x:c r="A44" s="247" t="s">
        <x:v>551</x:v>
      </x:c>
      <x:c r="B44" s="248" t="n">
        <x:f>ROUND(B30*Assumptions!$F$135,0)</x:f>
        <x:v>10</x:v>
      </x:c>
      <x:c r="C44" s="248" t="n">
        <x:f>ROUND(C30*Assumptions!$F$135,0)</x:f>
        <x:v>2314</x:v>
      </x:c>
      <x:c r="D44" s="248" t="n">
        <x:f>ROUND(D30*Assumptions!$F$135,0)</x:f>
        <x:v>10588</x:v>
      </x:c>
      <x:c r="E44" s="248" t="n">
        <x:f>ROUND(E30*Assumptions!$F$135,0)</x:f>
        <x:v>15232</x:v>
      </x:c>
      <x:c r="F44" s="248" t="n">
        <x:f>ROUND(F30*Assumptions!$F$135,0)</x:f>
        <x:v>44482</x:v>
      </x:c>
      <x:c r="G44" s="249"/>
      <x:c r="H44" s="250" t="n">
        <x:f>ROUND(H30*Assumptions!$F$135,0)</x:f>
        <x:v>24</x:v>
      </x:c>
      <x:c r="I44" s="248" t="n">
        <x:f>ROUND(I30*Assumptions!$F$135,0)</x:f>
        <x:v>4045</x:v>
      </x:c>
      <x:c r="J44" s="248" t="n">
        <x:f>ROUND(J30*Assumptions!$F$135,0)</x:f>
        <x:v>13879</x:v>
      </x:c>
      <x:c r="K44" s="248" t="n">
        <x:f>ROUND(K30*Assumptions!$F$135,0)</x:f>
        <x:v>89427</x:v>
      </x:c>
      <x:c r="L44" s="248" t="n">
        <x:f>ROUND(L30*Assumptions!$F$135,0)</x:f>
        <x:v>178326</x:v>
      </x:c>
      <x:c r="M44" s="249"/>
      <x:c r="N44" s="250" t="n">
        <x:f>ROUND(N30*Assumptions!$F$135,0)</x:f>
        <x:v>58</x:v>
      </x:c>
      <x:c r="O44" s="248" t="n">
        <x:f>ROUND(O30*Assumptions!$F$135,0)</x:f>
        <x:v>7283</x:v>
      </x:c>
      <x:c r="P44" s="248" t="n">
        <x:f>ROUND(P30*Assumptions!$F$135,0)</x:f>
        <x:v>19306</x:v>
      </x:c>
      <x:c r="Q44" s="248" t="n">
        <x:f>ROUND(Q30*Assumptions!$F$135,0)</x:f>
        <x:v>163684</x:v>
      </x:c>
      <x:c r="R44" s="251" t="n">
        <x:f>ROUND(R30*Assumptions!$F$135,0)</x:f>
        <x:v>368837</x:v>
      </x:c>
    </x:row>
    <x:row r="45" ht="3" customHeight="1">
      <x:c r="A45" s="247" t="s">
        <x:v>552</x:v>
      </x:c>
      <x:c r="B45" s="248" t="n">
        <x:f>0</x:f>
        <x:v>0</x:v>
      </x:c>
      <x:c r="C45" s="248" t="n">
        <x:f>ROUND(C30*Assumptions!$F$159*Assumptions!$F$139,0)</x:f>
        <x:v>3472</x:v>
      </x:c>
      <x:c r="D45" s="248" t="n">
        <x:f>ROUND(D30*Assumptions!$F$159*Assumptions!$F$139,0)</x:f>
        <x:v>15881</x:v>
      </x:c>
      <x:c r="E45" s="248" t="n">
        <x:f>ROUND(E30*Assumptions!$F$159*Assumptions!$F$139,0)</x:f>
        <x:v>22848</x:v>
      </x:c>
      <x:c r="F45" s="248" t="n">
        <x:f>ROUND(F30*Assumptions!$F$159*Assumptions!$F$139,0)</x:f>
        <x:v>66723</x:v>
      </x:c>
      <x:c r="G45" s="249"/>
      <x:c r="H45" s="250" t="n">
        <x:f>0</x:f>
        <x:v>0</x:v>
      </x:c>
      <x:c r="I45" s="248" t="n">
        <x:f>ROUND(I30*Assumptions!$F$159*Assumptions!$F$139,0)</x:f>
        <x:v>6068</x:v>
      </x:c>
      <x:c r="J45" s="248" t="n">
        <x:f>ROUND(J30*Assumptions!$F$159*Assumptions!$F$139,0)</x:f>
        <x:v>20819</x:v>
      </x:c>
      <x:c r="K45" s="248" t="n">
        <x:f>ROUND(K30*Assumptions!$F$159*Assumptions!$F$139,0)</x:f>
        <x:v>134140</x:v>
      </x:c>
      <x:c r="L45" s="248" t="n">
        <x:f>ROUND(L30*Assumptions!$F$159*Assumptions!$F$139,0)</x:f>
        <x:v>267489</x:v>
      </x:c>
      <x:c r="M45" s="249"/>
      <x:c r="N45" s="250" t="n">
        <x:f>0</x:f>
        <x:v>0</x:v>
      </x:c>
      <x:c r="O45" s="248" t="n">
        <x:f>ROUND(O30*Assumptions!$F$159*Assumptions!$F$139,0)</x:f>
        <x:v>10925</x:v>
      </x:c>
      <x:c r="P45" s="248" t="n">
        <x:f>ROUND(P30*Assumptions!$F$159*Assumptions!$F$139,0)</x:f>
        <x:v>28959</x:v>
      </x:c>
      <x:c r="Q45" s="248" t="n">
        <x:f>ROUND(Q30*Assumptions!$F$159*Assumptions!$F$139,0)</x:f>
        <x:v>245526</x:v>
      </x:c>
      <x:c r="R45" s="251" t="n">
        <x:f>ROUND(R30*Assumptions!$F$159*Assumptions!$F$139,0)</x:f>
        <x:v>553255</x:v>
      </x:c>
    </x:row>
    <x:row r="46" ht="3" customHeight="1">
      <x:c r="A46" s="252" t="s">
        <x:v>553</x:v>
      </x:c>
      <x:c r="B46" s="253" t="n">
        <x:f>ROUND((B24+B27+0)*Assumptions!$F$140,0)+ROUND(B8*B12*Assumptions!$F$141*Assumptions!$F$142,0)</x:f>
        <x:v>1</x:v>
      </x:c>
      <x:c r="C46" s="253" t="n">
        <x:f>ROUND((C24+C27+ROUND(Assumptions!$C$14*Assumptions!$F$123*12,0))*Assumptions!$F$140,0)+ROUND(C8*C12*Assumptions!$F$141*Assumptions!$F$142,0)</x:f>
        <x:v>257</x:v>
      </x:c>
      <x:c r="D46" s="253" t="n">
        <x:f>ROUND((D24+D27+ROUND(Assumptions!$C$110*Assumptions!$F$123*12,0))*Assumptions!$F$140,0)+ROUND(D8*D12*Assumptions!$F$141*Assumptions!$F$142,0)</x:f>
        <x:v>1352</x:v>
      </x:c>
      <x:c r="E46" s="253" t="n">
        <x:f>ROUND((E24+E27+ROUND(Assumptions!$C$155*Assumptions!$F$123*12,0))*Assumptions!$F$140,0)+ROUND(E8*E12*Assumptions!$F$141*Assumptions!$F$142,0)</x:f>
        <x:v>2299</x:v>
      </x:c>
      <x:c r="F46" s="253" t="n">
        <x:f>ROUND((F24+F27+ROUND(Assumptions!$C$156*Assumptions!$F$123*12,0))*Assumptions!$F$140,0)+ROUND(F8*F12*Assumptions!$F$141*Assumptions!$F$142,0)</x:f>
        <x:v>7573</x:v>
      </x:c>
      <x:c r="G46" s="254"/>
      <x:c r="H46" s="255" t="n">
        <x:f>ROUND((H24+H27+0)*Assumptions!$F$140,0)+ROUND(H8*H12*Assumptions!$F$141*Assumptions!$F$142,0)</x:f>
        <x:v>4</x:v>
      </x:c>
      <x:c r="I46" s="253" t="n">
        <x:f>ROUND((I24+I27+ROUND(Assumptions!$D$14*Assumptions!$F$123*12,0))*Assumptions!$F$140,0)+ROUND(I8*I12*Assumptions!$F$141*Assumptions!$F$142,0)</x:f>
        <x:v>883</x:v>
      </x:c>
      <x:c r="J46" s="253" t="n">
        <x:f>ROUND((J24+J27+ROUND(Assumptions!$D$110*Assumptions!$F$123*12,0))*Assumptions!$F$140,0)+ROUND(J8*J12*Assumptions!$F$141*Assumptions!$F$142,0)</x:f>
        <x:v>2746</x:v>
      </x:c>
      <x:c r="K46" s="253" t="n">
        <x:f>ROUND((K24+K27+ROUND(Assumptions!$D$155*Assumptions!$F$123*12,0))*Assumptions!$F$140,0)+ROUND(K8*K12*Assumptions!$F$141*Assumptions!$F$142,0)</x:f>
        <x:v>14598</x:v>
      </x:c>
      <x:c r="L46" s="253" t="n">
        <x:f>ROUND((L24+L27+ROUND(Assumptions!$D$156*Assumptions!$F$123*12,0))*Assumptions!$F$140,0)+ROUND(L8*L12*Assumptions!$F$141*Assumptions!$F$142,0)</x:f>
        <x:v>24129</x:v>
      </x:c>
      <x:c r="M46" s="254"/>
      <x:c r="N46" s="255" t="n">
        <x:f>ROUND((N24+N27+0)*Assumptions!$F$140,0)+ROUND(N8*N12*Assumptions!$F$141*Assumptions!$F$142,0)</x:f>
        <x:v>12</x:v>
      </x:c>
      <x:c r="O46" s="253" t="n">
        <x:f>ROUND((O24+O27+ROUND(Assumptions!$E$14*Assumptions!$F$123*12,0))*Assumptions!$F$140,0)+ROUND(O8*O12*Assumptions!$F$141*Assumptions!$F$142,0)</x:f>
        <x:v>2113</x:v>
      </x:c>
      <x:c r="P46" s="253" t="n">
        <x:f>ROUND((P24+P27+ROUND(Assumptions!$E$110*Assumptions!$F$123*12,0))*Assumptions!$F$140,0)+ROUND(P8*P12*Assumptions!$F$141*Assumptions!$F$142,0)</x:f>
        <x:v>4567</x:v>
      </x:c>
      <x:c r="Q46" s="253" t="n">
        <x:f>ROUND((Q24+Q27+ROUND(Assumptions!$E$155*Assumptions!$F$123*12,0))*Assumptions!$F$140,0)+ROUND(Q8*Q12*Assumptions!$F$141*Assumptions!$F$142,0)</x:f>
        <x:v>25604</x:v>
      </x:c>
      <x:c r="R46" s="256" t="n">
        <x:f>ROUND((R24+R27+ROUND(Assumptions!$E$156*Assumptions!$F$123*12,0))*Assumptions!$F$140,0)+ROUND(R8*R12*Assumptions!$F$141*Assumptions!$F$142,0)</x:f>
        <x:v>44851</x:v>
      </x:c>
    </x:row>
    <x:row r="47" ht="15" customHeight="1">
      <x:c r="A47" s="24" t="s">
        <x:v>374</x:v>
      </x:c>
      <x:c r="B47" s="92" t="n">
        <x:f>SUM(B33:B42)</x:f>
        <x:v>352.35984375</x:v>
      </x:c>
      <x:c r="C47" s="92" t="n">
        <x:f>SUM(C33:C42)</x:f>
        <x:v>78883.8046875</x:v>
      </x:c>
      <x:c r="D47" s="92" t="n">
        <x:f>SUM(D33:D42)</x:f>
        <x:v>319005.125</x:v>
      </x:c>
      <x:c r="E47" s="92" t="n">
        <x:f>SUM(E33:E42)</x:f>
        <x:v>389475.78125</x:v>
      </x:c>
      <x:c r="F47" s="92" t="n">
        <x:f>SUM(F33:F42)</x:f>
        <x:v>1099730.1875</x:v>
      </x:c>
      <x:c r="G47"/>
      <x:c r="H47" s="89" t="n">
        <x:f>SUM(H33:H42)</x:f>
        <x:v>707.15578125</x:v>
      </x:c>
      <x:c r="I47" s="92" t="n">
        <x:f>SUM(I33:I42)</x:f>
        <x:v>96717.828125</x:v>
      </x:c>
      <x:c r="J47" s="92" t="n">
        <x:f>SUM(J33:J42)</x:f>
        <x:v>314247.75</x:v>
      </x:c>
      <x:c r="K47" s="92" t="n">
        <x:f>SUM(K33:K42)</x:f>
        <x:v>1982922.8125</x:v>
      </x:c>
      <x:c r="L47" s="92" t="n">
        <x:f>SUM(L33:L42)</x:f>
        <x:v>3812867.4375</x:v>
      </x:c>
      <x:c r="M47"/>
      <x:c r="N47" s="89" t="n">
        <x:f>SUM(N33:N42)</x:f>
        <x:v>1381.8925</x:v>
      </x:c>
      <x:c r="O47" s="92" t="n">
        <x:f>SUM(O33:O42)</x:f>
        <x:v>129212.71875</x:v>
      </x:c>
      <x:c r="P47" s="92" t="n">
        <x:f>SUM(P33:P42)</x:f>
        <x:v>345699</x:v>
      </x:c>
      <x:c r="Q47" s="92" t="n">
        <x:f>SUM(Q33:Q42)</x:f>
        <x:v>3207119</x:v>
      </x:c>
      <x:c r="R47" s="92" t="n">
        <x:f>SUM(R33:R42)</x:f>
        <x:v>7309382.6875</x:v>
      </x:c>
    </x:row>
    <x:row r="48" ht="15" customHeight="1">
      <x:c r="A48" s="24" t="s">
        <x:v>376</x:v>
      </x:c>
      <x:c r="B48" s="92" t="n">
        <x:f>B30-B47</x:f>
        <x:v>609.0901562500001</x:v>
      </x:c>
      <x:c r="C48" s="92" t="n">
        <x:f>C30-C47</x:f>
        <x:v>152564.69531250003</x:v>
      </x:c>
      <x:c r="D48" s="92" t="n">
        <x:f>D30-D47</x:f>
        <x:v>739761.2750000001</x:v>
      </x:c>
      <x:c r="E48" s="92" t="n">
        <x:f>E30-E47</x:f>
        <x:v>1133748.5677500002</x:v>
      </x:c>
      <x:c r="F48" s="92" t="n">
        <x:f>F30-F47</x:f>
        <x:v>3348452.1614000006</x:v>
      </x:c>
      <x:c r="H48" s="89" t="n">
        <x:f>H30-H47</x:f>
        <x:v>1741.8942187500002</x:v>
      </x:c>
      <x:c r="I48" s="92" t="n">
        <x:f>I30-I47</x:f>
        <x:v>307831.171875</x:v>
      </x:c>
      <x:c r="J48" s="92" t="n">
        <x:f>J30-J47</x:f>
        <x:v>1073656.25</x:v>
      </x:c>
      <x:c r="K48" s="92" t="n">
        <x:f>K30-K47</x:f>
        <x:v>6959769.107500002</x:v>
      </x:c>
      <x:c r="L48" s="92" t="n">
        <x:f>L30-L47</x:f>
        <x:v>14019746.240000002</x:v>
      </x:c>
      <x:c r="N48" s="89" t="n">
        <x:f>N30-N47</x:f>
        <x:v>4454.4075</x:v>
      </x:c>
      <x:c r="O48" s="92" t="n">
        <x:f>O30-O47</x:f>
        <x:v>599124.28125</x:v>
      </x:c>
      <x:c r="P48" s="92" t="n">
        <x:f>P30-P47</x:f>
        <x:v>1584882.8000000003</x:v>
      </x:c>
      <x:c r="Q48" s="92" t="n">
        <x:f>Q30-Q47</x:f>
        <x:v>13161312.144000003</x:v>
      </x:c>
      <x:c r="R48" s="92" t="n">
        <x:f>R30-R47</x:f>
        <x:v>29574305.83080001</x:v>
      </x:c>
    </x:row>
    <x:row r="49" ht="15" customHeight="1">
      <x:c r="A49" s="24" t="s">
        <x:v>378</x:v>
      </x:c>
      <x:c r="B49" s="105" t="n">
        <x:f>IF(B30=0,0,B48/B30)</x:f>
        <x:v>0.633512045608196</x:v>
      </x:c>
      <x:c r="C49" s="105" t="n">
        <x:f>IF(C30=0,0,C48/C30)</x:f>
        <x:v>0.6591734027764277</x:v>
      </x:c>
      <x:c r="D49" s="105" t="n">
        <x:f>IF(D30=0,0,D48/D30)</x:f>
        <x:v>0.6987011251962661</x:v>
      </x:c>
      <x:c r="E49" s="105" t="n">
        <x:f>IF(E30=0,0,E48/E30)</x:f>
        <x:v>0.7443083275909477</x:v>
      </x:c>
      <x:c r="F49" s="105" t="n">
        <x:f>IF(F30=0,0,F48/F30)</x:f>
        <x:v>0.7527686364359694</x:v>
      </x:c>
      <x:c r="H49" s="108" t="n">
        <x:f>IF(H30=0,0,H48/H30)</x:f>
        <x:v>0.7112530241318062</x:v>
      </x:c>
      <x:c r="I49" s="105" t="n">
        <x:f>IF(I30=0,0,I48/I30)</x:f>
        <x:v>0.7609243178823826</x:v>
      </x:c>
      <x:c r="J49" s="105" t="n">
        <x:f>IF(J30=0,0,J48/J30)</x:f>
        <x:v>0.7735810618025454</x:v>
      </x:c>
      <x:c r="K49" s="105" t="n">
        <x:f>IF(K30=0,0,K48/K30)</x:f>
        <x:v>0.7782633204588804</x:v>
      </x:c>
      <x:c r="L49" s="105" t="n">
        <x:f>IF(L30=0,0,L48/L30)</x:f>
        <x:v>0.7861857209237465</x:v>
      </x:c>
      <x:c r="N49" s="108" t="n">
        <x:f>IF(N30=0,0,N48/N30)</x:f>
        <x:v>0.7632245600808731</x:v>
      </x:c>
      <x:c r="O49" s="105" t="n">
        <x:f>IF(O30=0,0,O48/O30)</x:f>
        <x:v>0.8225921259664138</x:v>
      </x:c>
      <x:c r="P49" s="105" t="n">
        <x:f>IF(P30=0,0,P48/P30)</x:f>
        <x:v>0.8209353263353047</x:v>
      </x:c>
      <x:c r="Q49" s="105" t="n">
        <x:f>IF(Q30=0,0,Q48/Q30)</x:f>
        <x:v>0.8040668056831092</x:v>
      </x:c>
      <x:c r="R49" s="105" t="n">
        <x:f>IF(R30=0,0,R48/R30)</x:f>
        <x:v>0.8018261464312764</x:v>
      </x:c>
    </x:row>
    <x:row r="50" ht="8.100000381469727" customHeight="1"/>
    <x:row r="51" ht="18.950000762939453" customHeight="1">
      <x:c r="A51" s="5" t="s">
        <x:v>554</x:v>
      </x:c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</x:row>
    <x:row r="52" ht="15" customHeight="1">
      <x:c r="A52" s="12" t="s">
        <x:v>399</x:v>
      </x:c>
      <x:c r="B52" s="67" t="n">
        <x:f>'P&amp;L 5yr'!C$42</x:f>
        <x:v>483950</x:v>
      </x:c>
      <x:c r="C52" s="67" t="n">
        <x:f>'P&amp;L 5yr'!D$42</x:f>
        <x:v>797900</x:v>
      </x:c>
      <x:c r="D52" s="67" t="n">
        <x:f>'P&amp;L 5yr'!E$42</x:f>
        <x:v>1015250</x:v>
      </x:c>
      <x:c r="E52" s="67" t="n">
        <x:f>'P&amp;L 5yr'!F$42</x:f>
        <x:v>1413350</x:v>
      </x:c>
      <x:c r="F52" s="67" t="n">
        <x:f>'P&amp;L 5yr'!G$42</x:f>
        <x:v>1630700</x:v>
      </x:c>
      <x:c r="H52" s="110" t="n">
        <x:f>'P&amp;L 5yr'!C$42</x:f>
        <x:v>483950</x:v>
      </x:c>
      <x:c r="I52" s="67" t="n">
        <x:f>'P&amp;L 5yr'!D$42</x:f>
        <x:v>797900</x:v>
      </x:c>
      <x:c r="J52" s="67" t="n">
        <x:f>'P&amp;L 5yr'!E$42</x:f>
        <x:v>1015250</x:v>
      </x:c>
      <x:c r="K52" s="67" t="n">
        <x:f>'P&amp;L 5yr'!F$42</x:f>
        <x:v>1413350</x:v>
      </x:c>
      <x:c r="L52" s="67" t="n">
        <x:f>'P&amp;L 5yr'!G$42</x:f>
        <x:v>1630700</x:v>
      </x:c>
      <x:c r="N52" s="110" t="n">
        <x:f>'P&amp;L 5yr'!C$42</x:f>
        <x:v>483950</x:v>
      </x:c>
      <x:c r="O52" s="67" t="n">
        <x:f>'P&amp;L 5yr'!D$42</x:f>
        <x:v>797900</x:v>
      </x:c>
      <x:c r="P52" s="67" t="n">
        <x:f>'P&amp;L 5yr'!E$42</x:f>
        <x:v>1015250</x:v>
      </x:c>
      <x:c r="Q52" s="67" t="n">
        <x:f>'P&amp;L 5yr'!F$42</x:f>
        <x:v>1413350</x:v>
      </x:c>
      <x:c r="R52" s="67" t="n">
        <x:f>'P&amp;L 5yr'!G$42</x:f>
        <x:v>1630700</x:v>
      </x:c>
    </x:row>
    <x:row r="53" ht="15" customHeight="1">
      <x:c r="A53" s="12" t="s">
        <x:v>418</x:v>
      </x:c>
      <x:c r="B53" s="67" t="n">
        <x:f>'P&amp;L 5yr'!C$56</x:f>
        <x:v>282112.5</x:v>
      </x:c>
      <x:c r="C53" s="67" t="n">
        <x:f>'P&amp;L 5yr'!D$56</x:f>
        <x:v>364660.8333333333</x:v>
      </x:c>
      <x:c r="D53" s="67" t="n">
        <x:f>'P&amp;L 5yr'!E$56</x:f>
        <x:v>451490</x:v>
      </x:c>
      <x:c r="E53" s="67" t="n">
        <x:f>'P&amp;L 5yr'!F$56</x:f>
        <x:v>544390</x:v>
      </x:c>
      <x:c r="F53" s="67" t="n">
        <x:f>'P&amp;L 5yr'!G$56</x:f>
        <x:v>636030</x:v>
      </x:c>
      <x:c r="H53" s="110" t="n">
        <x:f>'P&amp;L 5yr'!C$56</x:f>
        <x:v>282112.5</x:v>
      </x:c>
      <x:c r="I53" s="67" t="n">
        <x:f>'P&amp;L 5yr'!D$56</x:f>
        <x:v>364660.8333333333</x:v>
      </x:c>
      <x:c r="J53" s="67" t="n">
        <x:f>'P&amp;L 5yr'!E$56</x:f>
        <x:v>451490</x:v>
      </x:c>
      <x:c r="K53" s="67" t="n">
        <x:f>'P&amp;L 5yr'!F$56</x:f>
        <x:v>544390</x:v>
      </x:c>
      <x:c r="L53" s="67" t="n">
        <x:f>'P&amp;L 5yr'!G$56</x:f>
        <x:v>636030</x:v>
      </x:c>
      <x:c r="N53" s="110" t="n">
        <x:f>'P&amp;L 5yr'!C$56</x:f>
        <x:v>282112.5</x:v>
      </x:c>
      <x:c r="O53" s="67" t="n">
        <x:f>'P&amp;L 5yr'!D$56</x:f>
        <x:v>364660.8333333333</x:v>
      </x:c>
      <x:c r="P53" s="67" t="n">
        <x:f>'P&amp;L 5yr'!E$56</x:f>
        <x:v>451490</x:v>
      </x:c>
      <x:c r="Q53" s="67" t="n">
        <x:f>'P&amp;L 5yr'!F$56</x:f>
        <x:v>544390</x:v>
      </x:c>
      <x:c r="R53" s="67" t="n">
        <x:f>'P&amp;L 5yr'!G$56</x:f>
        <x:v>636030</x:v>
      </x:c>
    </x:row>
    <x:row r="54" ht="15" customHeight="1">
      <x:c r="A54" s="12" t="s">
        <x:v>555</x:v>
      </x:c>
      <x:c r="B54" s="67" t="n">
        <x:f>'P&amp;L 5yr'!C$58</x:f>
        <x:v>345958.45</x:v>
      </x:c>
      <x:c r="C54" s="67" t="n">
        <x:f>'P&amp;L 5yr'!D$58</x:f>
        <x:v>0</x:v>
      </x:c>
      <x:c r="D54" s="67" t="n">
        <x:f>'P&amp;L 5yr'!E$58</x:f>
        <x:v>0</x:v>
      </x:c>
      <x:c r="E54" s="67" t="n">
        <x:f>'P&amp;L 5yr'!F$58</x:f>
        <x:v>0</x:v>
      </x:c>
      <x:c r="F54" s="67" t="n">
        <x:f>'P&amp;L 5yr'!G$58</x:f>
        <x:v>0</x:v>
      </x:c>
      <x:c r="H54" s="110" t="n">
        <x:f>'P&amp;L 5yr'!C$58</x:f>
        <x:v>345958.45</x:v>
      </x:c>
      <x:c r="I54" s="67" t="n">
        <x:f>'P&amp;L 5yr'!D$58</x:f>
        <x:v>0</x:v>
      </x:c>
      <x:c r="J54" s="67" t="n">
        <x:f>'P&amp;L 5yr'!E$58</x:f>
        <x:v>0</x:v>
      </x:c>
      <x:c r="K54" s="67" t="n">
        <x:f>'P&amp;L 5yr'!F$58</x:f>
        <x:v>0</x:v>
      </x:c>
      <x:c r="L54" s="67" t="n">
        <x:f>'P&amp;L 5yr'!G$58</x:f>
        <x:v>0</x:v>
      </x:c>
      <x:c r="N54" s="110" t="n">
        <x:f>'P&amp;L 5yr'!C$58</x:f>
        <x:v>345958.45</x:v>
      </x:c>
      <x:c r="O54" s="67" t="n">
        <x:f>'P&amp;L 5yr'!D$58</x:f>
        <x:v>0</x:v>
      </x:c>
      <x:c r="P54" s="67" t="n">
        <x:f>'P&amp;L 5yr'!E$58</x:f>
        <x:v>0</x:v>
      </x:c>
      <x:c r="Q54" s="67" t="n">
        <x:f>'P&amp;L 5yr'!F$58</x:f>
        <x:v>0</x:v>
      </x:c>
      <x:c r="R54" s="67" t="n">
        <x:f>'P&amp;L 5yr'!G$58</x:f>
        <x:v>0</x:v>
      </x:c>
    </x:row>
    <x:row r="55" ht="8.100000381469727" customHeight="1"/>
    <x:row r="56" ht="18.950000762939453" customHeight="1">
      <x:c r="A56" s="5" t="s">
        <x:v>423</x:v>
      </x:c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</x:row>
    <x:row r="57" ht="15" customHeight="1">
      <x:c r="A57" s="24" t="s">
        <x:v>426</x:v>
      </x:c>
      <x:c r="B57" s="92" t="n">
        <x:f>B48-B52-B53</x:f>
        <x:v>-765453.4098437501</x:v>
      </x:c>
      <x:c r="C57" s="92" t="n">
        <x:f>C48-C52-C53</x:f>
        <x:v>-1009996.1380208333</x:v>
      </x:c>
      <x:c r="D57" s="92" t="n">
        <x:f>D48-D52-D53</x:f>
        <x:v>-726978.7249999999</x:v>
      </x:c>
      <x:c r="E57" s="92" t="n">
        <x:f>E48-E52-E53</x:f>
        <x:v>-823991.4322499998</x:v>
      </x:c>
      <x:c r="F57" s="92" t="n">
        <x:f>F48-F52-F53</x:f>
        <x:v>1081722.1614000006</x:v>
      </x:c>
      <x:c r="H57" s="89" t="n">
        <x:f>H48-H52-H53</x:f>
        <x:v>-764320.6057812499</x:v>
      </x:c>
      <x:c r="I57" s="92" t="n">
        <x:f>I48-I52-I53</x:f>
        <x:v>-854729.6614583333</x:v>
      </x:c>
      <x:c r="J57" s="92" t="n">
        <x:f>J48-J52-J53</x:f>
        <x:v>-393083.75</x:v>
      </x:c>
      <x:c r="K57" s="92" t="n">
        <x:f>K48-K52-K53</x:f>
        <x:v>5002029.107500002</x:v>
      </x:c>
      <x:c r="L57" s="92" t="n">
        <x:f>L48-L52-L53</x:f>
        <x:v>11753016.240000002</x:v>
      </x:c>
      <x:c r="N57" s="89" t="n">
        <x:f>N48-N52-N53</x:f>
        <x:v>-761608.0925</x:v>
      </x:c>
      <x:c r="O57" s="92" t="n">
        <x:f>O48-O52-O53</x:f>
        <x:v>-563436.5520833333</x:v>
      </x:c>
      <x:c r="P57" s="92" t="n">
        <x:f>P48-P52-P53</x:f>
        <x:v>118142.80000000028</x:v>
      </x:c>
      <x:c r="Q57" s="92" t="n">
        <x:f>Q48-Q52-Q53</x:f>
        <x:v>11203572.144000003</x:v>
      </x:c>
      <x:c r="R57" s="92" t="n">
        <x:f>R48-R52-R53</x:f>
        <x:v>27307575.83080001</x:v>
      </x:c>
    </x:row>
    <x:row r="58" ht="15" customHeight="1">
      <x:c r="A58" s="24" t="s">
        <x:v>432</x:v>
      </x:c>
      <x:c r="B58" s="92" t="n">
        <x:f>-MIN(0,'Cash Flow Statement'!$B$52:$M$52)</x:f>
        <x:v>1112373</x:v>
      </x:c>
      <x:c r="C58" s="92" t="n">
        <x:f>-MIN(0,'Cash Flow Statement'!$B$52:$Y$52)</x:f>
        <x:v>2140694</x:v>
      </x:c>
      <x:c r="D58" s="92" t="n">
        <x:f>-MIN(0,'Cash Flow Statement'!$B$52:$AK$52)</x:f>
        <x:v>2936621</x:v>
      </x:c>
      <x:c r="E58" s="92" t="n">
        <x:f>-MIN(0,'Cash Flow Statement'!$B$52:$AW$52)</x:f>
        <x:v>3799318</x:v>
      </x:c>
      <x:c r="F58" s="92" t="n">
        <x:f>-MIN(0,'Cash Flow Statement'!$B$52:$BI$52)</x:f>
        <x:v>3952921</x:v>
      </x:c>
      <x:c r="H58" s="89" t="n">
        <x:f>IF(Assumptions!$C$4=2,-MIN(0,'Cash Flow Statement'!$B$38:$M$38),-MIN(0,'Cash Flow Statement'!$B$53:$M$53))</x:f>
        <x:v>1068227</x:v>
      </x:c>
      <x:c r="I58" s="92" t="n">
        <x:f>IF(Assumptions!$C$4=2,-MIN(0,'Cash Flow Statement'!$B$38:$Y$38),-MIN(0,'Cash Flow Statement'!$B$53:$Y$53))</x:f>
        <x:v>1976300</x:v>
      </x:c>
      <x:c r="J58" s="92" t="n">
        <x:f>IF(Assumptions!$C$4=2,-MIN(0,'Cash Flow Statement'!$B$38:$AK$38),-MIN(0,'Cash Flow Statement'!$B$53:$AK$53))</x:f>
        <x:v>2436689</x:v>
      </x:c>
      <x:c r="K58" s="92" t="n">
        <x:f>IF(Assumptions!$C$4=2,-MIN(0,'Cash Flow Statement'!$B$38:$AW$38),-MIN(0,'Cash Flow Statement'!$B$53:$AW$53))</x:f>
        <x:v>2649419</x:v>
      </x:c>
      <x:c r="L58" s="92" t="n">
        <x:f>IF(Assumptions!$C$4=2,-MIN(0,'Cash Flow Statement'!$B$38:$BI$38),-MIN(0,'Cash Flow Statement'!$B$53:$BI$53))</x:f>
        <x:v>2649419</x:v>
      </x:c>
      <x:c r="N58" s="89" t="n">
        <x:f>-MIN(0,'Cash Flow Statement'!$B$54:$M$54)</x:f>
        <x:v>1113402</x:v>
      </x:c>
      <x:c r="O58" s="92" t="n">
        <x:f>-MIN(0,'Cash Flow Statement'!$B$54:$Y$54)</x:f>
        <x:v>1731695</x:v>
      </x:c>
      <x:c r="P58" s="92" t="n">
        <x:f>-MIN(0,'Cash Flow Statement'!$B$54:$AK$54)</x:f>
        <x:v>1822037</x:v>
      </x:c>
      <x:c r="Q58" s="92" t="n">
        <x:f>-MIN(0,'Cash Flow Statement'!$B$54:$AW$54)</x:f>
        <x:v>1983265</x:v>
      </x:c>
      <x:c r="R58" s="92" t="n">
        <x:f>-MIN(0,'Cash Flow Statement'!$B$54:$BI$54)</x:f>
        <x:v>1983265</x:v>
      </x:c>
    </x:row>
    <x:row r="59" ht="15" customHeight="1">
      <x:c r="A59" s="24" t="s">
        <x:v>434</x:v>
      </x:c>
      <x:c r="B59" s="92" t="n">
        <x:f>ROUND('Launch Readiness'!$B$6*(INDEX($B$52:$F$52,1,MIN(5,ROUNDUP('Launch Readiness'!$E$6/12,0)))+INDEX($B$53:$F$53,1,MIN(5,ROUNDUP('Launch Readiness'!$E$6/12,0))))/12,0)</x:f>
        <x:v>191516</x:v>
      </x:c>
      <x:c r="C59" s="92" t="n">
        <x:f>ROUND('Launch Readiness'!$B$6*(INDEX($B$52:$F$52,1,MIN(5,ROUNDUP('Launch Readiness'!$E$6/12,0)))+INDEX($B$53:$F$53,1,MIN(5,ROUNDUP('Launch Readiness'!$E$6/12,0))))/12,0)</x:f>
        <x:v>191516</x:v>
      </x:c>
      <x:c r="D59" s="92" t="n">
        <x:f>ROUND('Launch Readiness'!$B$6*(INDEX($B$52:$F$52,1,MIN(5,ROUNDUP('Launch Readiness'!$E$6/12,0)))+INDEX($B$53:$F$53,1,MIN(5,ROUNDUP('Launch Readiness'!$E$6/12,0))))/12,0)</x:f>
        <x:v>191516</x:v>
      </x:c>
      <x:c r="E59" s="92" t="n">
        <x:f>ROUND('Launch Readiness'!$B$6*(INDEX($B$52:$F$52,1,MIN(5,ROUNDUP('Launch Readiness'!$E$6/12,0)))+INDEX($B$53:$F$53,1,MIN(5,ROUNDUP('Launch Readiness'!$E$6/12,0))))/12,0)</x:f>
        <x:v>191516</x:v>
      </x:c>
      <x:c r="F59" s="92" t="n">
        <x:f>ROUND('Launch Readiness'!$B$6*(INDEX($B$52:$F$52,1,MIN(5,ROUNDUP('Launch Readiness'!$E$6/12,0)))+INDEX($B$53:$F$53,1,MIN(5,ROUNDUP('Launch Readiness'!$E$6/12,0))))/12,0)</x:f>
        <x:v>191516</x:v>
      </x:c>
      <x:c r="H59" s="89" t="n">
        <x:f>ROUND('Launch Readiness'!$B$6*(INDEX($H$52:$L$52,1,MIN(5,ROUNDUP('Launch Readiness'!$E$6/12,0)))+INDEX($H$53:$L$53,1,MIN(5,ROUNDUP('Launch Readiness'!$E$6/12,0))))/12,0)</x:f>
        <x:v>191516</x:v>
      </x:c>
      <x:c r="I59" s="92" t="n">
        <x:f>ROUND('Launch Readiness'!$B$6*(INDEX($H$52:$L$52,1,MIN(5,ROUNDUP('Launch Readiness'!$E$6/12,0)))+INDEX($H$53:$L$53,1,MIN(5,ROUNDUP('Launch Readiness'!$E$6/12,0))))/12,0)</x:f>
        <x:v>191516</x:v>
      </x:c>
      <x:c r="J59" s="92" t="n">
        <x:f>ROUND('Launch Readiness'!$B$6*(INDEX($H$52:$L$52,1,MIN(5,ROUNDUP('Launch Readiness'!$E$6/12,0)))+INDEX($H$53:$L$53,1,MIN(5,ROUNDUP('Launch Readiness'!$E$6/12,0))))/12,0)</x:f>
        <x:v>191516</x:v>
      </x:c>
      <x:c r="K59" s="92" t="n">
        <x:f>ROUND('Launch Readiness'!$B$6*(INDEX($H$52:$L$52,1,MIN(5,ROUNDUP('Launch Readiness'!$E$6/12,0)))+INDEX($H$53:$L$53,1,MIN(5,ROUNDUP('Launch Readiness'!$E$6/12,0))))/12,0)</x:f>
        <x:v>191516</x:v>
      </x:c>
      <x:c r="L59" s="92" t="n">
        <x:f>ROUND('Launch Readiness'!$B$6*(INDEX($H$52:$L$52,1,MIN(5,ROUNDUP('Launch Readiness'!$E$6/12,0)))+INDEX($H$53:$L$53,1,MIN(5,ROUNDUP('Launch Readiness'!$E$6/12,0))))/12,0)</x:f>
        <x:v>191516</x:v>
      </x:c>
      <x:c r="N59" s="89" t="n">
        <x:f>ROUND('Launch Readiness'!$B$6*(INDEX($N$52:$R$52,1,MIN(5,ROUNDUP('Launch Readiness'!$E$6/12,0)))+INDEX($N$53:$R$53,1,MIN(5,ROUNDUP('Launch Readiness'!$E$6/12,0))))/12,0)</x:f>
        <x:v>191516</x:v>
      </x:c>
      <x:c r="O59" s="92" t="n">
        <x:f>ROUND('Launch Readiness'!$B$6*(INDEX($N$52:$R$52,1,MIN(5,ROUNDUP('Launch Readiness'!$E$6/12,0)))+INDEX($N$53:$R$53,1,MIN(5,ROUNDUP('Launch Readiness'!$E$6/12,0))))/12,0)</x:f>
        <x:v>191516</x:v>
      </x:c>
      <x:c r="P59" s="92" t="n">
        <x:f>ROUND('Launch Readiness'!$B$6*(INDEX($N$52:$R$52,1,MIN(5,ROUNDUP('Launch Readiness'!$E$6/12,0)))+INDEX($N$53:$R$53,1,MIN(5,ROUNDUP('Launch Readiness'!$E$6/12,0))))/12,0)</x:f>
        <x:v>191516</x:v>
      </x:c>
      <x:c r="Q59" s="92" t="n">
        <x:f>ROUND('Launch Readiness'!$B$6*(INDEX($N$52:$R$52,1,MIN(5,ROUNDUP('Launch Readiness'!$E$6/12,0)))+INDEX($N$53:$R$53,1,MIN(5,ROUNDUP('Launch Readiness'!$E$6/12,0))))/12,0)</x:f>
        <x:v>191516</x:v>
      </x:c>
      <x:c r="R59" s="92" t="n">
        <x:f>ROUND('Launch Readiness'!$B$6*(INDEX($N$52:$R$52,1,MIN(5,ROUNDUP('Launch Readiness'!$E$6/12,0)))+INDEX($N$53:$R$53,1,MIN(5,ROUNDUP('Launch Readiness'!$E$6/12,0))))/12,0)</x:f>
        <x:v>191516</x:v>
      </x:c>
    </x:row>
    <x:row r="60" ht="15" customHeight="1">
      <x:c r="A60" s="24" t="s">
        <x:v>436</x:v>
      </x:c>
      <x:c r="B60" s="92" t="n">
        <x:f>ROUND(B58+B59,0)</x:f>
        <x:v>1303889</x:v>
      </x:c>
      <x:c r="C60" s="92" t="n">
        <x:f>ROUND(C58+C59,0)</x:f>
        <x:v>2332210</x:v>
      </x:c>
      <x:c r="D60" s="92" t="n">
        <x:f>ROUND(D58+D59,0)</x:f>
        <x:v>3128137</x:v>
      </x:c>
      <x:c r="E60" s="92" t="n">
        <x:f>ROUND(E58+E59,0)</x:f>
        <x:v>3990834</x:v>
      </x:c>
      <x:c r="F60" s="92" t="n">
        <x:f>ROUND(F58+F59,0)</x:f>
        <x:v>4144437</x:v>
      </x:c>
      <x:c r="H60" s="89" t="n">
        <x:f>ROUND(H58+H59,0)</x:f>
        <x:v>1259743</x:v>
      </x:c>
      <x:c r="I60" s="92" t="n">
        <x:f>ROUND(I58+I59,0)</x:f>
        <x:v>2167816</x:v>
      </x:c>
      <x:c r="J60" s="92" t="n">
        <x:f>ROUND(J58+J59,0)</x:f>
        <x:v>2628205</x:v>
      </x:c>
      <x:c r="K60" s="92" t="n">
        <x:f>ROUND(K58+K59,0)</x:f>
        <x:v>2840935</x:v>
      </x:c>
      <x:c r="L60" s="92" t="n">
        <x:f>ROUND(L58+L59,0)</x:f>
        <x:v>2840935</x:v>
      </x:c>
      <x:c r="N60" s="89" t="n">
        <x:f>ROUND(N58+N59,0)</x:f>
        <x:v>1304918</x:v>
      </x:c>
      <x:c r="O60" s="92" t="n">
        <x:f>ROUND(O58+O59,0)</x:f>
        <x:v>1923211</x:v>
      </x:c>
      <x:c r="P60" s="92" t="n">
        <x:f>ROUND(P58+P59,0)</x:f>
        <x:v>2013553</x:v>
      </x:c>
      <x:c r="Q60" s="92" t="n">
        <x:f>ROUND(Q58+Q59,0)</x:f>
        <x:v>2174781</x:v>
      </x:c>
      <x:c r="R60" s="92" t="n">
        <x:f>ROUND(R58+R59,0)</x:f>
        <x:v>2174781</x:v>
      </x:c>
    </x:row>
    <x:row r="61" ht="15" customHeight="1">
      <x:c r="A61" s="12" t="s">
        <x:v>439</x:v>
      </x:c>
      <x:c r="B61" s="68" t="n">
        <x:f>Assumptions!$C$107</x:f>
        <x:v>1.5</x:v>
      </x:c>
      <x:c r="C61" s="68" t="n">
        <x:f>Assumptions!$C$108</x:f>
        <x:v>2</x:v>
      </x:c>
      <x:c r="D61" s="68" t="n">
        <x:f>Assumptions!$C$109</x:f>
        <x:v>2.5</x:v>
      </x:c>
      <x:c r="E61" s="68" t="n">
        <x:f>Assumptions!$C$157</x:f>
        <x:v>3</x:v>
      </x:c>
      <x:c r="F61" s="68" t="n">
        <x:f>Assumptions!$C$158</x:f>
        <x:v>4</x:v>
      </x:c>
      <x:c r="H61" s="112" t="n">
        <x:f>Assumptions!$D$107</x:f>
        <x:v>3</x:v>
      </x:c>
      <x:c r="I61" s="68" t="n">
        <x:f>Assumptions!$D$108</x:f>
        <x:v>4</x:v>
      </x:c>
      <x:c r="J61" s="68" t="n">
        <x:f>Assumptions!$D$109</x:f>
        <x:v>6</x:v>
      </x:c>
      <x:c r="K61" s="68" t="n">
        <x:f>Assumptions!$D$157</x:f>
        <x:v>8</x:v>
      </x:c>
      <x:c r="L61" s="68" t="n">
        <x:f>Assumptions!$D$158</x:f>
        <x:v>10</x:v>
      </x:c>
      <x:c r="N61" s="112" t="n">
        <x:f>Assumptions!$E$107</x:f>
        <x:v>5</x:v>
      </x:c>
      <x:c r="O61" s="68" t="n">
        <x:f>Assumptions!$E$108</x:f>
        <x:v>6</x:v>
      </x:c>
      <x:c r="P61" s="68" t="n">
        <x:f>Assumptions!$E$109</x:f>
        <x:v>10</x:v>
      </x:c>
      <x:c r="Q61" s="68" t="n">
        <x:f>Assumptions!$E$157</x:f>
        <x:v>12</x:v>
      </x:c>
      <x:c r="R61" s="68" t="n">
        <x:f>Assumptions!$E$158</x:f>
        <x:v>15</x:v>
      </x:c>
    </x:row>
    <x:row r="62" ht="15" customHeight="1">
      <x:c r="A62" s="12" t="s">
        <x:v>441</x:v>
      </x:c>
      <x:c r="B62" s="76" t="n">
        <x:f>IF(B61=0,0,B8/B61)</x:f>
        <x:v>0.6666666666666666</x:v>
      </x:c>
      <x:c r="C62" s="76" t="n">
        <x:f>IF(C61=0,0,C8/C61)</x:f>
        <x:v>125</x:v>
      </x:c>
      <x:c r="D62" s="76" t="n">
        <x:f>IF(D61=0,0,D8/D61)</x:f>
        <x:v>480</x:v>
      </x:c>
      <x:c r="E62" s="76" t="n">
        <x:f>IF(E61=0,0,E8/E61)</x:f>
        <x:v>600</x:v>
      </x:c>
      <x:c r="F62" s="76" t="n">
        <x:f>IF(F61=0,0,F8/F61)</x:f>
        <x:v>1500</x:v>
      </x:c>
      <x:c r="H62" s="106" t="n">
        <x:f>IF(H61=0,0,H8/H61)</x:f>
        <x:v>1</x:v>
      </x:c>
      <x:c r="I62" s="76" t="n">
        <x:f>IF(I61=0,0,I8/I61)</x:f>
        <x:v>125</x:v>
      </x:c>
      <x:c r="J62" s="76" t="n">
        <x:f>IF(J61=0,0,J8/J61)</x:f>
        <x:v>333.3333333333333</x:v>
      </x:c>
      <x:c r="K62" s="76" t="n">
        <x:f>IF(K61=0,0,K8/K61)</x:f>
        <x:v>1875</x:v>
      </x:c>
      <x:c r="L62" s="76" t="n">
        <x:f>IF(L61=0,0,L8/L61)</x:f>
        <x:v>3000</x:v>
      </x:c>
      <x:c r="N62" s="106" t="n">
        <x:f>IF(N61=0,0,N8/N61)</x:f>
        <x:v>1.8</x:v>
      </x:c>
      <x:c r="O62" s="76" t="n">
        <x:f>IF(O61=0,0,O8/O61)</x:f>
        <x:v>166.66666666666666</x:v>
      </x:c>
      <x:c r="P62" s="76" t="n">
        <x:f>IF(P61=0,0,P8/P61)</x:f>
        <x:v>320</x:v>
      </x:c>
      <x:c r="Q62" s="76" t="n">
        <x:f>IF(Q61=0,0,Q8/Q61)</x:f>
        <x:v>2666.6666666666665</x:v>
      </x:c>
      <x:c r="R62" s="76" t="n">
        <x:f>IF(R61=0,0,R8/R61)</x:f>
        <x:v>4666.666666666667</x:v>
      </x:c>
    </x:row>
    <x:row r="63" ht="8.100000381469727" customHeight="1"/>
    <x:row r="64" ht="20.100000381469727" customHeight="1">
      <x:c r="A64" s="29" t="str">
        <x:v>Supporting detail is retained in formula-driven rows and Assumptions; this sheet presents the decision-useful revenue and risk categories.</x:v>
      </x:c>
    </x:row>
    <x:row r="65" ht="3" customHeight="1">
      <x:c r="A65" s="173"/>
      <x:c r="B65" s="173"/>
      <x:c r="C65" s="173"/>
      <x:c r="D65" s="173"/>
      <x:c r="E65" s="173"/>
      <x:c r="F65" s="173"/>
      <x:c r="G65" s="173"/>
      <x:c r="H65" s="173"/>
      <x:c r="I65" s="173"/>
      <x:c r="J65" s="173"/>
      <x:c r="K65" s="173"/>
      <x:c r="L65" s="173"/>
      <x:c r="M65" s="173"/>
      <x:c r="N65" s="173"/>
      <x:c r="O65" s="173"/>
      <x:c r="P65" s="173"/>
      <x:c r="Q65" s="173"/>
      <x:c r="R65" s="173"/>
    </x:row>
    <x:row r="66" ht="3" customHeight="1">
      <x:c r="A66" s="173"/>
      <x:c r="B66" s="173"/>
      <x:c r="C66" s="173"/>
      <x:c r="D66" s="173"/>
      <x:c r="E66" s="173"/>
      <x:c r="F66" s="173"/>
      <x:c r="G66" s="173"/>
      <x:c r="H66" s="173"/>
      <x:c r="I66" s="173"/>
      <x:c r="J66" s="173"/>
      <x:c r="K66" s="173"/>
      <x:c r="L66" s="173"/>
      <x:c r="M66" s="173"/>
      <x:c r="N66" s="173"/>
      <x:c r="O66" s="173"/>
      <x:c r="P66" s="173"/>
      <x:c r="Q66" s="173"/>
      <x:c r="R66" s="173"/>
    </x:row>
    <x:row r="67" ht="3" customHeight="1">
      <x:c r="A67" s="173"/>
      <x:c r="B67" s="173"/>
      <x:c r="C67" s="173"/>
      <x:c r="D67" s="173"/>
      <x:c r="E67" s="173"/>
      <x:c r="F67" s="173"/>
      <x:c r="G67" s="173"/>
      <x:c r="H67" s="173"/>
      <x:c r="I67" s="173"/>
      <x:c r="J67" s="173"/>
      <x:c r="K67" s="173"/>
      <x:c r="L67" s="173"/>
      <x:c r="M67" s="173"/>
      <x:c r="N67" s="173"/>
      <x:c r="O67" s="173"/>
      <x:c r="P67" s="173"/>
      <x:c r="Q67" s="173"/>
      <x:c r="R67" s="173"/>
    </x:row>
  </x:sheetData>
  <x:mergeCells>
    <x:mergeCell ref="A65:R65"/>
    <x:mergeCell ref="A66:R66"/>
    <x:mergeCell ref="A67:R6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B4E8F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6" customWidth="1"/>
    <x:col min="3" max="5" width="13" customWidth="1"/>
    <x:col min="6" max="6" width="18" customWidth="1"/>
    <x:col min="7" max="7" width="15" customWidth="1"/>
    <x:col min="8" max="8" width="78" customWidth="1"/>
  </x:cols>
  <x:sheetData>
    <x:row r="1">
      <x:c r="H1" s="42"/>
    </x:row>
    <x:row r="2" ht="30" customHeight="1">
      <x:c r="B2" s="3" t="s">
        <x:v>556</x:v>
      </x:c>
      <x:c r="H2" s="42"/>
    </x:row>
    <x:row r="3" ht="15.949999809265137" customHeight="1">
      <x:c r="B3" s="4" t="s">
        <x:v>557</x:v>
      </x:c>
      <x:c r="H3" s="42"/>
    </x:row>
    <x:row r="4" ht="21.950000762939453" customHeight="1">
      <x:c r="B4" s="14" t="s">
        <x:v>558</x:v>
      </x:c>
      <x:c r="C4" s="73">
        <x:v>2</x:v>
      </x:c>
      <x:c r="D4" s="28" t="str">
        <x:f>CHOOSE($C$4,"LOW","BASE","HIGH")</x:f>
        <x:v>BASE</x:v>
      </x:c>
      <x:c r="H4" s="42"/>
    </x:row>
    <x:row r="5" ht="9.949999809265137" customHeight="1">
      <x:c r="H5" s="42"/>
    </x:row>
    <x:row r="6" ht="30" customHeight="1">
      <x:c r="B6" s="10" t="s">
        <x:v>559</x:v>
      </x:c>
      <x:c r="C6" s="9" t="s">
        <x:v>560</x:v>
      </x:c>
      <x:c r="D6" s="9" t="s">
        <x:v>561</x:v>
      </x:c>
      <x:c r="E6" s="9" t="s">
        <x:v>562</x:v>
      </x:c>
      <x:c r="F6" s="9" t="s">
        <x:v>563</x:v>
      </x:c>
      <x:c r="G6" s="9" t="s">
        <x:v>564</x:v>
      </x:c>
      <x:c r="H6" s="10" t="s">
        <x:v>565</x:v>
      </x:c>
    </x:row>
    <x:row r="7" ht="20.100000381469727" customHeight="1">
      <x:c r="B7" s="5" t="s">
        <x:v>566</x:v>
      </x:c>
      <x:c r="C7" s="5"/>
      <x:c r="D7" s="5"/>
      <x:c r="E7" s="5"/>
      <x:c r="F7" s="5"/>
      <x:c r="G7" s="5"/>
      <x:c r="H7" s="5"/>
    </x:row>
    <x:row r="8" ht="18" customHeight="1">
      <x:c r="B8" s="12" t="s">
        <x:v>567</x:v>
      </x:c>
      <x:c r="C8" s="113"/>
      <x:c r="D8" s="113"/>
      <x:c r="E8" s="113"/>
      <x:c r="F8" s="114">
        <x:v>1.28</x:v>
      </x:c>
      <x:c r="G8" s="31" t="s">
        <x:v>568</x:v>
      </x:c>
      <x:c r="H8" s="32" t="s">
        <x:v>569</x:v>
      </x:c>
    </x:row>
    <x:row r="9" ht="20.100000381469727" customHeight="1">
      <x:c r="B9" s="5" t="s">
        <x:v>570</x:v>
      </x:c>
      <x:c r="C9" s="5"/>
      <x:c r="D9" s="5"/>
      <x:c r="E9" s="5"/>
      <x:c r="F9" s="5"/>
      <x:c r="G9" s="5"/>
      <x:c r="H9" s="5"/>
    </x:row>
    <x:row r="10" ht="18" customHeight="1">
      <x:c r="B10" s="12" t="s">
        <x:v>571</x:v>
      </x:c>
      <x:c r="C10" s="71">
        <x:v>15</x:v>
      </x:c>
      <x:c r="D10" s="71">
        <x:v>30</x:v>
      </x:c>
      <x:c r="E10" s="71">
        <x:v>110</x:v>
      </x:c>
      <x:c r="F10" s="146" t="n">
        <x:f>CHOOSE($C$4,C10,D10,E10)</x:f>
        <x:v>30</x:v>
      </x:c>
      <x:c r="G10" s="31" t="s">
        <x:v>572</x:v>
      </x:c>
      <x:c r="H10" s="32" t="s">
        <x:v>573</x:v>
      </x:c>
    </x:row>
    <x:row r="11" ht="18" customHeight="1">
      <x:c r="B11" s="12" t="s">
        <x:v>574</x:v>
      </x:c>
      <x:c r="C11" s="71">
        <x:v>250</x:v>
      </x:c>
      <x:c r="D11" s="71">
        <x:v>500</x:v>
      </x:c>
      <x:c r="E11" s="71">
        <x:v>1000</x:v>
      </x:c>
      <x:c r="F11" s="146" t="n">
        <x:f>CHOOSE($C$4,C11,D11,E11)</x:f>
        <x:v>500</x:v>
      </x:c>
      <x:c r="G11" s="31" t="s">
        <x:v>572</x:v>
      </x:c>
      <x:c r="H11" s="32" t="s">
        <x:v>575</x:v>
      </x:c>
    </x:row>
    <x:row r="12" ht="18" customHeight="1">
      <x:c r="B12" s="12" t="s">
        <x:v>576</x:v>
      </x:c>
      <x:c r="C12" s="71">
        <x:v>1200</x:v>
      </x:c>
      <x:c r="D12" s="71">
        <x:v>2000</x:v>
      </x:c>
      <x:c r="E12" s="71">
        <x:v>3200</x:v>
      </x:c>
      <x:c r="F12" s="146" t="n">
        <x:f>CHOOSE($C$4,C12,D12,E12)</x:f>
        <x:v>2000</x:v>
      </x:c>
      <x:c r="G12" s="31" t="s">
        <x:v>572</x:v>
      </x:c>
      <x:c r="H12" s="32" t="s">
        <x:v>575</x:v>
      </x:c>
    </x:row>
    <x:row r="13" ht="18" customHeight="1">
      <x:c r="B13" s="12" t="s">
        <x:v>577</x:v>
      </x:c>
      <x:c r="C13" s="119"/>
      <x:c r="D13" s="119"/>
      <x:c r="E13" s="119"/>
      <x:c r="F13" s="71">
        <x:v>2</x:v>
      </x:c>
      <x:c r="G13" s="31" t="s">
        <x:v>578</x:v>
      </x:c>
      <x:c r="H13" s="32" t="s">
        <x:v>579</x:v>
      </x:c>
    </x:row>
    <x:row r="14" ht="18" customHeight="1">
      <x:c r="B14" s="12" t="s">
        <x:v>580</x:v>
      </x:c>
      <x:c r="C14" s="115">
        <x:v>0</x:v>
      </x:c>
      <x:c r="D14" s="115">
        <x:v>3</x:v>
      </x:c>
      <x:c r="E14" s="115">
        <x:v>10</x:v>
      </x:c>
      <x:c r="F14" s="146" t="n">
        <x:f>CHOOSE($C$4,C14,D14,E14)</x:f>
        <x:v>3</x:v>
      </x:c>
      <x:c r="G14" s="31" t="s">
        <x:v>581</x:v>
      </x:c>
      <x:c r="H14" s="32" t="s">
        <x:v>582</x:v>
      </x:c>
    </x:row>
    <x:row r="15" ht="18" customHeight="1">
      <x:c r="B15" s="12"/>
      <x:c r="C15" s="115"/>
      <x:c r="D15" s="115"/>
      <x:c r="E15" s="115"/>
      <x:c r="F15" s="146"/>
      <x:c r="G15" s="31"/>
      <x:c r="H15" s="32"/>
    </x:row>
    <x:row r="16" ht="18" customHeight="1">
      <x:c r="B16" s="12"/>
      <x:c r="C16" s="115"/>
      <x:c r="D16" s="115"/>
      <x:c r="E16" s="115"/>
      <x:c r="F16" s="146"/>
      <x:c r="G16" s="31"/>
      <x:c r="H16" s="32"/>
    </x:row>
    <x:row r="17" ht="18" customHeight="1">
      <x:c r="B17" s="12"/>
      <x:c r="C17" s="115"/>
      <x:c r="D17" s="115"/>
      <x:c r="E17" s="115"/>
      <x:c r="F17" s="146"/>
      <x:c r="G17" s="31"/>
      <x:c r="H17" s="32"/>
    </x:row>
    <x:row r="18" ht="18" customHeight="1">
      <x:c r="B18" s="12"/>
      <x:c r="C18" s="115"/>
      <x:c r="D18" s="115"/>
      <x:c r="E18" s="115"/>
      <x:c r="F18" s="146"/>
      <x:c r="G18" s="31"/>
      <x:c r="H18" s="32"/>
    </x:row>
    <x:row r="19" ht="18" customHeight="1">
      <x:c r="B19" s="12"/>
      <x:c r="C19" s="115"/>
      <x:c r="D19" s="115"/>
      <x:c r="E19" s="115"/>
      <x:c r="F19" s="146"/>
      <x:c r="G19" s="31"/>
      <x:c r="H19" s="32"/>
    </x:row>
    <x:row r="20" ht="18" customHeight="1">
      <x:c r="B20" s="12"/>
      <x:c r="C20" s="115"/>
      <x:c r="D20" s="115"/>
      <x:c r="E20" s="115"/>
      <x:c r="F20" s="146"/>
      <x:c r="G20" s="31"/>
      <x:c r="H20" s="32"/>
    </x:row>
    <x:row r="21" ht="18" customHeight="1">
      <x:c r="B21" s="12"/>
      <x:c r="C21" s="115"/>
      <x:c r="D21" s="115"/>
      <x:c r="E21" s="115"/>
      <x:c r="F21" s="146"/>
      <x:c r="G21" s="31"/>
      <x:c r="H21" s="32"/>
    </x:row>
    <x:row r="22" ht="20.100000381469727" customHeight="1">
      <x:c r="B22" s="5" t="s">
        <x:v>583</x:v>
      </x:c>
      <x:c r="C22" s="5"/>
      <x:c r="D22" s="5"/>
      <x:c r="E22" s="5"/>
      <x:c r="F22" s="5"/>
      <x:c r="G22" s="5"/>
      <x:c r="H22" s="5"/>
    </x:row>
    <x:row r="23" ht="18" customHeight="1">
      <x:c r="B23" s="12" t="s">
        <x:v>584</x:v>
      </x:c>
      <x:c r="C23" s="120"/>
      <x:c r="D23" s="120"/>
      <x:c r="E23" s="120"/>
      <x:c r="F23" s="121">
        <x:v>0.3</x:v>
      </x:c>
      <x:c r="G23" s="31" t="s">
        <x:v>585</x:v>
      </x:c>
      <x:c r="H23" s="32" t="s">
        <x:v>586</x:v>
      </x:c>
    </x:row>
    <x:row r="24" ht="18" customHeight="1">
      <x:c r="B24" s="12" t="s">
        <x:v>587</x:v>
      </x:c>
      <x:c r="C24" s="120"/>
      <x:c r="D24" s="120"/>
      <x:c r="E24" s="120"/>
      <x:c r="F24" s="121">
        <x:v>3.5</x:v>
      </x:c>
      <x:c r="G24" s="31" t="s">
        <x:v>588</x:v>
      </x:c>
      <x:c r="H24" s="32" t="s">
        <x:v>589</x:v>
      </x:c>
    </x:row>
    <x:row r="25" ht="18" customHeight="1">
      <x:c r="B25" s="12" t="s">
        <x:v>590</x:v>
      </x:c>
      <x:c r="C25" s="120"/>
      <x:c r="D25" s="120"/>
      <x:c r="E25" s="120"/>
      <x:c r="F25" s="121">
        <x:v>1.35</x:v>
      </x:c>
      <x:c r="G25" s="31" t="s">
        <x:v>591</x:v>
      </x:c>
      <x:c r="H25" s="32" t="s">
        <x:v>592</x:v>
      </x:c>
    </x:row>
    <x:row r="26" ht="18" customHeight="1">
      <x:c r="B26" s="12" t="s">
        <x:v>593</x:v>
      </x:c>
      <x:c r="C26" s="120"/>
      <x:c r="D26" s="120"/>
      <x:c r="E26" s="120"/>
      <x:c r="F26" s="121">
        <x:v>0.2</x:v>
      </x:c>
      <x:c r="G26" s="31" t="s">
        <x:v>594</x:v>
      </x:c>
      <x:c r="H26" s="32" t="s">
        <x:v>595</x:v>
      </x:c>
    </x:row>
    <x:row r="27" ht="18" customHeight="1">
      <x:c r="B27" s="12" t="s">
        <x:v>596</x:v>
      </x:c>
      <x:c r="C27" s="120"/>
      <x:c r="D27" s="120"/>
      <x:c r="E27" s="120"/>
      <x:c r="F27" s="121">
        <x:v>0.01</x:v>
      </x:c>
      <x:c r="G27" s="31" t="s">
        <x:v>594</x:v>
      </x:c>
      <x:c r="H27" s="32" t="s">
        <x:v>597</x:v>
      </x:c>
    </x:row>
    <x:row r="28" ht="18" customHeight="1">
      <x:c r="B28" s="12" t="s">
        <x:v>598</x:v>
      </x:c>
      <x:c r="C28" s="120"/>
      <x:c r="D28" s="120"/>
      <x:c r="E28" s="120"/>
      <x:c r="F28" s="121">
        <x:v>0.03</x:v>
      </x:c>
      <x:c r="G28" s="31" t="s">
        <x:v>594</x:v>
      </x:c>
      <x:c r="H28" s="32" t="s">
        <x:v>599</x:v>
      </x:c>
    </x:row>
    <x:row r="29" ht="20.100000381469727" customHeight="1">
      <x:c r="B29" s="5" t="s">
        <x:v>600</x:v>
      </x:c>
      <x:c r="C29" s="5"/>
      <x:c r="D29" s="5"/>
      <x:c r="E29" s="5"/>
      <x:c r="F29" s="5"/>
      <x:c r="G29" s="5"/>
      <x:c r="H29" s="5"/>
    </x:row>
    <x:row r="30" ht="18" customHeight="1">
      <x:c r="B30" s="12" t="s">
        <x:v>402</x:v>
      </x:c>
      <x:c r="C30" s="117"/>
      <x:c r="D30" s="117"/>
      <x:c r="E30" s="117"/>
      <x:c r="F30" s="122">
        <x:v>350</x:v>
      </x:c>
      <x:c r="G30" s="31" t="s">
        <x:v>601</x:v>
      </x:c>
      <x:c r="H30" s="32" t="s">
        <x:v>602</x:v>
      </x:c>
    </x:row>
    <x:row r="31" ht="18" customHeight="1">
      <x:c r="B31" s="12" t="s">
        <x:v>404</x:v>
      </x:c>
      <x:c r="C31" s="117"/>
      <x:c r="D31" s="117"/>
      <x:c r="E31" s="117"/>
      <x:c r="F31" s="69">
        <x:v>220</x:v>
      </x:c>
      <x:c r="G31" s="31" t="s">
        <x:v>601</x:v>
      </x:c>
      <x:c r="H31" s="32" t="s">
        <x:v>603</x:v>
      </x:c>
    </x:row>
    <x:row r="32" ht="18" customHeight="1">
      <x:c r="B32" s="12" t="s">
        <x:v>405</x:v>
      </x:c>
      <x:c r="C32" s="117"/>
      <x:c r="D32" s="117"/>
      <x:c r="E32" s="117"/>
      <x:c r="F32" s="69">
        <x:v>250</x:v>
      </x:c>
      <x:c r="G32" s="31" t="s">
        <x:v>601</x:v>
      </x:c>
      <x:c r="H32" s="32" t="s">
        <x:v>604</x:v>
      </x:c>
    </x:row>
    <x:row r="33" ht="18" customHeight="1">
      <x:c r="B33" s="12" t="s">
        <x:v>406</x:v>
      </x:c>
      <x:c r="C33" s="117"/>
      <x:c r="D33" s="117"/>
      <x:c r="E33" s="117"/>
      <x:c r="F33" s="69">
        <x:v>60</x:v>
      </x:c>
      <x:c r="G33" s="31" t="s">
        <x:v>601</x:v>
      </x:c>
      <x:c r="H33" s="32" t="s">
        <x:v>605</x:v>
      </x:c>
    </x:row>
    <x:row r="34" ht="18" customHeight="1">
      <x:c r="B34" s="12" t="s">
        <x:v>408</x:v>
      </x:c>
      <x:c r="C34" s="117"/>
      <x:c r="D34" s="117"/>
      <x:c r="E34" s="117"/>
      <x:c r="F34" s="69">
        <x:v>90</x:v>
      </x:c>
      <x:c r="G34" s="31" t="s">
        <x:v>601</x:v>
      </x:c>
      <x:c r="H34" s="32" t="s">
        <x:v>606</x:v>
      </x:c>
    </x:row>
    <x:row r="35" ht="18" customHeight="1">
      <x:c r="B35" s="12" t="s">
        <x:v>409</x:v>
      </x:c>
      <x:c r="C35" s="117"/>
      <x:c r="D35" s="117"/>
      <x:c r="E35" s="117"/>
      <x:c r="F35" s="69">
        <x:v>80</x:v>
      </x:c>
      <x:c r="G35" s="31" t="s">
        <x:v>601</x:v>
      </x:c>
      <x:c r="H35" s="32" t="s">
        <x:v>607</x:v>
      </x:c>
    </x:row>
    <x:row r="36" ht="18" customHeight="1">
      <x:c r="B36" s="12" t="s">
        <x:v>411</x:v>
      </x:c>
      <x:c r="C36" s="117"/>
      <x:c r="D36" s="117"/>
      <x:c r="E36" s="117"/>
      <x:c r="F36" s="69">
        <x:v>350</x:v>
      </x:c>
      <x:c r="G36" s="31" t="s">
        <x:v>601</x:v>
      </x:c>
      <x:c r="H36" s="32" t="s">
        <x:v>608</x:v>
      </x:c>
    </x:row>
    <x:row r="37" ht="18" customHeight="1">
      <x:c r="B37" s="12" t="s">
        <x:v>412</x:v>
      </x:c>
      <x:c r="C37" s="117"/>
      <x:c r="D37" s="117"/>
      <x:c r="E37" s="117"/>
      <x:c r="F37" s="69">
        <x:v>600</x:v>
      </x:c>
      <x:c r="G37" s="31" t="s">
        <x:v>601</x:v>
      </x:c>
      <x:c r="H37" s="32" t="s">
        <x:v>609</x:v>
      </x:c>
    </x:row>
    <x:row r="38" ht="18" customHeight="1">
      <x:c r="B38" s="12" t="s">
        <x:v>610</x:v>
      </x:c>
      <x:c r="C38" s="117"/>
      <x:c r="D38" s="117"/>
      <x:c r="E38" s="117"/>
      <x:c r="F38" s="69">
        <x:v>1200</x:v>
      </x:c>
      <x:c r="G38" s="31" t="s">
        <x:v>601</x:v>
      </x:c>
      <x:c r="H38" s="32" t="s">
        <x:v>611</x:v>
      </x:c>
    </x:row>
    <x:row r="39" ht="18" customHeight="1">
      <x:c r="B39" s="12" t="s">
        <x:v>414</x:v>
      </x:c>
      <x:c r="C39" s="117"/>
      <x:c r="D39" s="117"/>
      <x:c r="E39" s="117"/>
      <x:c r="F39" s="69">
        <x:v>2500</x:v>
      </x:c>
      <x:c r="G39" s="31" t="s">
        <x:v>601</x:v>
      </x:c>
      <x:c r="H39" s="32" t="s">
        <x:v>612</x:v>
      </x:c>
    </x:row>
    <x:row r="40" ht="18" customHeight="1">
      <x:c r="B40" s="12" t="s">
        <x:v>415</x:v>
      </x:c>
      <x:c r="C40" s="117"/>
      <x:c r="D40" s="117"/>
      <x:c r="E40" s="117"/>
      <x:c r="F40" s="69">
        <x:v>400</x:v>
      </x:c>
      <x:c r="G40" s="31" t="s">
        <x:v>601</x:v>
      </x:c>
      <x:c r="H40" s="32" t="s">
        <x:v>613</x:v>
      </x:c>
    </x:row>
    <x:row r="41" ht="18" customHeight="1">
      <x:c r="B41" s="12" t="s">
        <x:v>416</x:v>
      </x:c>
      <x:c r="C41" s="117"/>
      <x:c r="D41" s="117"/>
      <x:c r="E41" s="117"/>
      <x:c r="F41" s="69">
        <x:v>700</x:v>
      </x:c>
      <x:c r="G41" s="31" t="s">
        <x:v>601</x:v>
      </x:c>
      <x:c r="H41" s="32" t="s">
        <x:v>614</x:v>
      </x:c>
    </x:row>
    <x:row r="42" ht="20.100000381469727" customHeight="1">
      <x:c r="B42" s="5" t="s">
        <x:v>615</x:v>
      </x:c>
      <x:c r="C42" s="5"/>
      <x:c r="D42" s="5"/>
      <x:c r="E42" s="5"/>
      <x:c r="F42" s="5"/>
      <x:c r="G42" s="5"/>
      <x:c r="H42" s="5"/>
    </x:row>
    <x:row r="43" ht="18" customHeight="1">
      <x:c r="B43" s="12" t="s">
        <x:v>381</x:v>
      </x:c>
      <x:c r="C43" s="115"/>
      <x:c r="D43" s="115"/>
      <x:c r="E43" s="115"/>
      <x:c r="F43" s="116">
        <x:v>4</x:v>
      </x:c>
      <x:c r="G43" s="31" t="s">
        <x:v>616</x:v>
      </x:c>
      <x:c r="H43" s="32"/>
    </x:row>
    <x:row r="44" ht="18" customHeight="1">
      <x:c r="B44" s="12" t="s">
        <x:v>617</x:v>
      </x:c>
      <x:c r="C44" s="115"/>
      <x:c r="D44" s="115"/>
      <x:c r="E44" s="115"/>
      <x:c r="F44" s="116">
        <x:v>2</x:v>
      </x:c>
      <x:c r="G44" s="31" t="s">
        <x:v>618</x:v>
      </x:c>
      <x:c r="H44" s="32" t="s">
        <x:v>619</x:v>
      </x:c>
    </x:row>
    <x:row r="45" ht="18" customHeight="1">
      <x:c r="B45" s="12" t="s">
        <x:v>620</x:v>
      </x:c>
      <x:c r="C45" s="115"/>
      <x:c r="D45" s="115"/>
      <x:c r="E45" s="115"/>
      <x:c r="F45" s="116">
        <x:v>2</x:v>
      </x:c>
      <x:c r="G45" s="31" t="s">
        <x:v>618</x:v>
      </x:c>
      <x:c r="H45" s="32" t="s">
        <x:v>621</x:v>
      </x:c>
    </x:row>
    <x:row r="46" ht="18" customHeight="1">
      <x:c r="B46" s="12" t="s">
        <x:v>622</x:v>
      </x:c>
      <x:c r="C46" s="115"/>
      <x:c r="D46" s="115"/>
      <x:c r="E46" s="115"/>
      <x:c r="F46" s="116">
        <x:v>1</x:v>
      </x:c>
      <x:c r="G46" s="31" t="s">
        <x:v>618</x:v>
      </x:c>
      <x:c r="H46" s="32" t="s">
        <x:v>623</x:v>
      </x:c>
    </x:row>
    <x:row r="47" ht="20.100000381469727" customHeight="1">
      <x:c r="B47" s="5" t="s">
        <x:v>624</x:v>
      </x:c>
      <x:c r="C47" s="5"/>
      <x:c r="D47" s="5"/>
      <x:c r="E47" s="5"/>
      <x:c r="F47" s="5"/>
      <x:c r="G47" s="5"/>
      <x:c r="H47" s="5"/>
    </x:row>
    <x:row r="48" ht="18" customHeight="1">
      <x:c r="B48" s="12" t="s">
        <x:v>625</x:v>
      </x:c>
      <x:c r="C48" s="117"/>
      <x:c r="D48" s="117"/>
      <x:c r="E48" s="117"/>
      <x:c r="F48" s="69">
        <x:v>45000</x:v>
      </x:c>
      <x:c r="G48" s="31" t="s">
        <x:v>626</x:v>
      </x:c>
      <x:c r="H48" s="32" t="s">
        <x:v>627</x:v>
      </x:c>
    </x:row>
    <x:row r="49" ht="18" customHeight="1">
      <x:c r="B49" s="12" t="s">
        <x:v>628</x:v>
      </x:c>
      <x:c r="C49" s="117"/>
      <x:c r="D49" s="117"/>
      <x:c r="E49" s="117"/>
      <x:c r="F49" s="69">
        <x:v>70000</x:v>
      </x:c>
      <x:c r="G49" s="31" t="s">
        <x:v>626</x:v>
      </x:c>
      <x:c r="H49" s="32" t="s">
        <x:v>629</x:v>
      </x:c>
    </x:row>
    <x:row r="50" ht="18" customHeight="1">
      <x:c r="B50" s="12" t="s">
        <x:v>630</x:v>
      </x:c>
      <x:c r="C50" s="117"/>
      <x:c r="D50" s="117"/>
      <x:c r="E50" s="117"/>
      <x:c r="F50" s="69">
        <x:v>60000</x:v>
      </x:c>
      <x:c r="G50" s="31" t="s">
        <x:v>626</x:v>
      </x:c>
      <x:c r="H50" s="32" t="s">
        <x:v>631</x:v>
      </x:c>
    </x:row>
    <x:row r="51" ht="18" customHeight="1">
      <x:c r="B51" s="12" t="s">
        <x:v>632</x:v>
      </x:c>
      <x:c r="C51" s="117"/>
      <x:c r="D51" s="117"/>
      <x:c r="E51" s="117"/>
      <x:c r="F51" s="69">
        <x:v>50000</x:v>
      </x:c>
      <x:c r="G51" s="31" t="s">
        <x:v>626</x:v>
      </x:c>
      <x:c r="H51" s="32" t="s">
        <x:v>623</x:v>
      </x:c>
    </x:row>
    <x:row r="52" ht="18" customHeight="1">
      <x:c r="B52" s="12" t="s">
        <x:v>633</x:v>
      </x:c>
      <x:c r="C52" s="113"/>
      <x:c r="D52" s="113"/>
      <x:c r="E52" s="113"/>
      <x:c r="F52" s="118">
        <x:v>0.15</x:v>
      </x:c>
      <x:c r="G52" s="31" t="s">
        <x:v>634</x:v>
      </x:c>
      <x:c r="H52" s="32" t="s">
        <x:v>635</x:v>
      </x:c>
    </x:row>
    <x:row r="53" ht="18" customHeight="1">
      <x:c r="B53" s="12" t="s">
        <x:v>636</x:v>
      </x:c>
      <x:c r="C53" s="117"/>
      <x:c r="D53" s="117"/>
      <x:c r="E53" s="117"/>
      <x:c r="F53" s="69">
        <x:v>5000</x:v>
      </x:c>
      <x:c r="G53" s="31" t="s">
        <x:v>626</x:v>
      </x:c>
      <x:c r="H53" s="32" t="s">
        <x:v>637</x:v>
      </x:c>
    </x:row>
    <x:row r="54" ht="18" customHeight="1">
      <x:c r="B54" s="12" t="s">
        <x:v>638</x:v>
      </x:c>
      <x:c r="C54" s="113"/>
      <x:c r="D54" s="113"/>
      <x:c r="E54" s="113"/>
      <x:c r="F54" s="118">
        <x:v>0.04</x:v>
      </x:c>
      <x:c r="G54" s="31" t="s">
        <x:v>639</x:v>
      </x:c>
      <x:c r="H54" s="32" t="s">
        <x:v>640</x:v>
      </x:c>
    </x:row>
    <x:row r="55" ht="18" customHeight="1">
      <x:c r="B55" s="12" t="s">
        <x:v>397</x:v>
      </x:c>
      <x:c r="C55" s="113"/>
      <x:c r="D55" s="113"/>
      <x:c r="E55" s="113"/>
      <x:c r="F55" s="118">
        <x:v>0.03</x:v>
      </x:c>
      <x:c r="G55" s="31" t="s">
        <x:v>639</x:v>
      </x:c>
      <x:c r="H55" s="32" t="s">
        <x:v>641</x:v>
      </x:c>
    </x:row>
    <x:row r="56" ht="20.100000381469727" customHeight="1">
      <x:c r="A56" s="42"/>
      <x:c r="B56" s="5" t="s">
        <x:v>642</x:v>
      </x:c>
      <x:c r="C56" s="5"/>
      <x:c r="D56" s="5"/>
      <x:c r="E56" s="5"/>
      <x:c r="F56" s="5"/>
      <x:c r="G56" s="5"/>
      <x:c r="H56" s="5"/>
    </x:row>
    <x:row r="57" ht="18" customHeight="1">
      <x:c r="B57" s="12" t="s">
        <x:v>643</x:v>
      </x:c>
      <x:c r="C57" s="119"/>
      <x:c r="D57" s="119"/>
      <x:c r="E57" s="119"/>
      <x:c r="F57" s="71">
        <x:v>10500</x:v>
      </x:c>
      <x:c r="G57" s="31" t="s">
        <x:v>644</x:v>
      </x:c>
      <x:c r="H57" s="32" t="s">
        <x:v>645</x:v>
      </x:c>
    </x:row>
    <x:row r="58" ht="18" customHeight="1">
      <x:c r="B58" s="12" t="s">
        <x:v>646</x:v>
      </x:c>
      <x:c r="C58" s="119"/>
      <x:c r="D58" s="119"/>
      <x:c r="E58" s="119"/>
      <x:c r="F58" s="71">
        <x:v>90000</x:v>
      </x:c>
      <x:c r="G58" s="31" t="s">
        <x:v>647</x:v>
      </x:c>
      <x:c r="H58" s="32" t="s">
        <x:v>648</x:v>
      </x:c>
    </x:row>
    <x:row r="59" ht="18" customHeight="1">
      <x:c r="B59" s="12" t="s">
        <x:v>649</x:v>
      </x:c>
      <x:c r="C59" s="113"/>
      <x:c r="D59" s="113"/>
      <x:c r="E59" s="113"/>
      <x:c r="F59" s="118">
        <x:v>0.5</x:v>
      </x:c>
      <x:c r="G59" s="31" t="s">
        <x:v>650</x:v>
      </x:c>
      <x:c r="H59" s="32" t="s">
        <x:v>651</x:v>
      </x:c>
    </x:row>
    <x:row r="60" ht="20.100000381469727" customHeight="1">
      <x:c r="B60" s="5" t="s">
        <x:v>652</x:v>
      </x:c>
      <x:c r="C60" s="5"/>
      <x:c r="D60" s="5"/>
      <x:c r="E60" s="5"/>
      <x:c r="F60" s="5"/>
      <x:c r="G60" s="5"/>
      <x:c r="H60" s="5"/>
    </x:row>
    <x:row r="61" ht="18" customHeight="1">
      <x:c r="B61" s="148" t="s">
        <x:v>653</x:v>
      </x:c>
      <x:c r="C61" s="157">
        <x:v>0.05</x:v>
      </x:c>
      <x:c r="D61" s="157">
        <x:v>0.15</x:v>
      </x:c>
      <x:c r="E61" s="157">
        <x:v>0.3</x:v>
      </x:c>
      <x:c r="F61" s="158" t="n">
        <x:f t="shared" ref="F61:F69" si="0">CHOOSE($C$4,C61,D61,E61)</x:f>
        <x:v>0.15</x:v>
      </x:c>
      <x:c r="G61" s="31" t="s">
        <x:v>654</x:v>
      </x:c>
      <x:c r="H61" s="32" t="s">
        <x:v>655</x:v>
      </x:c>
    </x:row>
    <x:row r="62" ht="18" customHeight="1">
      <x:c r="B62" s="12" t="s">
        <x:v>656</x:v>
      </x:c>
      <x:c r="C62" s="70">
        <x:v>0.25</x:v>
      </x:c>
      <x:c r="D62" s="70">
        <x:v>0.45</x:v>
      </x:c>
      <x:c r="E62" s="70">
        <x:v>0.5</x:v>
      </x:c>
      <x:c r="F62" s="126">
        <x:f t="shared" si="0"/>
        <x:v>0.45</x:v>
      </x:c>
      <x:c r="G62" s="31" t="s">
        <x:v>654</x:v>
      </x:c>
      <x:c r="H62" s="32" t="s">
        <x:v>657</x:v>
      </x:c>
    </x:row>
    <x:row r="63" ht="18" customHeight="1">
      <x:c r="B63" s="149" t="s">
        <x:v>658</x:v>
      </x:c>
      <x:c r="C63" s="155">
        <x:v>0.7</x:v>
      </x:c>
      <x:c r="D63" s="155">
        <x:v>0.4</x:v>
      </x:c>
      <x:c r="E63" s="155">
        <x:v>0.2</x:v>
      </x:c>
      <x:c r="F63" s="156">
        <x:f t="shared" si="0"/>
        <x:v>0.4</x:v>
      </x:c>
      <x:c r="G63" s="31" t="s">
        <x:v>654</x:v>
      </x:c>
      <x:c r="H63" s="32" t="s">
        <x:v>659</x:v>
      </x:c>
    </x:row>
    <x:row r="64" ht="18" customHeight="1">
      <x:c r="B64" s="12" t="s">
        <x:v>660</x:v>
      </x:c>
      <x:c r="C64" s="70">
        <x:v>0.1</x:v>
      </x:c>
      <x:c r="D64" s="70">
        <x:v>0.3</x:v>
      </x:c>
      <x:c r="E64" s="70">
        <x:v>0.45</x:v>
      </x:c>
      <x:c r="F64" s="126">
        <x:f t="shared" si="0"/>
        <x:v>0.3</x:v>
      </x:c>
      <x:c r="G64" s="31" t="s">
        <x:v>654</x:v>
      </x:c>
      <x:c r="H64" s="32" t="s">
        <x:v>661</x:v>
      </x:c>
    </x:row>
    <x:row r="65" ht="18" customHeight="1">
      <x:c r="B65" s="12" t="s">
        <x:v>662</x:v>
      </x:c>
      <x:c r="C65" s="70">
        <x:v>0.35</x:v>
      </x:c>
      <x:c r="D65" s="70">
        <x:v>0.45</x:v>
      </x:c>
      <x:c r="E65" s="70">
        <x:v>0.45</x:v>
      </x:c>
      <x:c r="F65" s="126">
        <x:f t="shared" si="0"/>
        <x:v>0.45</x:v>
      </x:c>
      <x:c r="G65" s="31" t="s">
        <x:v>654</x:v>
      </x:c>
      <x:c r="H65" s="32" t="s">
        <x:v>663</x:v>
      </x:c>
    </x:row>
    <x:row r="66" ht="18" customHeight="1">
      <x:c r="B66" s="42" t="s">
        <x:v>664</x:v>
      </x:c>
      <x:c r="C66" s="151">
        <x:v>0.55000000000000004</x:v>
      </x:c>
      <x:c r="D66" s="151">
        <x:v>0.25</x:v>
      </x:c>
      <x:c r="E66" s="151">
        <x:v>0.1</x:v>
      </x:c>
      <x:c r="F66" s="152">
        <x:f t="shared" si="0"/>
        <x:v>0.25</x:v>
      </x:c>
      <x:c r="G66" s="31" t="s">
        <x:v>654</x:v>
      </x:c>
      <x:c r="H66" s="32" t="s">
        <x:v>665</x:v>
      </x:c>
    </x:row>
    <x:row r="67" ht="18" customHeight="1">
      <x:c r="B67" s="150" t="s">
        <x:v>666</x:v>
      </x:c>
      <x:c r="C67" s="153">
        <x:v>0.2</x:v>
      </x:c>
      <x:c r="D67" s="153">
        <x:v>0.45</x:v>
      </x:c>
      <x:c r="E67" s="153">
        <x:v>0.65</x:v>
      </x:c>
      <x:c r="F67" s="154">
        <x:f t="shared" si="0"/>
        <x:v>0.45</x:v>
      </x:c>
      <x:c r="G67" s="31" t="s">
        <x:v>654</x:v>
      </x:c>
      <x:c r="H67" s="32" t="s">
        <x:v>667</x:v>
      </x:c>
    </x:row>
    <x:row r="68" ht="18" customHeight="1">
      <x:c r="B68" s="12" t="s">
        <x:v>668</x:v>
      </x:c>
      <x:c r="C68" s="70">
        <x:v>0.4</x:v>
      </x:c>
      <x:c r="D68" s="70">
        <x:v>0.4</x:v>
      </x:c>
      <x:c r="E68" s="70">
        <x:v>0.3</x:v>
      </x:c>
      <x:c r="F68" s="126">
        <x:f t="shared" si="0"/>
        <x:v>0.4</x:v>
      </x:c>
      <x:c r="G68" s="31" t="s">
        <x:v>654</x:v>
      </x:c>
      <x:c r="H68" s="32" t="s">
        <x:v>669</x:v>
      </x:c>
    </x:row>
    <x:row r="69" ht="18" customHeight="1">
      <x:c r="B69" s="149" t="s">
        <x:v>670</x:v>
      </x:c>
      <x:c r="C69" s="155">
        <x:v>0.4</x:v>
      </x:c>
      <x:c r="D69" s="155">
        <x:v>0.15</x:v>
      </x:c>
      <x:c r="E69" s="155">
        <x:v>0.05</x:v>
      </x:c>
      <x:c r="F69" s="156">
        <x:f t="shared" si="0"/>
        <x:v>0.15</x:v>
      </x:c>
      <x:c r="G69" s="31" t="s">
        <x:v>654</x:v>
      </x:c>
      <x:c r="H69" s="32" t="s">
        <x:v>671</x:v>
      </x:c>
    </x:row>
    <x:row r="70" ht="18" customHeight="1">
      <x:c r="B70" s="150" t="s">
        <x:v>672</x:v>
      </x:c>
      <x:c r="C70" s="159"/>
      <x:c r="D70" s="159"/>
      <x:c r="E70" s="159"/>
      <x:c r="F70" s="160">
        <x:v>8.0000000000000002E-3</x:v>
      </x:c>
      <x:c r="G70" s="31" t="s">
        <x:v>673</x:v>
      </x:c>
      <x:c r="H70" s="32" t="s">
        <x:v>674</x:v>
      </x:c>
    </x:row>
    <x:row r="71" ht="18" customHeight="1">
      <x:c r="B71" s="12" t="s">
        <x:v>675</x:v>
      </x:c>
      <x:c r="C71" s="113"/>
      <x:c r="D71" s="113"/>
      <x:c r="E71" s="113"/>
      <x:c r="F71" s="123">
        <x:v>1.4999999999999999E-2</x:v>
      </x:c>
      <x:c r="G71" s="31" t="s">
        <x:v>673</x:v>
      </x:c>
      <x:c r="H71" s="32" t="s">
        <x:v>676</x:v>
      </x:c>
    </x:row>
    <x:row r="72" ht="18" customHeight="1">
      <x:c r="B72" s="149" t="s">
        <x:v>677</x:v>
      </x:c>
      <x:c r="C72" s="161"/>
      <x:c r="D72" s="161"/>
      <x:c r="E72" s="161"/>
      <x:c r="F72" s="162">
        <x:v>0.03</x:v>
      </x:c>
      <x:c r="G72" s="31" t="s">
        <x:v>673</x:v>
      </x:c>
      <x:c r="H72" s="32" t="s">
        <x:v>678</x:v>
      </x:c>
    </x:row>
    <x:row r="73" ht="18" customHeight="1">
      <x:c r="B73" s="150" t="s">
        <x:v>679</x:v>
      </x:c>
      <x:c r="C73" s="163"/>
      <x:c r="D73" s="163"/>
      <x:c r="E73" s="163"/>
      <x:c r="F73" s="164">
        <x:v>150</x:v>
      </x:c>
      <x:c r="G73" s="31" t="s">
        <x:v>680</x:v>
      </x:c>
      <x:c r="H73" s="32" t="s">
        <x:v>681</x:v>
      </x:c>
    </x:row>
    <x:row r="74" ht="18" customHeight="1">
      <x:c r="B74" s="12" t="s">
        <x:v>682</x:v>
      </x:c>
      <x:c r="C74" s="119"/>
      <x:c r="D74" s="119"/>
      <x:c r="E74" s="119"/>
      <x:c r="F74" s="71">
        <x:v>250</x:v>
      </x:c>
      <x:c r="G74" s="31" t="s">
        <x:v>680</x:v>
      </x:c>
      <x:c r="H74" s="32" t="s">
        <x:v>681</x:v>
      </x:c>
    </x:row>
    <x:row r="75" ht="18" customHeight="1">
      <x:c r="B75" s="149" t="s">
        <x:v>683</x:v>
      </x:c>
      <x:c r="C75" s="165"/>
      <x:c r="D75" s="165"/>
      <x:c r="E75" s="165"/>
      <x:c r="F75" s="166">
        <x:v>500</x:v>
      </x:c>
      <x:c r="G75" s="31" t="s">
        <x:v>680</x:v>
      </x:c>
      <x:c r="H75" s="32" t="s">
        <x:v>681</x:v>
      </x:c>
    </x:row>
    <x:row r="76" ht="18" customHeight="1">
      <x:c r="B76" s="150" t="s">
        <x:v>684</x:v>
      </x:c>
      <x:c r="C76" s="163"/>
      <x:c r="D76" s="163"/>
      <x:c r="E76" s="163"/>
      <x:c r="F76" s="164">
        <x:v>25</x:v>
      </x:c>
      <x:c r="G76" s="31" t="s">
        <x:v>680</x:v>
      </x:c>
      <x:c r="H76" s="32" t="s">
        <x:v>685</x:v>
      </x:c>
    </x:row>
    <x:row r="77" ht="18" customHeight="1">
      <x:c r="B77" s="12" t="s">
        <x:v>686</x:v>
      </x:c>
      <x:c r="C77" s="119"/>
      <x:c r="D77" s="119"/>
      <x:c r="E77" s="119"/>
      <x:c r="F77" s="71">
        <x:v>90</x:v>
      </x:c>
      <x:c r="G77" s="31" t="s">
        <x:v>680</x:v>
      </x:c>
      <x:c r="H77" s="32" t="s">
        <x:v>687</x:v>
      </x:c>
    </x:row>
    <x:row r="78" ht="18" customHeight="1">
      <x:c r="B78" s="149" t="s">
        <x:v>688</x:v>
      </x:c>
      <x:c r="C78" s="165"/>
      <x:c r="D78" s="165"/>
      <x:c r="E78" s="165"/>
      <x:c r="F78" s="166">
        <x:v>300</x:v>
      </x:c>
      <x:c r="G78" s="31" t="s">
        <x:v>680</x:v>
      </x:c>
      <x:c r="H78" s="32" t="s">
        <x:v>689</x:v>
      </x:c>
    </x:row>
    <x:row r="79" ht="18" customHeight="1">
      <x:c r="B79" s="150" t="s">
        <x:v>690</x:v>
      </x:c>
      <x:c r="C79" s="163"/>
      <x:c r="D79" s="163"/>
      <x:c r="E79" s="163"/>
      <x:c r="F79" s="164">
        <x:v>100</x:v>
      </x:c>
      <x:c r="G79" s="31" t="s">
        <x:v>691</x:v>
      </x:c>
      <x:c r="H79" s="32" t="s">
        <x:v>692</x:v>
      </x:c>
    </x:row>
    <x:row r="80" ht="18" customHeight="1">
      <x:c r="B80" s="12" t="s">
        <x:v>693</x:v>
      </x:c>
      <x:c r="C80" s="119"/>
      <x:c r="D80" s="119"/>
      <x:c r="E80" s="119"/>
      <x:c r="F80" s="71">
        <x:v>200</x:v>
      </x:c>
      <x:c r="G80" s="31" t="s">
        <x:v>691</x:v>
      </x:c>
      <x:c r="H80" s="32" t="s">
        <x:v>692</x:v>
      </x:c>
    </x:row>
    <x:row r="81" ht="18" customHeight="1">
      <x:c r="B81" s="149" t="s">
        <x:v>694</x:v>
      </x:c>
      <x:c r="C81" s="165"/>
      <x:c r="D81" s="165"/>
      <x:c r="E81" s="165"/>
      <x:c r="F81" s="166">
        <x:v>500</x:v>
      </x:c>
      <x:c r="G81" s="31" t="s">
        <x:v>691</x:v>
      </x:c>
      <x:c r="H81" s="32" t="s">
        <x:v>695</x:v>
      </x:c>
    </x:row>
    <x:row r="82" ht="18" customHeight="1">
      <x:c r="B82" s="150" t="s">
        <x:v>696</x:v>
      </x:c>
      <x:c r="C82" s="163"/>
      <x:c r="D82" s="163"/>
      <x:c r="E82" s="163"/>
      <x:c r="F82" s="164">
        <x:v>3</x:v>
      </x:c>
      <x:c r="G82" s="31" t="s">
        <x:v>680</x:v>
      </x:c>
      <x:c r="H82" s="32" t="s">
        <x:v>697</x:v>
      </x:c>
    </x:row>
    <x:row r="83" ht="18" customHeight="1">
      <x:c r="B83" s="12" t="s">
        <x:v>698</x:v>
      </x:c>
      <x:c r="C83" s="119"/>
      <x:c r="D83" s="119"/>
      <x:c r="E83" s="119"/>
      <x:c r="F83" s="71">
        <x:v>10</x:v>
      </x:c>
      <x:c r="G83" s="31" t="s">
        <x:v>680</x:v>
      </x:c>
      <x:c r="H83" s="32" t="s">
        <x:v>699</x:v>
      </x:c>
    </x:row>
    <x:row r="84" ht="18" customHeight="1">
      <x:c r="B84" s="149" t="s">
        <x:v>700</x:v>
      </x:c>
      <x:c r="C84" s="165"/>
      <x:c r="D84" s="165"/>
      <x:c r="E84" s="165"/>
      <x:c r="F84" s="166">
        <x:v>150</x:v>
      </x:c>
      <x:c r="G84" s="31" t="s">
        <x:v>680</x:v>
      </x:c>
      <x:c r="H84" s="32" t="s">
        <x:v>701</x:v>
      </x:c>
    </x:row>
    <x:row r="85" ht="18" customHeight="1">
      <x:c r="B85" s="150" t="s">
        <x:v>702</x:v>
      </x:c>
      <x:c r="C85" s="163"/>
      <x:c r="D85" s="163"/>
      <x:c r="E85" s="163"/>
      <x:c r="F85" s="164">
        <x:v>3</x:v>
      </x:c>
      <x:c r="G85" s="31" t="s">
        <x:v>680</x:v>
      </x:c>
      <x:c r="H85" s="32" t="s">
        <x:v>703</x:v>
      </x:c>
    </x:row>
    <x:row r="86" ht="18" customHeight="1">
      <x:c r="B86" s="12" t="s">
        <x:v>704</x:v>
      </x:c>
      <x:c r="C86" s="119"/>
      <x:c r="D86" s="119"/>
      <x:c r="E86" s="119"/>
      <x:c r="F86" s="71">
        <x:v>20</x:v>
      </x:c>
      <x:c r="G86" s="31" t="s">
        <x:v>680</x:v>
      </x:c>
      <x:c r="H86" s="32" t="s">
        <x:v>705</x:v>
      </x:c>
    </x:row>
    <x:row r="87" ht="18" customHeight="1">
      <x:c r="B87" s="149" t="s">
        <x:v>706</x:v>
      </x:c>
      <x:c r="C87" s="165"/>
      <x:c r="D87" s="165"/>
      <x:c r="E87" s="165"/>
      <x:c r="F87" s="166">
        <x:v>150</x:v>
      </x:c>
      <x:c r="G87" s="31" t="s">
        <x:v>680</x:v>
      </x:c>
      <x:c r="H87" s="32" t="s">
        <x:v>707</x:v>
      </x:c>
    </x:row>
    <x:row r="88" ht="18" customHeight="1">
      <x:c r="B88" s="150" t="s">
        <x:v>708</x:v>
      </x:c>
      <x:c r="C88" s="163"/>
      <x:c r="D88" s="163"/>
      <x:c r="E88" s="163"/>
      <x:c r="F88" s="164">
        <x:v>2</x:v>
      </x:c>
      <x:c r="G88" s="31" t="s">
        <x:v>680</x:v>
      </x:c>
      <x:c r="H88" s="32" t="s">
        <x:v>709</x:v>
      </x:c>
    </x:row>
    <x:row r="89" ht="18" customHeight="1">
      <x:c r="B89" s="12" t="s">
        <x:v>710</x:v>
      </x:c>
      <x:c r="C89" s="119"/>
      <x:c r="D89" s="119"/>
      <x:c r="E89" s="119"/>
      <x:c r="F89" s="71">
        <x:v>6</x:v>
      </x:c>
      <x:c r="G89" s="31" t="s">
        <x:v>680</x:v>
      </x:c>
      <x:c r="H89" s="32" t="s">
        <x:v>711</x:v>
      </x:c>
    </x:row>
    <x:row r="90" ht="18" customHeight="1">
      <x:c r="B90" s="149" t="s">
        <x:v>712</x:v>
      </x:c>
      <x:c r="C90" s="165"/>
      <x:c r="D90" s="165"/>
      <x:c r="E90" s="165"/>
      <x:c r="F90" s="166">
        <x:v>20</x:v>
      </x:c>
      <x:c r="G90" s="31" t="s">
        <x:v>680</x:v>
      </x:c>
      <x:c r="H90" s="32" t="s">
        <x:v>713</x:v>
      </x:c>
    </x:row>
    <x:row r="91" ht="18" customHeight="1">
      <x:c r="B91" s="150" t="s">
        <x:v>714</x:v>
      </x:c>
      <x:c r="C91" s="159"/>
      <x:c r="D91" s="159"/>
      <x:c r="E91" s="159"/>
      <x:c r="F91" s="167">
        <x:v>0.04</x:v>
      </x:c>
      <x:c r="G91" s="31" t="s">
        <x:v>654</x:v>
      </x:c>
      <x:c r="H91" s="32" t="s">
        <x:v>715</x:v>
      </x:c>
    </x:row>
    <x:row r="92" ht="18" customHeight="1">
      <x:c r="B92" s="12" t="s">
        <x:v>716</x:v>
      </x:c>
      <x:c r="C92" s="113"/>
      <x:c r="D92" s="113"/>
      <x:c r="E92" s="113"/>
      <x:c r="F92" s="118">
        <x:v>0.1</x:v>
      </x:c>
      <x:c r="G92" s="31" t="s">
        <x:v>654</x:v>
      </x:c>
      <x:c r="H92" s="32" t="s">
        <x:v>717</x:v>
      </x:c>
    </x:row>
    <x:row r="93" ht="18" customHeight="1">
      <x:c r="B93" s="149" t="s">
        <x:v>718</x:v>
      </x:c>
      <x:c r="C93" s="161"/>
      <x:c r="D93" s="161"/>
      <x:c r="E93" s="161"/>
      <x:c r="F93" s="168">
        <x:v>0.2</x:v>
      </x:c>
      <x:c r="G93" s="31" t="s">
        <x:v>654</x:v>
      </x:c>
      <x:c r="H93" s="32" t="s">
        <x:v>719</x:v>
      </x:c>
    </x:row>
    <x:row r="94" ht="18" customHeight="1">
      <x:c r="B94" s="150" t="s">
        <x:v>720</x:v>
      </x:c>
      <x:c r="C94" s="163"/>
      <x:c r="D94" s="163"/>
      <x:c r="E94" s="163"/>
      <x:c r="F94" s="164">
        <x:v>60</x:v>
      </x:c>
      <x:c r="G94" s="31" t="s">
        <x:v>691</x:v>
      </x:c>
      <x:c r="H94" s="32" t="s">
        <x:v>721</x:v>
      </x:c>
    </x:row>
    <x:row r="95" ht="18" customHeight="1">
      <x:c r="B95" s="12" t="s">
        <x:v>722</x:v>
      </x:c>
      <x:c r="C95" s="119"/>
      <x:c r="D95" s="119"/>
      <x:c r="E95" s="119"/>
      <x:c r="F95" s="71">
        <x:v>120</x:v>
      </x:c>
      <x:c r="G95" s="31" t="s">
        <x:v>691</x:v>
      </x:c>
      <x:c r="H95" s="32" t="s">
        <x:v>721</x:v>
      </x:c>
    </x:row>
    <x:row r="96" ht="18" customHeight="1">
      <x:c r="B96" s="149" t="s">
        <x:v>723</x:v>
      </x:c>
      <x:c r="C96" s="165"/>
      <x:c r="D96" s="165"/>
      <x:c r="E96" s="165"/>
      <x:c r="F96" s="166">
        <x:v>350</x:v>
      </x:c>
      <x:c r="G96" s="31" t="s">
        <x:v>691</x:v>
      </x:c>
      <x:c r="H96" s="32" t="s">
        <x:v>721</x:v>
      </x:c>
    </x:row>
    <x:row r="97" ht="3" customHeight="1">
      <x:c r="B97"/>
      <x:c r="C97"/>
      <x:c r="D97"/>
      <x:c r="E97"/>
      <x:c r="F97"/>
      <x:c r="G97"/>
      <x:c r="H97"/>
    </x:row>
    <x:row r="98" ht="3" customHeight="1">
      <x:c r="B98"/>
      <x:c r="C98"/>
      <x:c r="D98"/>
      <x:c r="E98"/>
      <x:c r="F98"/>
      <x:c r="G98"/>
      <x:c r="H98"/>
    </x:row>
    <x:row r="99" ht="3" customHeight="1">
      <x:c r="B99"/>
      <x:c r="C99"/>
      <x:c r="D99"/>
      <x:c r="E99"/>
      <x:c r="F99"/>
      <x:c r="G99"/>
      <x:c r="H99"/>
    </x:row>
    <x:row r="100" ht="3" customHeight="1">
      <x:c r="B100"/>
      <x:c r="C100"/>
      <x:c r="D100"/>
      <x:c r="E100"/>
      <x:c r="F100"/>
      <x:c r="G100"/>
      <x:c r="H100"/>
    </x:row>
    <x:row r="101" ht="3" customHeight="1">
      <x:c r="B101"/>
      <x:c r="C101"/>
      <x:c r="D101"/>
      <x:c r="E101"/>
      <x:c r="F101"/>
      <x:c r="G101"/>
      <x:c r="H101"/>
    </x:row>
    <x:row r="102" ht="3" customHeight="1">
      <x:c r="B102"/>
      <x:c r="C102"/>
      <x:c r="D102"/>
      <x:c r="E102"/>
      <x:c r="F102"/>
      <x:c r="G102"/>
      <x:c r="H102"/>
    </x:row>
    <x:row r="103" ht="18" customHeight="1">
      <x:c r="B103" s="12" t="s">
        <x:v>724</x:v>
      </x:c>
      <x:c r="C103" s="17"/>
      <x:c r="D103" s="17"/>
      <x:c r="E103" s="17"/>
      <x:c r="F103" s="16">
        <x:v>3</x:v>
      </x:c>
      <x:c r="G103" s="31" t="s">
        <x:v>725</x:v>
      </x:c>
      <x:c r="H103" s="32" t="s">
        <x:v>726</x:v>
      </x:c>
    </x:row>
    <x:row r="104" ht="18" customHeight="1">
      <x:c r="B104" s="12" t="s">
        <x:v>727</x:v>
      </x:c>
      <x:c r="C104" s="17"/>
      <x:c r="D104" s="17"/>
      <x:c r="E104" s="17"/>
      <x:c r="F104" s="16">
        <x:v>6</x:v>
      </x:c>
      <x:c r="G104" s="31" t="s">
        <x:v>725</x:v>
      </x:c>
      <x:c r="H104" s="32" t="s">
        <x:v>728</x:v>
      </x:c>
    </x:row>
    <x:row r="105" ht="18" customHeight="1">
      <x:c r="B105" s="12" t="s">
        <x:v>729</x:v>
      </x:c>
      <x:c r="C105" s="17"/>
      <x:c r="D105" s="17"/>
      <x:c r="E105" s="17"/>
      <x:c r="F105" s="16">
        <x:v>9</x:v>
      </x:c>
      <x:c r="G105" s="31" t="s">
        <x:v>725</x:v>
      </x:c>
      <x:c r="H105" s="32" t="s">
        <x:v>730</x:v>
      </x:c>
    </x:row>
    <x:row r="106" ht="20.100000381469727" customHeight="1">
      <x:c r="B106" s="5" t="s">
        <x:v>731</x:v>
      </x:c>
      <x:c r="C106" s="5"/>
      <x:c r="D106" s="5"/>
      <x:c r="E106" s="5"/>
      <x:c r="F106" s="5"/>
      <x:c r="G106" s="5"/>
      <x:c r="H106" s="5"/>
    </x:row>
    <x:row r="107" ht="18" customHeight="1">
      <x:c r="B107" s="12" t="s">
        <x:v>732</x:v>
      </x:c>
      <x:c r="C107" s="115">
        <x:v>1.5</x:v>
      </x:c>
      <x:c r="D107" s="115">
        <x:v>3</x:v>
      </x:c>
      <x:c r="E107" s="115">
        <x:v>5</x:v>
      </x:c>
      <x:c r="F107" s="125" t="n">
        <x:f>CHOOSE($C$4,C107,D107,E107)</x:f>
        <x:v>3</x:v>
      </x:c>
      <x:c r="G107" s="31" t="s">
        <x:v>733</x:v>
      </x:c>
      <x:c r="H107" s="32" t="s">
        <x:v>734</x:v>
      </x:c>
    </x:row>
    <x:row r="108" ht="18" customHeight="1">
      <x:c r="B108" s="12" t="s">
        <x:v>735</x:v>
      </x:c>
      <x:c r="C108" s="115">
        <x:v>2</x:v>
      </x:c>
      <x:c r="D108" s="115">
        <x:v>4</x:v>
      </x:c>
      <x:c r="E108" s="115">
        <x:v>6</x:v>
      </x:c>
      <x:c r="F108" s="125" t="n">
        <x:f>CHOOSE($C$4,C108,D108,E108)</x:f>
        <x:v>4</x:v>
      </x:c>
      <x:c r="G108" s="31" t="s">
        <x:v>733</x:v>
      </x:c>
      <x:c r="H108" s="32" t="s">
        <x:v>736</x:v>
      </x:c>
    </x:row>
    <x:row r="109" ht="18" customHeight="1">
      <x:c r="B109" s="12" t="s">
        <x:v>737</x:v>
      </x:c>
      <x:c r="C109" s="115">
        <x:v>2.5</x:v>
      </x:c>
      <x:c r="D109" s="115">
        <x:v>6</x:v>
      </x:c>
      <x:c r="E109" s="115">
        <x:v>10</x:v>
      </x:c>
      <x:c r="F109" s="125" t="n">
        <x:f>CHOOSE($C$4,C109,D109,E109)</x:f>
        <x:v>6</x:v>
      </x:c>
      <x:c r="G109" s="31" t="s">
        <x:v>733</x:v>
      </x:c>
      <x:c r="H109" s="32" t="s">
        <x:v>738</x:v>
      </x:c>
    </x:row>
    <x:row r="110" ht="18" customHeight="1">
      <x:c r="B110" s="12" t="s">
        <x:v>739</x:v>
      </x:c>
      <x:c r="C110" s="115">
        <x:v>0</x:v>
      </x:c>
      <x:c r="D110" s="115">
        <x:v>6</x:v>
      </x:c>
      <x:c r="E110" s="115">
        <x:v>20</x:v>
      </x:c>
      <x:c r="F110" s="125" t="n">
        <x:f>CHOOSE($C$4,C110,D110,E110)</x:f>
        <x:v>6</x:v>
      </x:c>
      <x:c r="G110" s="31" t="s">
        <x:v>581</x:v>
      </x:c>
      <x:c r="H110" s="32" t="s">
        <x:v>740</x:v>
      </x:c>
    </x:row>
    <x:row r="111" ht="20.100000381469727" customHeight="1">
      <x:c r="B111" s="5" t="str">
        <x:v>ANCILLARY REVENUE — SUPPORTING ASSUMPTIONS</x:v>
      </x:c>
      <x:c r="C111" s="5"/>
      <x:c r="D111" s="5"/>
      <x:c r="E111" s="5"/>
      <x:c r="F111" s="5"/>
      <x:c r="G111" s="5"/>
      <x:c r="H111" s="5" t="str">
        <x:v>Detailed calculation inputs; consolidated for reader-facing presentation.</x:v>
      </x:c>
    </x:row>
    <x:row r="112" ht="18" customHeight="1">
      <x:c r="B112" s="12" t="s">
        <x:v>741</x:v>
      </x:c>
      <x:c r="C112" s="113"/>
      <x:c r="D112" s="113"/>
      <x:c r="E112" s="113"/>
      <x:c r="F112" s="118">
        <x:v>0.5</x:v>
      </x:c>
      <x:c r="G112" s="31" t="s">
        <x:v>742</x:v>
      </x:c>
      <x:c r="H112" s="32" t="s">
        <x:v>743</x:v>
      </x:c>
    </x:row>
    <x:row r="113" ht="18" customHeight="1">
      <x:c r="B113" s="12" t="s">
        <x:v>744</x:v>
      </x:c>
      <x:c r="C113" s="113"/>
      <x:c r="D113" s="113"/>
      <x:c r="E113" s="113"/>
      <x:c r="F113" s="118">
        <x:v>0.1</x:v>
      </x:c>
      <x:c r="G113" s="31" t="s">
        <x:v>745</x:v>
      </x:c>
      <x:c r="H113" s="32" t="s">
        <x:v>746</x:v>
      </x:c>
    </x:row>
    <x:row r="114" ht="18" customHeight="1">
      <x:c r="B114" s="12" t="s">
        <x:v>747</x:v>
      </x:c>
      <x:c r="C114" s="113"/>
      <x:c r="D114" s="113"/>
      <x:c r="E114" s="113"/>
      <x:c r="F114" s="118">
        <x:v>0.2</x:v>
      </x:c>
      <x:c r="G114" s="31" t="s">
        <x:v>748</x:v>
      </x:c>
      <x:c r="H114" s="32" t="s">
        <x:v>749</x:v>
      </x:c>
    </x:row>
    <x:row r="115" ht="18" customHeight="1">
      <x:c r="B115" s="12" t="s">
        <x:v>750</x:v>
      </x:c>
      <x:c r="C115" s="119"/>
      <x:c r="D115" s="119"/>
      <x:c r="E115" s="119"/>
      <x:c r="F115" s="71">
        <x:v>150</x:v>
      </x:c>
      <x:c r="G115" s="31" t="s">
        <x:v>680</x:v>
      </x:c>
      <x:c r="H115" s="32" t="s">
        <x:v>751</x:v>
      </x:c>
    </x:row>
    <x:row r="116" ht="18" customHeight="1">
      <x:c r="B116" s="12" t="s">
        <x:v>752</x:v>
      </x:c>
      <x:c r="C116" s="119"/>
      <x:c r="D116" s="119"/>
      <x:c r="E116" s="119"/>
      <x:c r="F116" s="71">
        <x:v>300</x:v>
      </x:c>
      <x:c r="G116" s="31" t="s">
        <x:v>680</x:v>
      </x:c>
      <x:c r="H116" s="32" t="s">
        <x:v>753</x:v>
      </x:c>
    </x:row>
    <x:row r="117" ht="18" customHeight="1">
      <x:c r="B117" s="12" t="s">
        <x:v>754</x:v>
      </x:c>
      <x:c r="C117" s="119"/>
      <x:c r="D117" s="119"/>
      <x:c r="E117" s="119"/>
      <x:c r="F117" s="71">
        <x:v>15</x:v>
      </x:c>
      <x:c r="G117" s="31" t="s">
        <x:v>755</x:v>
      </x:c>
      <x:c r="H117" s="32" t="s">
        <x:v>756</x:v>
      </x:c>
    </x:row>
    <x:row r="118" ht="18" customHeight="1">
      <x:c r="B118" s="12" t="s">
        <x:v>757</x:v>
      </x:c>
      <x:c r="C118" s="113"/>
      <x:c r="D118" s="113"/>
      <x:c r="E118" s="113"/>
      <x:c r="F118" s="118">
        <x:v>0.2</x:v>
      </x:c>
      <x:c r="G118" s="31" t="s">
        <x:v>758</x:v>
      </x:c>
      <x:c r="H118" s="32" t="s">
        <x:v>759</x:v>
      </x:c>
    </x:row>
    <x:row r="119" ht="18" customHeight="1">
      <x:c r="B119" s="12" t="s">
        <x:v>760</x:v>
      </x:c>
      <x:c r="C119" s="119"/>
      <x:c r="D119" s="119"/>
      <x:c r="E119" s="119"/>
      <x:c r="F119" s="71">
        <x:v>75</x:v>
      </x:c>
      <x:c r="G119" s="31" t="s">
        <x:v>680</x:v>
      </x:c>
      <x:c r="H119" s="32" t="s">
        <x:v>761</x:v>
      </x:c>
    </x:row>
    <x:row r="120" ht="18" customHeight="1">
      <x:c r="B120" s="12" t="s">
        <x:v>762</x:v>
      </x:c>
      <x:c r="C120" s="119"/>
      <x:c r="D120" s="119"/>
      <x:c r="E120" s="119"/>
      <x:c r="F120" s="71">
        <x:v>150</x:v>
      </x:c>
      <x:c r="G120" s="31" t="s">
        <x:v>763</x:v>
      </x:c>
      <x:c r="H120" s="32" t="s">
        <x:v>764</x:v>
      </x:c>
    </x:row>
    <x:row r="121" ht="18" customHeight="1">
      <x:c r="B121" s="12" t="s">
        <x:v>765</x:v>
      </x:c>
      <x:c r="C121" s="113"/>
      <x:c r="D121" s="113"/>
      <x:c r="E121" s="113"/>
      <x:c r="F121" s="118">
        <x:v>0.4</x:v>
      </x:c>
      <x:c r="G121" s="31" t="s">
        <x:v>766</x:v>
      </x:c>
      <x:c r="H121" s="32" t="s">
        <x:v>767</x:v>
      </x:c>
    </x:row>
    <x:row r="122" ht="18" customHeight="1">
      <x:c r="B122" s="12" t="s">
        <x:v>768</x:v>
      </x:c>
      <x:c r="C122" s="119"/>
      <x:c r="D122" s="119"/>
      <x:c r="E122" s="119"/>
      <x:c r="F122" s="71">
        <x:v>7500</x:v>
      </x:c>
      <x:c r="G122" s="31" t="s">
        <x:v>769</x:v>
      </x:c>
      <x:c r="H122" s="32" t="s">
        <x:v>770</x:v>
      </x:c>
    </x:row>
    <x:row r="123" ht="18" customHeight="1">
      <x:c r="B123" s="12" t="s">
        <x:v>771</x:v>
      </x:c>
      <x:c r="C123" s="119"/>
      <x:c r="D123" s="119"/>
      <x:c r="E123" s="119"/>
      <x:c r="F123" s="71">
        <x:v>750</x:v>
      </x:c>
      <x:c r="G123" s="31" t="s">
        <x:v>772</x:v>
      </x:c>
      <x:c r="H123" s="32" t="s">
        <x:v>773</x:v>
      </x:c>
    </x:row>
    <x:row r="124" ht="18" customHeight="1">
      <x:c r="B124" s="12" t="s">
        <x:v>774</x:v>
      </x:c>
      <x:c r="C124" s="119"/>
      <x:c r="D124" s="119"/>
      <x:c r="E124" s="119"/>
      <x:c r="F124" s="71">
        <x:v>3</x:v>
      </x:c>
      <x:c r="G124" s="31" t="s">
        <x:v>680</x:v>
      </x:c>
      <x:c r="H124" s="32" t="s">
        <x:v>775</x:v>
      </x:c>
    </x:row>
    <x:row r="125" ht="18" customHeight="1">
      <x:c r="B125" s="12" t="s">
        <x:v>776</x:v>
      </x:c>
      <x:c r="C125" s="113"/>
      <x:c r="D125" s="113"/>
      <x:c r="E125" s="113"/>
      <x:c r="F125" s="118">
        <x:v>0</x:v>
      </x:c>
      <x:c r="G125" s="31" t="s">
        <x:v>777</x:v>
      </x:c>
      <x:c r="H125" s="32" t="s">
        <x:v>778</x:v>
      </x:c>
    </x:row>
    <x:row r="126" ht="20.100000381469727" customHeight="1">
      <x:c r="B126" s="5" t="str">
        <x:v>SECURITY &amp; OPERATIONAL RESILIENCE — SUPPORTING ASSUMPTIONS</x:v>
      </x:c>
      <x:c r="C126" s="5"/>
      <x:c r="D126" s="5"/>
      <x:c r="E126" s="5"/>
      <x:c r="F126" s="5"/>
      <x:c r="G126" s="5"/>
      <x:c r="H126" s="5" t="str">
        <x:v>Planning allowances consolidated in the P&amp;L and support schedule.</x:v>
      </x:c>
    </x:row>
    <x:row r="127" ht="18" customHeight="1">
      <x:c r="B127" s="12" t="s">
        <x:v>779</x:v>
      </x:c>
      <x:c r="C127" s="119"/>
      <x:c r="D127" s="119"/>
      <x:c r="E127" s="119"/>
      <x:c r="F127" s="71">
        <x:v>15000</x:v>
      </x:c>
      <x:c r="G127" s="31" t="s">
        <x:v>644</x:v>
      </x:c>
      <x:c r="H127" s="32" t="s">
        <x:v>780</x:v>
      </x:c>
    </x:row>
    <x:row r="128" ht="18" customHeight="1">
      <x:c r="B128" s="12" t="s">
        <x:v>781</x:v>
      </x:c>
      <x:c r="C128" s="119"/>
      <x:c r="D128" s="119"/>
      <x:c r="E128" s="119"/>
      <x:c r="F128" s="71">
        <x:v>20000</x:v>
      </x:c>
      <x:c r="G128" s="31" t="s">
        <x:v>644</x:v>
      </x:c>
      <x:c r="H128" s="32" t="s">
        <x:v>782</x:v>
      </x:c>
    </x:row>
    <x:row r="129" ht="18" customHeight="1">
      <x:c r="B129" s="12" t="s">
        <x:v>783</x:v>
      </x:c>
      <x:c r="C129" s="119"/>
      <x:c r="D129" s="119"/>
      <x:c r="E129" s="119"/>
      <x:c r="F129" s="71">
        <x:v>40000</x:v>
      </x:c>
      <x:c r="G129" s="31" t="s">
        <x:v>784</x:v>
      </x:c>
      <x:c r="H129" s="32" t="s">
        <x:v>785</x:v>
      </x:c>
    </x:row>
    <x:row r="130" ht="18" customHeight="1">
      <x:c r="B130" s="12" t="s">
        <x:v>786</x:v>
      </x:c>
      <x:c r="C130" s="119"/>
      <x:c r="D130" s="119"/>
      <x:c r="E130" s="119"/>
      <x:c r="F130" s="71">
        <x:v>15000</x:v>
      </x:c>
      <x:c r="G130" s="31" t="s">
        <x:v>644</x:v>
      </x:c>
      <x:c r="H130" s="32" t="s">
        <x:v>787</x:v>
      </x:c>
    </x:row>
    <x:row r="131" ht="18" customHeight="1">
      <x:c r="B131" s="12" t="s">
        <x:v>788</x:v>
      </x:c>
      <x:c r="C131" s="113"/>
      <x:c r="D131" s="113"/>
      <x:c r="E131" s="113"/>
      <x:c r="F131" s="118">
        <x:v>0.12</x:v>
      </x:c>
      <x:c r="G131" s="31" t="s">
        <x:v>654</x:v>
      </x:c>
      <x:c r="H131" s="32" t="s">
        <x:v>789</x:v>
      </x:c>
    </x:row>
    <x:row r="132" ht="18" customHeight="1">
      <x:c r="B132" s="12" t="s">
        <x:v>790</x:v>
      </x:c>
      <x:c r="C132" s="119"/>
      <x:c r="D132" s="119"/>
      <x:c r="E132" s="119"/>
      <x:c r="F132" s="71">
        <x:v>40</x:v>
      </x:c>
      <x:c r="G132" s="31" t="s">
        <x:v>791</x:v>
      </x:c>
      <x:c r="H132" s="32" t="s">
        <x:v>792</x:v>
      </x:c>
    </x:row>
    <x:row r="133" ht="18" customHeight="1">
      <x:c r="B133" s="12" t="s">
        <x:v>793</x:v>
      </x:c>
      <x:c r="C133" s="113"/>
      <x:c r="D133" s="113"/>
      <x:c r="E133" s="113"/>
      <x:c r="F133" s="118">
        <x:v>0.15</x:v>
      </x:c>
      <x:c r="G133" s="31" t="s">
        <x:v>794</x:v>
      </x:c>
      <x:c r="H133" s="32" t="s">
        <x:v>795</x:v>
      </x:c>
    </x:row>
    <x:row r="134" ht="18" customHeight="1">
      <x:c r="B134" s="12" t="s">
        <x:v>550</x:v>
      </x:c>
      <x:c r="C134" s="119"/>
      <x:c r="D134" s="119"/>
      <x:c r="E134" s="119"/>
      <x:c r="F134" s="71">
        <x:v>1500</x:v>
      </x:c>
      <x:c r="G134" s="31" t="s">
        <x:v>691</x:v>
      </x:c>
      <x:c r="H134" s="32" t="s">
        <x:v>796</x:v>
      </x:c>
    </x:row>
    <x:row r="135" ht="18" customHeight="1">
      <x:c r="B135" s="12" t="s">
        <x:v>797</x:v>
      </x:c>
      <x:c r="C135" s="113"/>
      <x:c r="D135" s="113"/>
      <x:c r="E135" s="113"/>
      <x:c r="F135" s="118">
        <x:v>0.01</x:v>
      </x:c>
      <x:c r="G135" s="31" t="s">
        <x:v>798</x:v>
      </x:c>
      <x:c r="H135" s="32" t="s">
        <x:v>799</x:v>
      </x:c>
    </x:row>
    <x:row r="136" ht="18" customHeight="1">
      <x:c r="B136" s="12" t="s">
        <x:v>800</x:v>
      </x:c>
      <x:c r="C136" s="119"/>
      <x:c r="D136" s="119"/>
      <x:c r="E136" s="119"/>
      <x:c r="F136" s="71">
        <x:v>15000</x:v>
      </x:c>
      <x:c r="G136" s="31" t="s">
        <x:v>644</x:v>
      </x:c>
      <x:c r="H136" s="32" t="s">
        <x:v>801</x:v>
      </x:c>
    </x:row>
    <x:row r="137" ht="18" customHeight="1">
      <x:c r="B137" s="12" t="s">
        <x:v>802</x:v>
      </x:c>
      <x:c r="C137" s="119"/>
      <x:c r="D137" s="119"/>
      <x:c r="E137" s="119"/>
      <x:c r="F137" s="71">
        <x:v>12000</x:v>
      </x:c>
      <x:c r="G137" s="31" t="s">
        <x:v>644</x:v>
      </x:c>
      <x:c r="H137" s="32" t="s">
        <x:v>803</x:v>
      </x:c>
    </x:row>
    <x:row r="138" ht="18" customHeight="1">
      <x:c r="B138" s="12" t="s">
        <x:v>804</x:v>
      </x:c>
      <x:c r="C138" s="119"/>
      <x:c r="D138" s="119"/>
      <x:c r="E138" s="119"/>
      <x:c r="F138" s="71">
        <x:v>18000</x:v>
      </x:c>
      <x:c r="G138" s="31" t="s">
        <x:v>644</x:v>
      </x:c>
      <x:c r="H138" s="32" t="s">
        <x:v>805</x:v>
      </x:c>
    </x:row>
    <x:row r="139" ht="18" customHeight="1">
      <x:c r="B139" s="12" t="s">
        <x:v>806</x:v>
      </x:c>
      <x:c r="C139" s="113"/>
      <x:c r="D139" s="113"/>
      <x:c r="E139" s="113"/>
      <x:c r="F139" s="118">
        <x:v>0.05</x:v>
      </x:c>
      <x:c r="G139" s="31" t="s">
        <x:v>798</x:v>
      </x:c>
      <x:c r="H139" s="32" t="s">
        <x:v>807</x:v>
      </x:c>
    </x:row>
    <x:row r="140" ht="18" customHeight="1">
      <x:c r="B140" s="12" t="s">
        <x:v>808</x:v>
      </x:c>
      <x:c r="C140" s="113"/>
      <x:c r="D140" s="113"/>
      <x:c r="E140" s="113"/>
      <x:c r="F140" s="118">
        <x:v>0.01</x:v>
      </x:c>
      <x:c r="G140" s="31" t="s">
        <x:v>809</x:v>
      </x:c>
      <x:c r="H140" s="32" t="s">
        <x:v>810</x:v>
      </x:c>
    </x:row>
    <x:row r="141" ht="18" customHeight="1">
      <x:c r="B141" s="12" t="s">
        <x:v>811</x:v>
      </x:c>
      <x:c r="C141" s="113"/>
      <x:c r="D141" s="113"/>
      <x:c r="E141" s="113"/>
      <x:c r="F141" s="118">
        <x:v>0.03</x:v>
      </x:c>
      <x:c r="G141" s="31" t="s">
        <x:v>745</x:v>
      </x:c>
      <x:c r="H141" s="32" t="s">
        <x:v>812</x:v>
      </x:c>
    </x:row>
    <x:row r="142" ht="18" customHeight="1">
      <x:c r="B142" s="12" t="s">
        <x:v>813</x:v>
      </x:c>
      <x:c r="C142" s="119"/>
      <x:c r="D142" s="119"/>
      <x:c r="E142" s="119"/>
      <x:c r="F142" s="71">
        <x:v>75</x:v>
      </x:c>
      <x:c r="G142" s="31" t="s">
        <x:v>680</x:v>
      </x:c>
      <x:c r="H142" s="32" t="s">
        <x:v>814</x:v>
      </x:c>
    </x:row>
    <x:row r="143" ht="18" customHeight="1">
      <x:c r="B143" s="12" t="s">
        <x:v>815</x:v>
      </x:c>
      <x:c r="C143" s="119"/>
      <x:c r="D143" s="119"/>
      <x:c r="E143" s="119"/>
      <x:c r="F143" s="71">
        <x:v>30000</x:v>
      </x:c>
      <x:c r="G143" s="31" t="s">
        <x:v>644</x:v>
      </x:c>
      <x:c r="H143" s="32" t="s">
        <x:v>816</x:v>
      </x:c>
    </x:row>
    <x:row r="144" ht="18" customHeight="1">
      <x:c r="B144" s="12" t="s">
        <x:v>817</x:v>
      </x:c>
      <x:c r="C144" s="119"/>
      <x:c r="D144" s="119"/>
      <x:c r="E144" s="119"/>
      <x:c r="F144" s="71">
        <x:v>7500</x:v>
      </x:c>
      <x:c r="G144" s="31" t="s">
        <x:v>784</x:v>
      </x:c>
      <x:c r="H144" s="32" t="s">
        <x:v>818</x:v>
      </x:c>
    </x:row>
    <x:row r="145" ht="18" customHeight="1">
      <x:c r="B145" s="12" t="s">
        <x:v>819</x:v>
      </x:c>
      <x:c r="C145" s="119"/>
      <x:c r="D145" s="119"/>
      <x:c r="E145" s="119"/>
      <x:c r="F145" s="71">
        <x:v>7500</x:v>
      </x:c>
      <x:c r="G145" s="31" t="s">
        <x:v>784</x:v>
      </x:c>
      <x:c r="H145" s="32" t="s">
        <x:v>820</x:v>
      </x:c>
    </x:row>
    <x:row r="146" ht="20.100000381469727" customHeight="1">
      <x:c r="B146" s="5" t="s">
        <x:v>821</x:v>
      </x:c>
      <x:c r="C146" s="5"/>
      <x:c r="D146" s="5"/>
      <x:c r="E146" s="5"/>
      <x:c r="F146" s="5"/>
      <x:c r="G146" s="5"/>
      <x:c r="H146" s="5"/>
    </x:row>
    <x:row r="147" ht="18" customHeight="1">
      <x:c r="B147" s="12" t="s">
        <x:v>822</x:v>
      </x:c>
      <x:c r="C147" s="115">
        <x:v>1800</x:v>
      </x:c>
      <x:c r="D147" s="115">
        <x:v>15000</x:v>
      </x:c>
      <x:c r="E147" s="115">
        <x:v>32000</x:v>
      </x:c>
      <x:c r="F147" s="125" t="n">
        <x:f t="shared" ref="F147:F158" si="1">CHOOSE($C$4,C147,D147,E147)</x:f>
        <x:v>15000</x:v>
      </x:c>
      <x:c r="G147" s="31" t="s">
        <x:v>572</x:v>
      </x:c>
      <x:c r="H147" s="32" t="s">
        <x:v>823</x:v>
      </x:c>
    </x:row>
    <x:row r="148" ht="18" customHeight="1">
      <x:c r="B148" s="12" t="s">
        <x:v>824</x:v>
      </x:c>
      <x:c r="C148" s="115">
        <x:v>6000</x:v>
      </x:c>
      <x:c r="D148" s="115">
        <x:v>30000</x:v>
      </x:c>
      <x:c r="E148" s="115">
        <x:v>70000</x:v>
      </x:c>
      <x:c r="F148" s="125">
        <x:f t="shared" si="1"/>
        <x:v>30000</x:v>
      </x:c>
      <x:c r="G148" s="31" t="s">
        <x:v>572</x:v>
      </x:c>
      <x:c r="H148" s="32" t="s">
        <x:v>825</x:v>
      </x:c>
    </x:row>
    <x:row r="149" ht="18" customHeight="1">
      <x:c r="B149" s="12" t="s">
        <x:v>826</x:v>
      </x:c>
      <x:c r="C149" s="113">
        <x:v>0.3</x:v>
      </x:c>
      <x:c r="D149" s="113">
        <x:v>0.6</x:v>
      </x:c>
      <x:c r="E149" s="113">
        <x:v>0.75</x:v>
      </x:c>
      <x:c r="F149" s="126">
        <x:f t="shared" si="1"/>
        <x:v>0.6</x:v>
      </x:c>
      <x:c r="G149" s="31" t="s">
        <x:v>654</x:v>
      </x:c>
      <x:c r="H149" s="32" t="s">
        <x:v>827</x:v>
      </x:c>
    </x:row>
    <x:row r="150" ht="18" customHeight="1">
      <x:c r="B150" s="12" t="s">
        <x:v>828</x:v>
      </x:c>
      <x:c r="C150" s="113">
        <x:v>0.45</x:v>
      </x:c>
      <x:c r="D150" s="113">
        <x:v>0.32</x:v>
      </x:c>
      <x:c r="E150" s="113">
        <x:v>0.23</x:v>
      </x:c>
      <x:c r="F150" s="126">
        <x:f t="shared" si="1"/>
        <x:v>0.32</x:v>
      </x:c>
      <x:c r="G150" s="31" t="s">
        <x:v>654</x:v>
      </x:c>
      <x:c r="H150" s="32" t="s">
        <x:v>669</x:v>
      </x:c>
    </x:row>
    <x:row r="151" ht="18" customHeight="1">
      <x:c r="B151" s="12" t="s">
        <x:v>829</x:v>
      </x:c>
      <x:c r="C151" s="113">
        <x:v>0.25</x:v>
      </x:c>
      <x:c r="D151" s="113">
        <x:v>0.08</x:v>
      </x:c>
      <x:c r="E151" s="113">
        <x:v>0.02</x:v>
      </x:c>
      <x:c r="F151" s="126">
        <x:f t="shared" si="1"/>
        <x:v>0.08</x:v>
      </x:c>
      <x:c r="G151" s="31" t="s">
        <x:v>654</x:v>
      </x:c>
      <x:c r="H151" s="32" t="s">
        <x:v>830</x:v>
      </x:c>
    </x:row>
    <x:row r="152" ht="18" customHeight="1">
      <x:c r="B152" s="12" t="s">
        <x:v>831</x:v>
      </x:c>
      <x:c r="C152" s="113">
        <x:v>0.4</x:v>
      </x:c>
      <x:c r="D152" s="113">
        <x:v>0.7</x:v>
      </x:c>
      <x:c r="E152" s="113">
        <x:v>0.82</x:v>
      </x:c>
      <x:c r="F152" s="126">
        <x:f t="shared" si="1"/>
        <x:v>0.7</x:v>
      </x:c>
      <x:c r="G152" s="31" t="s">
        <x:v>654</x:v>
      </x:c>
      <x:c r="H152" s="32" t="s">
        <x:v>667</x:v>
      </x:c>
    </x:row>
    <x:row r="153" ht="18" customHeight="1">
      <x:c r="B153" s="12" t="s">
        <x:v>832</x:v>
      </x:c>
      <x:c r="C153" s="113">
        <x:v>0.45</x:v>
      </x:c>
      <x:c r="D153" s="113">
        <x:v>0.25</x:v>
      </x:c>
      <x:c r="E153" s="113">
        <x:v>0.17</x:v>
      </x:c>
      <x:c r="F153" s="126">
        <x:f t="shared" si="1"/>
        <x:v>0.25</x:v>
      </x:c>
      <x:c r="G153" s="31" t="s">
        <x:v>654</x:v>
      </x:c>
      <x:c r="H153" s="32" t="s">
        <x:v>669</x:v>
      </x:c>
    </x:row>
    <x:row r="154" ht="18" customHeight="1">
      <x:c r="B154" s="12" t="s">
        <x:v>833</x:v>
      </x:c>
      <x:c r="C154" s="113">
        <x:v>0.15</x:v>
      </x:c>
      <x:c r="D154" s="113">
        <x:v>0.05</x:v>
      </x:c>
      <x:c r="E154" s="113">
        <x:v>0.01</x:v>
      </x:c>
      <x:c r="F154" s="126">
        <x:f t="shared" si="1"/>
        <x:v>0.05</x:v>
      </x:c>
      <x:c r="G154" s="31" t="s">
        <x:v>654</x:v>
      </x:c>
      <x:c r="H154" s="32" t="s">
        <x:v>834</x:v>
      </x:c>
    </x:row>
    <x:row r="155" ht="18" customHeight="1">
      <x:c r="B155" s="12" t="s">
        <x:v>835</x:v>
      </x:c>
      <x:c r="C155" s="115">
        <x:v>1</x:v>
      </x:c>
      <x:c r="D155" s="115">
        <x:v>10</x:v>
      </x:c>
      <x:c r="E155" s="115">
        <x:v>35</x:v>
      </x:c>
      <x:c r="F155" s="125">
        <x:f t="shared" si="1"/>
        <x:v>10</x:v>
      </x:c>
      <x:c r="G155" s="31" t="s">
        <x:v>581</x:v>
      </x:c>
      <x:c r="H155" s="32" t="s">
        <x:v>836</x:v>
      </x:c>
    </x:row>
    <x:row r="156" ht="18" customHeight="1">
      <x:c r="B156" s="12" t="s">
        <x:v>837</x:v>
      </x:c>
      <x:c r="C156" s="115">
        <x:v>3</x:v>
      </x:c>
      <x:c r="D156" s="115">
        <x:v>18</x:v>
      </x:c>
      <x:c r="E156" s="115">
        <x:v>60</x:v>
      </x:c>
      <x:c r="F156" s="125">
        <x:f t="shared" si="1"/>
        <x:v>18</x:v>
      </x:c>
      <x:c r="G156" s="31" t="s">
        <x:v>581</x:v>
      </x:c>
      <x:c r="H156" s="32" t="s">
        <x:v>838</x:v>
      </x:c>
    </x:row>
    <x:row r="157" ht="18" customHeight="1">
      <x:c r="B157" s="12" t="s">
        <x:v>839</x:v>
      </x:c>
      <x:c r="C157" s="115">
        <x:v>3</x:v>
      </x:c>
      <x:c r="D157" s="115">
        <x:v>8</x:v>
      </x:c>
      <x:c r="E157" s="115">
        <x:v>12</x:v>
      </x:c>
      <x:c r="F157" s="125">
        <x:f t="shared" si="1"/>
        <x:v>8</x:v>
      </x:c>
      <x:c r="G157" s="31" t="s">
        <x:v>733</x:v>
      </x:c>
      <x:c r="H157" s="32" t="s">
        <x:v>840</x:v>
      </x:c>
    </x:row>
    <x:row r="158" ht="18" customHeight="1">
      <x:c r="B158" s="12" t="s">
        <x:v>841</x:v>
      </x:c>
      <x:c r="C158" s="115">
        <x:v>4</x:v>
      </x:c>
      <x:c r="D158" s="115">
        <x:v>10</x:v>
      </x:c>
      <x:c r="E158" s="115">
        <x:v>15</x:v>
      </x:c>
      <x:c r="F158" s="125">
        <x:f t="shared" si="1"/>
        <x:v>10</x:v>
      </x:c>
      <x:c r="G158" s="31" t="s">
        <x:v>733</x:v>
      </x:c>
      <x:c r="H158" s="32" t="s">
        <x:v>842</x:v>
      </x:c>
    </x:row>
    <x:row r="159" ht="18" customHeight="1">
      <x:c r="B159" s="12" t="s">
        <x:v>843</x:v>
      </x:c>
      <x:c r="C159" s="124"/>
      <x:c r="D159" s="124"/>
      <x:c r="E159" s="124"/>
      <x:c r="F159" s="118">
        <x:v>0.3</x:v>
      </x:c>
      <x:c r="G159" s="31" t="s">
        <x:v>798</x:v>
      </x:c>
      <x:c r="H159" s="32" t="s">
        <x:v>844</x:v>
      </x:c>
    </x:row>
    <x:row r="160" ht="8.100000381469727" customHeight="1"/>
    <x:row r="161" ht="20.100000381469727" customHeight="1">
      <x:c r="A161" s="42"/>
      <x:c r="B161" s="5" t="s">
        <x:v>845</x:v>
      </x:c>
      <x:c r="C161" s="5"/>
      <x:c r="D161" s="5"/>
      <x:c r="E161" s="5"/>
      <x:c r="F161" s="5"/>
      <x:c r="G161" s="5"/>
      <x:c r="H161" s="5" t="s">
        <x:v>846</x:v>
      </x:c>
    </x:row>
    <x:row r="162" ht="18" customHeight="1">
      <x:c r="A162" s="42"/>
      <x:c r="B162" s="12" t="s">
        <x:v>847</x:v>
      </x:c>
      <x:c r="C162" s="17"/>
      <x:c r="D162" s="17"/>
      <x:c r="E162" s="17"/>
      <x:c r="F162" s="69">
        <x:v>35000</x:v>
      </x:c>
      <x:c r="G162" s="31" t="s">
        <x:v>680</x:v>
      </x:c>
      <x:c r="H162" s="32" t="s">
        <x:v>848</x:v>
      </x:c>
    </x:row>
    <x:row r="163" ht="18" customHeight="1">
      <x:c r="A163" s="42"/>
      <x:c r="B163" s="12" t="s">
        <x:v>849</x:v>
      </x:c>
      <x:c r="C163" s="17"/>
      <x:c r="D163" s="17"/>
      <x:c r="E163" s="17"/>
      <x:c r="F163" s="70">
        <x:v>0.1</x:v>
      </x:c>
      <x:c r="G163" s="31" t="s">
        <x:v>850</x:v>
      </x:c>
      <x:c r="H163" s="32" t="s">
        <x:v>851</x:v>
      </x:c>
    </x:row>
    <x:row r="164" ht="18" customHeight="1">
      <x:c r="A164" s="42"/>
      <x:c r="B164" s="12" t="s">
        <x:v>852</x:v>
      </x:c>
      <x:c r="C164" s="17"/>
      <x:c r="D164" s="17"/>
      <x:c r="E164" s="17"/>
      <x:c r="F164" s="69">
        <x:v>30000</x:v>
      </x:c>
      <x:c r="G164" s="31" t="s">
        <x:v>680</x:v>
      </x:c>
      <x:c r="H164" s="32" t="s">
        <x:v>848</x:v>
      </x:c>
    </x:row>
    <x:row r="165" ht="18" customHeight="1">
      <x:c r="A165" s="42"/>
      <x:c r="B165" s="12" t="s">
        <x:v>853</x:v>
      </x:c>
      <x:c r="C165" s="17"/>
      <x:c r="D165" s="17"/>
      <x:c r="E165" s="17"/>
      <x:c r="F165" s="70">
        <x:v>0.08</x:v>
      </x:c>
      <x:c r="G165" s="31" t="s">
        <x:v>850</x:v>
      </x:c>
      <x:c r="H165" s="32" t="s">
        <x:v>851</x:v>
      </x:c>
    </x:row>
    <x:row r="166" ht="18" customHeight="1">
      <x:c r="A166" s="42"/>
      <x:c r="B166" s="12" t="s">
        <x:v>854</x:v>
      </x:c>
      <x:c r="C166" s="17"/>
      <x:c r="D166" s="17"/>
      <x:c r="E166" s="17"/>
      <x:c r="F166" s="69">
        <x:v>30000</x:v>
      </x:c>
      <x:c r="G166" s="31" t="s">
        <x:v>680</x:v>
      </x:c>
      <x:c r="H166" s="32" t="s">
        <x:v>848</x:v>
      </x:c>
    </x:row>
    <x:row r="167" ht="18" customHeight="1">
      <x:c r="A167" s="42"/>
      <x:c r="B167" s="12" t="s">
        <x:v>855</x:v>
      </x:c>
      <x:c r="C167" s="17"/>
      <x:c r="D167" s="17"/>
      <x:c r="E167" s="17"/>
      <x:c r="F167" s="70">
        <x:v>0.05</x:v>
      </x:c>
      <x:c r="G167" s="31" t="s">
        <x:v>850</x:v>
      </x:c>
      <x:c r="H167" s="32" t="s">
        <x:v>851</x:v>
      </x:c>
    </x:row>
    <x:row r="168" ht="8.100000381469727" customHeight="1"/>
    <x:row r="169" ht="20.100000381469727" customHeight="1">
      <x:c r="A169" s="42"/>
      <x:c r="B169" s="5" t="s">
        <x:v>856</x:v>
      </x:c>
      <x:c r="C169" s="5"/>
      <x:c r="D169" s="5"/>
      <x:c r="E169" s="5"/>
      <x:c r="F169" s="5"/>
      <x:c r="G169" s="5"/>
      <x:c r="H169" s="5" t="s">
        <x:v>857</x:v>
      </x:c>
    </x:row>
    <x:row r="170" ht="18" customHeight="1">
      <x:c r="A170" s="42"/>
      <x:c r="B170" s="12" t="s">
        <x:v>457</x:v>
      </x:c>
      <x:c r="C170" s="17"/>
      <x:c r="D170" s="17"/>
      <x:c r="E170" s="17"/>
      <x:c r="F170" s="70">
        <x:v>0.1</x:v>
      </x:c>
      <x:c r="G170" s="31" t="s">
        <x:v>850</x:v>
      </x:c>
      <x:c r="H170" s="32" t="s">
        <x:v>858</x:v>
      </x:c>
    </x:row>
    <x:row r="171" ht="18" customHeight="1">
      <x:c r="A171" s="42"/>
      <x:c r="B171" s="12" t="s">
        <x:v>859</x:v>
      </x:c>
      <x:c r="C171" s="17"/>
      <x:c r="D171" s="17"/>
      <x:c r="E171" s="17"/>
      <x:c r="F171" s="71">
        <x:v>14</x:v>
      </x:c>
      <x:c r="G171" s="31" t="s">
        <x:v>860</x:v>
      </x:c>
      <x:c r="H171" s="32" t="s">
        <x:v>861</x:v>
      </x:c>
    </x:row>
    <x:row r="172" ht="18" customHeight="1">
      <x:c r="A172" s="42"/>
      <x:c r="B172" s="12" t="s">
        <x:v>862</x:v>
      </x:c>
      <x:c r="C172" s="17"/>
      <x:c r="D172" s="17"/>
      <x:c r="E172" s="17"/>
      <x:c r="F172" s="70">
        <x:v>0</x:v>
      </x:c>
      <x:c r="G172" s="31" t="s">
        <x:v>863</x:v>
      </x:c>
      <x:c r="H172" s="32" t="s">
        <x:v>864</x:v>
      </x:c>
    </x:row>
    <x:row r="173" ht="18" customHeight="1">
      <x:c r="A173" s="42"/>
      <x:c r="B173" s="12" t="s">
        <x:v>865</x:v>
      </x:c>
      <x:c r="C173" s="17"/>
      <x:c r="D173" s="17"/>
      <x:c r="E173" s="17"/>
      <x:c r="F173" s="70">
        <x:v>0</x:v>
      </x:c>
      <x:c r="G173" s="31" t="s">
        <x:v>863</x:v>
      </x:c>
      <x:c r="H173" s="32" t="s">
        <x:v>866</x:v>
      </x:c>
    </x:row>
    <x:row r="174" ht="8.100000381469727" customHeight="1"/>
    <x:row r="175" ht="20.100000381469727" customHeight="1">
      <x:c r="B175" s="5" t="s">
        <x:v>867</x:v>
      </x:c>
      <x:c r="C175" s="5"/>
      <x:c r="D175" s="5"/>
      <x:c r="E175" s="5"/>
      <x:c r="F175" s="5"/>
      <x:c r="G175" s="5"/>
      <x:c r="H175" s="5" t="s">
        <x:v>868</x:v>
      </x:c>
    </x:row>
    <x:row r="176" ht="18" customHeight="1">
      <x:c r="B176" s="12" t="s">
        <x:v>869</x:v>
      </x:c>
      <x:c r="C176" s="17"/>
      <x:c r="D176" s="17"/>
      <x:c r="E176" s="17"/>
      <x:c r="F176" s="70">
        <x:v>0.1</x:v>
      </x:c>
      <x:c r="G176" s="31" t="s">
        <x:v>654</x:v>
      </x:c>
      <x:c r="H176" s="32" t="s">
        <x:v>870</x:v>
      </x:c>
    </x:row>
    <x:row r="177" ht="18" customHeight="1">
      <x:c r="B177" s="12" t="s">
        <x:v>871</x:v>
      </x:c>
      <x:c r="C177" s="17"/>
      <x:c r="D177" s="17"/>
      <x:c r="E177" s="17"/>
      <x:c r="F177" s="70">
        <x:v>0.2</x:v>
      </x:c>
      <x:c r="G177" s="31" t="s">
        <x:v>654</x:v>
      </x:c>
      <x:c r="H177" s="32" t="s">
        <x:v>872</x:v>
      </x:c>
    </x:row>
    <x:row r="178" ht="18" customHeight="1">
      <x:c r="B178" s="12" t="s">
        <x:v>873</x:v>
      </x:c>
      <x:c r="C178" s="17"/>
      <x:c r="D178" s="17"/>
      <x:c r="E178" s="17"/>
      <x:c r="F178" s="70">
        <x:v>0.35</x:v>
      </x:c>
      <x:c r="G178" s="31" t="s">
        <x:v>654</x:v>
      </x:c>
      <x:c r="H178" s="32" t="s">
        <x:v>874</x:v>
      </x:c>
    </x:row>
    <x:row r="179" ht="18" customHeight="1">
      <x:c r="B179" s="12" t="s">
        <x:v>875</x:v>
      </x:c>
      <x:c r="C179" s="17"/>
      <x:c r="D179" s="17"/>
      <x:c r="E179" s="17"/>
      <x:c r="F179" s="70">
        <x:v>0.5</x:v>
      </x:c>
      <x:c r="G179" s="31" t="s">
        <x:v>654</x:v>
      </x:c>
      <x:c r="H179" s="32" t="s">
        <x:v>876</x:v>
      </x:c>
    </x:row>
    <x:row r="180" ht="18" customHeight="1">
      <x:c r="B180" s="12" t="s">
        <x:v>877</x:v>
      </x:c>
      <x:c r="C180" s="17"/>
      <x:c r="D180" s="17"/>
      <x:c r="E180" s="17"/>
      <x:c r="F180" s="70">
        <x:v>0.65</x:v>
      </x:c>
      <x:c r="G180" s="31" t="s">
        <x:v>654</x:v>
      </x:c>
      <x:c r="H180" s="32" t="s">
        <x:v>878</x:v>
      </x:c>
    </x:row>
    <x:row r="181" ht="18" customHeight="1">
      <x:c r="B181" s="12" t="s">
        <x:v>879</x:v>
      </x:c>
      <x:c r="C181" s="17"/>
      <x:c r="D181" s="17"/>
      <x:c r="E181" s="17"/>
      <x:c r="F181" s="71">
        <x:v>75</x:v>
      </x:c>
      <x:c r="G181" s="31" t="s">
        <x:v>680</x:v>
      </x:c>
      <x:c r="H181" s="32" t="s">
        <x:v>880</x:v>
      </x:c>
    </x:row>
    <x:row r="182" ht="18" customHeight="1">
      <x:c r="B182" s="12" t="s">
        <x:v>881</x:v>
      </x:c>
      <x:c r="C182" s="17"/>
      <x:c r="D182" s="17"/>
      <x:c r="E182" s="17"/>
      <x:c r="F182" s="71">
        <x:v>250</x:v>
      </x:c>
      <x:c r="G182" s="31" t="s">
        <x:v>882</x:v>
      </x:c>
      <x:c r="H182" s="32" t="s">
        <x:v>883</x:v>
      </x:c>
    </x:row>
    <x:row r="183" ht="18" customHeight="1">
      <x:c r="B183" s="12" t="s">
        <x:v>884</x:v>
      </x:c>
      <x:c r="C183" s="71">
        <x:v>1</x:v>
      </x:c>
      <x:c r="D183" s="71">
        <x:v>2</x:v>
      </x:c>
      <x:c r="E183" s="71">
        <x:v>3</x:v>
      </x:c>
      <x:c r="F183" s="71">
        <x:v>7</x:v>
      </x:c>
      <x:c r="G183" s="71">
        <x:v>8</x:v>
      </x:c>
      <x:c r="H183" s="32" t="s">
        <x:v>885</x:v>
      </x:c>
    </x:row>
    <x:row r="184" ht="20.100000381469727" customHeight="1">
      <x:c r="B184" s="5" t="s">
        <x:v>886</x:v>
      </x:c>
      <x:c r="C184" s="5"/>
      <x:c r="D184" s="5"/>
      <x:c r="E184" s="5"/>
      <x:c r="F184" s="5"/>
      <x:c r="G184" s="5"/>
      <x:c r="H184" s="5" t="s">
        <x:v>887</x:v>
      </x:c>
    </x:row>
    <x:row r="185" ht="24">
      <x:c r="B185" s="12" t="s">
        <x:v>888</x:v>
      </x:c>
      <x:c r="C185" s="17"/>
      <x:c r="D185" s="17"/>
      <x:c r="E185" s="17"/>
      <x:c r="F185" s="21" t="s">
        <x:v>889</x:v>
      </x:c>
      <x:c r="G185" s="31" t="s">
        <x:v>890</x:v>
      </x:c>
      <x:c r="H185" s="32" t="s">
        <x:v>891</x:v>
      </x:c>
    </x:row>
    <x:row r="186" ht="25.5">
      <x:c r="B186" s="12" t="s">
        <x:v>892</x:v>
      </x:c>
      <x:c r="C186" s="17"/>
      <x:c r="D186" s="17"/>
      <x:c r="E186" s="17"/>
      <x:c r="F186" s="21" t="s">
        <x:v>893</x:v>
      </x:c>
      <x:c r="G186" s="31" t="s">
        <x:v>890</x:v>
      </x:c>
      <x:c r="H186" s="32" t="s">
        <x:v>894</x:v>
      </x:c>
    </x:row>
    <x:row r="187" ht="25.5">
      <x:c r="B187" s="12" t="s">
        <x:v>895</x:v>
      </x:c>
      <x:c r="C187" s="17"/>
      <x:c r="D187" s="17"/>
      <x:c r="E187" s="17"/>
      <x:c r="F187" s="21" t="s">
        <x:v>896</x:v>
      </x:c>
      <x:c r="G187" s="31" t="s">
        <x:v>897</x:v>
      </x:c>
      <x:c r="H187" s="32" t="s">
        <x:v>898</x:v>
      </x:c>
    </x:row>
    <x:row r="188" ht="8.100000381469727" customHeight="1"/>
    <x:row r="189" ht="20.100000381469727" customHeight="1">
      <x:c r="B189" s="179" t="s">
        <x:v>899</x:v>
      </x:c>
      <x:c r="C189" s="179"/>
      <x:c r="D189" s="179"/>
      <x:c r="E189" s="179"/>
      <x:c r="F189" s="179"/>
      <x:c r="G189" s="179" t="s">
        <x:v>900</x:v>
      </x:c>
      <x:c r="H189" s="179"/>
    </x:row>
    <x:row r="190" ht="26.100000381469727" customHeight="1">
      <x:c r="B190" s="173" t="s">
        <x:v>901</x:v>
      </x:c>
      <x:c r="C190" s="173"/>
      <x:c r="D190" s="173"/>
      <x:c r="E190" s="173"/>
      <x:c r="F190" s="173"/>
      <x:c r="G190" s="173" t="s">
        <x:v>276</x:v>
      </x:c>
      <x:c r="H190" s="173"/>
    </x:row>
    <x:row r="191" ht="26.100000381469727" customHeight="1">
      <x:c r="B191" s="173" t="s">
        <x:v>902</x:v>
      </x:c>
      <x:c r="C191" s="173"/>
      <x:c r="D191" s="173"/>
      <x:c r="E191" s="173"/>
      <x:c r="F191" s="173"/>
      <x:c r="G191" s="173" t="s">
        <x:v>903</x:v>
      </x:c>
      <x:c r="H191" s="173"/>
    </x:row>
    <x:row r="192" ht="26.100000381469727" customHeight="1">
      <x:c r="B192" s="173" t="s">
        <x:v>904</x:v>
      </x:c>
      <x:c r="C192" s="173"/>
      <x:c r="D192" s="173"/>
      <x:c r="E192" s="173"/>
      <x:c r="F192" s="173"/>
      <x:c r="G192" s="173" t="s">
        <x:v>905</x:v>
      </x:c>
      <x:c r="H192" s="173"/>
    </x:row>
    <x:row r="193" ht="26.100000381469727" customHeight="1">
      <x:c r="B193" s="173" t="s">
        <x:v>906</x:v>
      </x:c>
      <x:c r="C193" s="173"/>
      <x:c r="D193" s="173"/>
      <x:c r="E193" s="173"/>
      <x:c r="F193" s="173"/>
      <x:c r="G193" s="173" t="s">
        <x:v>907</x:v>
      </x:c>
      <x:c r="H193" s="173"/>
    </x:row>
  </x:sheetData>
  <x:mergeCells>
    <x:mergeCell ref="B192:F192"/>
    <x:mergeCell ref="G192:H192"/>
    <x:mergeCell ref="B193:F193"/>
    <x:mergeCell ref="G193:H193"/>
    <x:mergeCell ref="B189:F189"/>
    <x:mergeCell ref="G189:H189"/>
    <x:mergeCell ref="B190:F190"/>
    <x:mergeCell ref="G190:H190"/>
    <x:mergeCell ref="B191:F191"/>
    <x:mergeCell ref="G191:H19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B4E8F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8" customWidth="1"/>
    <x:col min="3" max="6" width="13" customWidth="1"/>
    <x:col min="7" max="7" width="12" customWidth="1"/>
    <x:col min="8" max="8" width="50" customWidth="1"/>
  </x:cols>
  <x:sheetData>
    <x:row r="2" ht="30" customHeight="1">
      <x:c r="B2" s="3" t="s">
        <x:v>908</x:v>
      </x:c>
    </x:row>
    <x:row r="3" ht="15.949999809265137" customHeight="1">
      <x:c r="B3" s="4" t="s">
        <x:v>909</x:v>
      </x:c>
    </x:row>
    <x:row r="4" ht="9.949999809265137" customHeight="1"/>
    <x:row r="5" ht="24" customHeight="1">
      <x:c r="B5" s="10" t="s">
        <x:v>910</x:v>
      </x:c>
      <x:c r="C5" s="9" t="s">
        <x:v>135</x:v>
      </x:c>
      <x:c r="D5" s="9" t="s">
        <x:v>138</x:v>
      </x:c>
      <x:c r="E5" s="9" t="s">
        <x:v>142</x:v>
      </x:c>
      <x:c r="F5" s="9" t="s">
        <x:v>911</x:v>
      </x:c>
      <x:c r="G5" s="9" t="s">
        <x:v>912</x:v>
      </x:c>
      <x:c r="H5" s="10" t="s">
        <x:v>565</x:v>
      </x:c>
    </x:row>
    <x:row r="6" ht="20.100000381469727" customHeight="1">
      <x:c r="B6" s="5" t="s">
        <x:v>913</x:v>
      </x:c>
      <x:c r="C6" s="5"/>
      <x:c r="D6" s="5"/>
      <x:c r="E6" s="5"/>
      <x:c r="F6" s="5"/>
      <x:c r="G6" s="5"/>
      <x:c r="H6" s="5"/>
    </x:row>
    <x:row r="7" ht="21.950000762939453" customHeight="1">
      <x:c r="B7" s="12" t="s">
        <x:v>914</x:v>
      </x:c>
      <x:c r="C7" s="56">
        <x:v>100</x:v>
      </x:c>
      <x:c r="D7" s="56">
        <x:v>100</x:v>
      </x:c>
      <x:c r="E7" s="56">
        <x:v>100</x:v>
      </x:c>
      <x:c r="F7" s="67" t="n">
        <x:f>CHOOSE(Assumptions!$C$4,C7,D7,E7)</x:f>
        <x:v>100</x:v>
      </x:c>
      <x:c r="G7" s="31" t="s">
        <x:v>915</x:v>
      </x:c>
      <x:c r="H7" s="32" t="s">
        <x:v>916</x:v>
      </x:c>
    </x:row>
    <x:row r="8" ht="21.950000762939453" customHeight="1">
      <x:c r="B8" s="12" t="s">
        <x:v>917</x:v>
      </x:c>
      <x:c r="C8" s="56">
        <x:v>30</x:v>
      </x:c>
      <x:c r="D8" s="56">
        <x:v>90</x:v>
      </x:c>
      <x:c r="E8" s="56">
        <x:v>180</x:v>
      </x:c>
      <x:c r="F8" s="67" t="n">
        <x:f>CHOOSE(Assumptions!$C$4,C8,D8,E8)</x:f>
        <x:v>90</x:v>
      </x:c>
      <x:c r="G8" s="31" t="s">
        <x:v>915</x:v>
      </x:c>
      <x:c r="H8" s="32" t="s">
        <x:v>918</x:v>
      </x:c>
    </x:row>
    <x:row r="9" ht="21.950000762939453" customHeight="1">
      <x:c r="B9" s="12" t="s">
        <x:v>919</x:v>
      </x:c>
      <x:c r="C9" s="56">
        <x:v>0</x:v>
      </x:c>
      <x:c r="D9" s="56">
        <x:v>63</x:v>
      </x:c>
      <x:c r="E9" s="56">
        <x:v>63</x:v>
      </x:c>
      <x:c r="F9" s="67" t="n">
        <x:f>CHOOSE(Assumptions!$C$4,C9,D9,E9)</x:f>
        <x:v>63</x:v>
      </x:c>
      <x:c r="G9" s="31" t="s">
        <x:v>915</x:v>
      </x:c>
      <x:c r="H9" s="32" t="s">
        <x:v>920</x:v>
      </x:c>
    </x:row>
    <x:row r="10" ht="21.950000762939453" customHeight="1">
      <x:c r="B10" s="12" t="s">
        <x:v>921</x:v>
      </x:c>
      <x:c r="C10" s="56">
        <x:v>50</x:v>
      </x:c>
      <x:c r="D10" s="56">
        <x:v>50</x:v>
      </x:c>
      <x:c r="E10" s="56">
        <x:v>50</x:v>
      </x:c>
      <x:c r="F10" s="67" t="n">
        <x:f>CHOOSE(Assumptions!$C$4,C10,D10,E10)</x:f>
        <x:v>50</x:v>
      </x:c>
      <x:c r="G10" s="31" t="s">
        <x:v>915</x:v>
      </x:c>
      <x:c r="H10" s="32" t="s">
        <x:v>922</x:v>
      </x:c>
    </x:row>
    <x:row r="11" ht="20.100000381469727" customHeight="1">
      <x:c r="B11" s="5" t="s">
        <x:v>923</x:v>
      </x:c>
      <x:c r="C11" s="5"/>
      <x:c r="D11" s="5"/>
      <x:c r="E11" s="5"/>
      <x:c r="F11" s="5"/>
      <x:c r="G11" s="5"/>
      <x:c r="H11" s="5"/>
    </x:row>
    <x:row r="12" ht="21.950000762939453" customHeight="1">
      <x:c r="B12" s="12" t="s">
        <x:v>924</x:v>
      </x:c>
      <x:c r="C12" s="56">
        <x:v>375</x:v>
      </x:c>
      <x:c r="D12" s="56">
        <x:v>1500</x:v>
      </x:c>
      <x:c r="E12" s="56">
        <x:v>3000</x:v>
      </x:c>
      <x:c r="F12" s="67" t="n">
        <x:f>CHOOSE(Assumptions!$C$4,C12,D12,E12)</x:f>
        <x:v>1500</x:v>
      </x:c>
      <x:c r="G12" s="31" t="s">
        <x:v>915</x:v>
      </x:c>
      <x:c r="H12" s="32" t="s">
        <x:v>925</x:v>
      </x:c>
    </x:row>
    <x:row r="13" ht="21.950000762939453" customHeight="1">
      <x:c r="B13" s="12" t="s">
        <x:v>926</x:v>
      </x:c>
      <x:c r="C13" s="56">
        <x:v>200</x:v>
      </x:c>
      <x:c r="D13" s="56">
        <x:v>600</x:v>
      </x:c>
      <x:c r="E13" s="56">
        <x:v>1500</x:v>
      </x:c>
      <x:c r="F13" s="67" t="n">
        <x:f>CHOOSE(Assumptions!$C$4,C13,D13,E13)</x:f>
        <x:v>600</x:v>
      </x:c>
      <x:c r="G13" s="31" t="s">
        <x:v>915</x:v>
      </x:c>
      <x:c r="H13" s="32" t="s">
        <x:v>927</x:v>
      </x:c>
    </x:row>
    <x:row r="14" ht="21.950000762939453" customHeight="1">
      <x:c r="B14" s="12" t="s">
        <x:v>928</x:v>
      </x:c>
      <x:c r="C14" s="56">
        <x:v>0</x:v>
      </x:c>
      <x:c r="D14" s="56">
        <x:v>1000</x:v>
      </x:c>
      <x:c r="E14" s="56">
        <x:v>3000</x:v>
      </x:c>
      <x:c r="F14" s="67" t="n">
        <x:f>CHOOSE(Assumptions!$C$4,C14,D14,E14)</x:f>
        <x:v>1000</x:v>
      </x:c>
      <x:c r="G14" s="31" t="s">
        <x:v>915</x:v>
      </x:c>
      <x:c r="H14" s="32" t="s">
        <x:v>929</x:v>
      </x:c>
    </x:row>
    <x:row r="15" ht="21.950000762939453" customHeight="1">
      <x:c r="B15" s="12" t="s">
        <x:v>930</x:v>
      </x:c>
      <x:c r="C15" s="56">
        <x:v>300</x:v>
      </x:c>
      <x:c r="D15" s="56">
        <x:v>900</x:v>
      </x:c>
      <x:c r="E15" s="56">
        <x:v>2500</x:v>
      </x:c>
      <x:c r="F15" s="67" t="n">
        <x:f>CHOOSE(Assumptions!$C$4,C15,D15,E15)</x:f>
        <x:v>900</x:v>
      </x:c>
      <x:c r="G15" s="31" t="s">
        <x:v>915</x:v>
      </x:c>
      <x:c r="H15" s="32" t="s">
        <x:v>931</x:v>
      </x:c>
    </x:row>
    <x:row r="16" ht="21.950000762939453" customHeight="1">
      <x:c r="B16" s="12" t="s">
        <x:v>932</x:v>
      </x:c>
      <x:c r="C16" s="56">
        <x:v>3000</x:v>
      </x:c>
      <x:c r="D16" s="56">
        <x:v>8000</x:v>
      </x:c>
      <x:c r="E16" s="56">
        <x:v>18000</x:v>
      </x:c>
      <x:c r="F16" s="67" t="n">
        <x:f>CHOOSE(Assumptions!$C$4,C16,D16,E16)</x:f>
        <x:v>8000</x:v>
      </x:c>
      <x:c r="G16" s="31" t="s">
        <x:v>915</x:v>
      </x:c>
      <x:c r="H16" s="32" t="s">
        <x:v>933</x:v>
      </x:c>
    </x:row>
    <x:row r="17" ht="20.100000381469727" customHeight="1">
      <x:c r="B17" s="5" t="s">
        <x:v>934</x:v>
      </x:c>
      <x:c r="C17" s="5"/>
      <x:c r="D17" s="5"/>
      <x:c r="E17" s="5"/>
      <x:c r="F17" s="5"/>
      <x:c r="G17" s="5"/>
      <x:c r="H17" s="5"/>
    </x:row>
    <x:row r="18" ht="21.950000762939453" customHeight="1">
      <x:c r="B18" s="12" t="s">
        <x:v>935</x:v>
      </x:c>
      <x:c r="C18" s="56">
        <x:v>8000</x:v>
      </x:c>
      <x:c r="D18" s="56">
        <x:v>25000</x:v>
      </x:c>
      <x:c r="E18" s="56">
        <x:v>60000</x:v>
      </x:c>
      <x:c r="F18" s="67" t="n">
        <x:f>CHOOSE(Assumptions!$C$4,C18,D18,E18)</x:f>
        <x:v>25000</x:v>
      </x:c>
      <x:c r="G18" s="31" t="s">
        <x:v>915</x:v>
      </x:c>
      <x:c r="H18" s="32" t="s">
        <x:v>936</x:v>
      </x:c>
    </x:row>
    <x:row r="19" ht="21.950000762939453" customHeight="1">
      <x:c r="B19" s="12" t="s">
        <x:v>937</x:v>
      </x:c>
      <x:c r="C19" s="56">
        <x:v>2000</x:v>
      </x:c>
      <x:c r="D19" s="56">
        <x:v>6000</x:v>
      </x:c>
      <x:c r="E19" s="56">
        <x:v>15000</x:v>
      </x:c>
      <x:c r="F19" s="67" t="n">
        <x:f>CHOOSE(Assumptions!$C$4,C19,D19,E19)</x:f>
        <x:v>6000</x:v>
      </x:c>
      <x:c r="G19" s="31" t="s">
        <x:v>915</x:v>
      </x:c>
      <x:c r="H19" s="32" t="s">
        <x:v>938</x:v>
      </x:c>
    </x:row>
    <x:row r="20" ht="21.950000762939453" customHeight="1">
      <x:c r="B20" s="12" t="s">
        <x:v>939</x:v>
      </x:c>
      <x:c r="C20" s="56">
        <x:v>1000</x:v>
      </x:c>
      <x:c r="D20" s="56">
        <x:v>3000</x:v>
      </x:c>
      <x:c r="E20" s="56">
        <x:v>8000</x:v>
      </x:c>
      <x:c r="F20" s="67" t="n">
        <x:f>CHOOSE(Assumptions!$C$4,C20,D20,E20)</x:f>
        <x:v>3000</x:v>
      </x:c>
      <x:c r="G20" s="31" t="s">
        <x:v>915</x:v>
      </x:c>
      <x:c r="H20" s="32" t="s">
        <x:v>940</x:v>
      </x:c>
    </x:row>
    <x:row r="21" ht="21.950000762939453" customHeight="1">
      <x:c r="B21" s="12" t="s">
        <x:v>941</x:v>
      </x:c>
      <x:c r="C21" s="56">
        <x:v>52</x:v>
      </x:c>
      <x:c r="D21" s="56">
        <x:v>60</x:v>
      </x:c>
      <x:c r="E21" s="56">
        <x:v>60</x:v>
      </x:c>
      <x:c r="F21" s="67" t="n">
        <x:f>CHOOSE(Assumptions!$C$4,C21,D21,E21)</x:f>
        <x:v>60</x:v>
      </x:c>
      <x:c r="G21" s="31" t="s">
        <x:v>915</x:v>
      </x:c>
      <x:c r="H21" s="32" t="s">
        <x:v>942</x:v>
      </x:c>
    </x:row>
    <x:row r="22" ht="20.100000381469727" customHeight="1">
      <x:c r="B22" s="5" t="s">
        <x:v>943</x:v>
      </x:c>
      <x:c r="C22" s="5"/>
      <x:c r="D22" s="5"/>
      <x:c r="E22" s="5"/>
      <x:c r="F22" s="5"/>
      <x:c r="G22" s="5"/>
      <x:c r="H22" s="5"/>
    </x:row>
    <x:row r="23" ht="21.950000762939453" customHeight="1">
      <x:c r="B23" s="12" t="s">
        <x:v>944</x:v>
      </x:c>
      <x:c r="C23" s="56">
        <x:v>12000</x:v>
      </x:c>
      <x:c r="D23" s="56">
        <x:v>30000</x:v>
      </x:c>
      <x:c r="E23" s="56">
        <x:v>60000</x:v>
      </x:c>
      <x:c r="F23" s="67" t="n">
        <x:f>CHOOSE(Assumptions!$C$4,C23,D23,E23)</x:f>
        <x:v>30000</x:v>
      </x:c>
      <x:c r="G23" s="31" t="s">
        <x:v>915</x:v>
      </x:c>
      <x:c r="H23" s="32" t="s">
        <x:v>945</x:v>
      </x:c>
    </x:row>
    <x:row r="24" ht="21.950000762939453" customHeight="1">
      <x:c r="B24" s="12" t="s">
        <x:v>946</x:v>
      </x:c>
      <x:c r="C24" s="56">
        <x:v>3000</x:v>
      </x:c>
      <x:c r="D24" s="56">
        <x:v>7000</x:v>
      </x:c>
      <x:c r="E24" s="56">
        <x:v>15000</x:v>
      </x:c>
      <x:c r="F24" s="67" t="n">
        <x:f>CHOOSE(Assumptions!$C$4,C24,D24,E24)</x:f>
        <x:v>7000</x:v>
      </x:c>
      <x:c r="G24" s="31" t="s">
        <x:v>915</x:v>
      </x:c>
      <x:c r="H24" s="32" t="s">
        <x:v>947</x:v>
      </x:c>
    </x:row>
    <x:row r="25" ht="20.100000381469727" customHeight="1">
      <x:c r="B25" s="5" t="s">
        <x:v>948</x:v>
      </x:c>
      <x:c r="C25" s="5"/>
      <x:c r="D25" s="5"/>
      <x:c r="E25" s="5"/>
      <x:c r="F25" s="5"/>
      <x:c r="G25" s="5"/>
      <x:c r="H25" s="5"/>
    </x:row>
    <x:row r="26" ht="21.950000762939453" customHeight="1">
      <x:c r="B26" s="12" t="s">
        <x:v>949</x:v>
      </x:c>
      <x:c r="C26" s="56">
        <x:v>15000</x:v>
      </x:c>
      <x:c r="D26" s="56">
        <x:v>40000</x:v>
      </x:c>
      <x:c r="E26" s="56">
        <x:v>90000</x:v>
      </x:c>
      <x:c r="F26" s="67" t="n">
        <x:f>CHOOSE(Assumptions!$C$4,C26,D26,E26)</x:f>
        <x:v>40000</x:v>
      </x:c>
      <x:c r="G26" s="31" t="s">
        <x:v>915</x:v>
      </x:c>
      <x:c r="H26" s="32" t="s">
        <x:v>950</x:v>
      </x:c>
    </x:row>
    <x:row r="27" ht="21.950000762939453" customHeight="1">
      <x:c r="B27" s="12" t="s">
        <x:v>951</x:v>
      </x:c>
      <x:c r="C27" s="56">
        <x:v>20000</x:v>
      </x:c>
      <x:c r="D27" s="56">
        <x:v>50000</x:v>
      </x:c>
      <x:c r="E27" s="56">
        <x:v>110000</x:v>
      </x:c>
      <x:c r="F27" s="67" t="n">
        <x:f>CHOOSE(Assumptions!$C$4,C27,D27,E27)</x:f>
        <x:v>50000</x:v>
      </x:c>
      <x:c r="G27" s="31" t="s">
        <x:v>915</x:v>
      </x:c>
      <x:c r="H27" s="32" t="s">
        <x:v>952</x:v>
      </x:c>
    </x:row>
    <x:row r="28" ht="21.950000762939453" customHeight="1">
      <x:c r="B28" s="12" t="s">
        <x:v>953</x:v>
      </x:c>
      <x:c r="C28" s="56">
        <x:v>3000</x:v>
      </x:c>
      <x:c r="D28" s="56">
        <x:v>9000</x:v>
      </x:c>
      <x:c r="E28" s="56">
        <x:v>20000</x:v>
      </x:c>
      <x:c r="F28" s="67" t="n">
        <x:f>CHOOSE(Assumptions!$C$4,C28,D28,E28)</x:f>
        <x:v>9000</x:v>
      </x:c>
      <x:c r="G28" s="31" t="s">
        <x:v>915</x:v>
      </x:c>
      <x:c r="H28" s="32" t="s">
        <x:v>954</x:v>
      </x:c>
    </x:row>
    <x:row r="29" ht="20.100000381469727" customHeight="1">
      <x:c r="B29" s="5" t="s">
        <x:v>955</x:v>
      </x:c>
      <x:c r="C29" s="5"/>
      <x:c r="D29" s="5"/>
      <x:c r="E29" s="5"/>
      <x:c r="F29" s="5"/>
      <x:c r="G29" s="5"/>
      <x:c r="H29" s="5"/>
    </x:row>
    <x:row r="30" ht="21.950000762939453" customHeight="1">
      <x:c r="B30" s="12" t="s">
        <x:v>956</x:v>
      </x:c>
      <x:c r="C30" s="56">
        <x:v>1500</x:v>
      </x:c>
      <x:c r="D30" s="56">
        <x:v>5000</x:v>
      </x:c>
      <x:c r="E30" s="56">
        <x:v>10000</x:v>
      </x:c>
      <x:c r="F30" s="67" t="n">
        <x:f>CHOOSE(Assumptions!$C$4,C30,D30,E30)</x:f>
        <x:v>5000</x:v>
      </x:c>
      <x:c r="G30" s="31" t="s">
        <x:v>915</x:v>
      </x:c>
      <x:c r="H30" s="32" t="s">
        <x:v>957</x:v>
      </x:c>
    </x:row>
    <x:row r="31" ht="21.950000762939453" customHeight="1">
      <x:c r="B31" s="12" t="s">
        <x:v>958</x:v>
      </x:c>
      <x:c r="C31" s="56">
        <x:v>1000</x:v>
      </x:c>
      <x:c r="D31" s="56">
        <x:v>3000</x:v>
      </x:c>
      <x:c r="E31" s="56">
        <x:v>7000</x:v>
      </x:c>
      <x:c r="F31" s="67" t="n">
        <x:f>CHOOSE(Assumptions!$C$4,C31,D31,E31)</x:f>
        <x:v>3000</x:v>
      </x:c>
      <x:c r="G31" s="31" t="s">
        <x:v>915</x:v>
      </x:c>
      <x:c r="H31" s="32" t="s">
        <x:v>957</x:v>
      </x:c>
    </x:row>
    <x:row r="32" ht="21.950000762939453" customHeight="1">
      <x:c r="B32" s="12" t="s">
        <x:v>959</x:v>
      </x:c>
      <x:c r="C32" s="56">
        <x:v>100</x:v>
      </x:c>
      <x:c r="D32" s="56">
        <x:v>300</x:v>
      </x:c>
      <x:c r="E32" s="56">
        <x:v>800</x:v>
      </x:c>
      <x:c r="F32" s="67" t="n">
        <x:f>CHOOSE(Assumptions!$C$4,C32,D32,E32)</x:f>
        <x:v>300</x:v>
      </x:c>
      <x:c r="G32" s="31" t="s">
        <x:v>915</x:v>
      </x:c>
      <x:c r="H32" s="32" t="s">
        <x:v>960</x:v>
      </x:c>
    </x:row>
    <x:row r="33" ht="20.100000381469727" customHeight="1">
      <x:c r="B33" s="5" t="s">
        <x:v>961</x:v>
      </x:c>
      <x:c r="C33" s="5"/>
      <x:c r="D33" s="5"/>
      <x:c r="E33" s="5"/>
      <x:c r="F33" s="5"/>
      <x:c r="G33" s="5"/>
      <x:c r="H33" s="5"/>
    </x:row>
    <x:row r="34" ht="21.950000762939453" customHeight="1">
      <x:c r="B34" s="12" t="s">
        <x:v>962</x:v>
      </x:c>
      <x:c r="C34" s="56">
        <x:v>3000</x:v>
      </x:c>
      <x:c r="D34" s="56">
        <x:v>8000</x:v>
      </x:c>
      <x:c r="E34" s="56">
        <x:v>15000</x:v>
      </x:c>
      <x:c r="F34" s="67" t="n">
        <x:f>CHOOSE(Assumptions!$C$4,C34,D34,E34)</x:f>
        <x:v>8000</x:v>
      </x:c>
      <x:c r="G34" s="31" t="s">
        <x:v>915</x:v>
      </x:c>
      <x:c r="H34" s="32" t="s">
        <x:v>963</x:v>
      </x:c>
    </x:row>
    <x:row r="35" ht="21.950000762939453" customHeight="1">
      <x:c r="B35" s="12" t="s">
        <x:v>964</x:v>
      </x:c>
      <x:c r="C35" s="56">
        <x:v>1000</x:v>
      </x:c>
      <x:c r="D35" s="56">
        <x:v>4000</x:v>
      </x:c>
      <x:c r="E35" s="56">
        <x:v>12000</x:v>
      </x:c>
      <x:c r="F35" s="67" t="n">
        <x:f>CHOOSE(Assumptions!$C$4,C35,D35,E35)</x:f>
        <x:v>4000</x:v>
      </x:c>
      <x:c r="G35" s="31" t="s">
        <x:v>915</x:v>
      </x:c>
      <x:c r="H35" s="32" t="s">
        <x:v>965</x:v>
      </x:c>
    </x:row>
    <x:row r="36" ht="20.100000381469727" customHeight="1">
      <x:c r="B36" s="5" t="s">
        <x:v>966</x:v>
      </x:c>
      <x:c r="C36" s="5"/>
      <x:c r="D36" s="5"/>
      <x:c r="E36" s="5"/>
      <x:c r="F36" s="5"/>
      <x:c r="G36" s="5"/>
      <x:c r="H36" s="5"/>
    </x:row>
    <x:row r="37" ht="21.950000762939453" customHeight="1">
      <x:c r="B37" s="12" t="s">
        <x:v>967</x:v>
      </x:c>
      <x:c r="C37" s="56">
        <x:v>1200</x:v>
      </x:c>
      <x:c r="D37" s="56">
        <x:v>3500</x:v>
      </x:c>
      <x:c r="E37" s="56">
        <x:v>9000</x:v>
      </x:c>
      <x:c r="F37" s="67" t="n">
        <x:f>CHOOSE(Assumptions!$C$4,C37,D37,E37)</x:f>
        <x:v>3500</x:v>
      </x:c>
      <x:c r="G37" s="31" t="s">
        <x:v>915</x:v>
      </x:c>
      <x:c r="H37" s="32" t="s">
        <x:v>968</x:v>
      </x:c>
    </x:row>
    <x:row r="38" ht="21.950000762939453" customHeight="1">
      <x:c r="B38" s="12" t="s">
        <x:v>969</x:v>
      </x:c>
      <x:c r="C38" s="56">
        <x:v>1000</x:v>
      </x:c>
      <x:c r="D38" s="56">
        <x:v>3000</x:v>
      </x:c>
      <x:c r="E38" s="56">
        <x:v>8000</x:v>
      </x:c>
      <x:c r="F38" s="67" t="n">
        <x:f>CHOOSE(Assumptions!$C$4,C38,D38,E38)</x:f>
        <x:v>3000</x:v>
      </x:c>
      <x:c r="G38" s="31" t="s">
        <x:v>915</x:v>
      </x:c>
      <x:c r="H38" s="32" t="s">
        <x:v>968</x:v>
      </x:c>
    </x:row>
    <x:row r="39" ht="21.950000762939453" customHeight="1">
      <x:c r="B39" s="12" t="s">
        <x:v>970</x:v>
      </x:c>
      <x:c r="C39" s="56">
        <x:v>800</x:v>
      </x:c>
      <x:c r="D39" s="56">
        <x:v>2500</x:v>
      </x:c>
      <x:c r="E39" s="56">
        <x:v>7000</x:v>
      </x:c>
      <x:c r="F39" s="67" t="n">
        <x:f>CHOOSE(Assumptions!$C$4,C39,D39,E39)</x:f>
        <x:v>2500</x:v>
      </x:c>
      <x:c r="G39" s="31" t="s">
        <x:v>915</x:v>
      </x:c>
      <x:c r="H39" s="32" t="s">
        <x:v>968</x:v>
      </x:c>
    </x:row>
    <x:row r="40" ht="20.100000381469727" customHeight="1">
      <x:c r="B40" s="5" t="s">
        <x:v>971</x:v>
      </x:c>
      <x:c r="C40" s="5"/>
      <x:c r="D40" s="5"/>
      <x:c r="E40" s="5"/>
      <x:c r="F40" s="5"/>
      <x:c r="G40" s="5"/>
      <x:c r="H40" s="5"/>
    </x:row>
    <x:row r="41" ht="21.950000762939453" customHeight="1">
      <x:c r="B41" s="12" t="s">
        <x:v>972</x:v>
      </x:c>
      <x:c r="C41" s="82">
        <x:v>0.1</x:v>
      </x:c>
      <x:c r="D41" s="82">
        <x:v>0.15</x:v>
      </x:c>
      <x:c r="E41" s="82">
        <x:v>0.2</x:v>
      </x:c>
      <x:c r="F41" s="90" t="n">
        <x:f>CHOOSE(Assumptions!$C$4,C41,D41,E41)</x:f>
        <x:v>0.15</x:v>
      </x:c>
      <x:c r="G41" s="31" t="s">
        <x:v>863</x:v>
      </x:c>
      <x:c r="H41" s="32" t="s">
        <x:v>973</x:v>
      </x:c>
    </x:row>
    <x:row r="42" ht="17.100000381469727" customHeight="1">
      <x:c r="B42" s="24" t="s">
        <x:v>974</x:v>
      </x:c>
      <x:c r="C42" s="23"/>
      <x:c r="D42" s="23"/>
      <x:c r="E42" s="23"/>
      <x:c r="F42" s="92" t="n">
        <x:f>SUMIF($G$6:$G$40,"£",$F$6:$F$40)</x:f>
        <x:v>211663</x:v>
      </x:c>
    </x:row>
    <x:row r="43" ht="17.100000381469727" customHeight="1">
      <x:c r="B43" s="24" t="s">
        <x:v>975</x:v>
      </x:c>
      <x:c r="C43" s="23"/>
      <x:c r="D43" s="23"/>
      <x:c r="E43" s="23"/>
      <x:c r="F43" s="92" t="n">
        <x:f>F42*F41</x:f>
        <x:v>31749.449999999997</x:v>
      </x:c>
    </x:row>
    <x:row r="44" ht="20.100000381469727" customHeight="1">
      <x:c r="B44" s="26" t="s">
        <x:v>976</x:v>
      </x:c>
      <x:c r="C44" s="25"/>
      <x:c r="D44" s="25"/>
      <x:c r="E44" s="25"/>
      <x:c r="F44" s="95" t="n">
        <x:f>F42+F43</x:f>
        <x:v>243412.45</x:v>
      </x:c>
    </x:row>
    <x:row r="45" ht="9.949999809265137" customHeight="1"/>
    <x:row r="46" ht="20.100000381469727" customHeight="1">
      <x:c r="B46" s="201" t="s">
        <x:v>330</x:v>
      </x:c>
      <x:c r="C46" s="201"/>
      <x:c r="D46" s="201"/>
      <x:c r="E46" s="201"/>
      <x:c r="F46" s="201"/>
      <x:c r="G46" s="201" t="s">
        <x:v>255</x:v>
      </x:c>
      <x:c r="H46" s="183"/>
    </x:row>
    <x:row r="47" ht="26.100000381469727" customHeight="1">
      <x:c r="B47" s="173" t="s">
        <x:v>977</x:v>
      </x:c>
      <x:c r="C47" s="173"/>
      <x:c r="D47" s="173"/>
      <x:c r="E47" s="173"/>
      <x:c r="F47" s="173"/>
      <x:c r="G47" s="173" t="s">
        <x:v>978</x:v>
      </x:c>
      <x:c r="H47" s="183"/>
    </x:row>
    <x:row r="48" ht="26.100000381469727" customHeight="1">
      <x:c r="B48" s="173" t="s">
        <x:v>979</x:v>
      </x:c>
      <x:c r="C48" s="173"/>
      <x:c r="D48" s="173"/>
      <x:c r="E48" s="173"/>
      <x:c r="F48" s="173"/>
      <x:c r="G48" s="173" t="s">
        <x:v>980</x:v>
      </x:c>
      <x:c r="H48" s="183"/>
    </x:row>
    <x:row r="49" ht="26.100000381469727" customHeight="1">
      <x:c r="B49" s="173" t="s">
        <x:v>981</x:v>
      </x:c>
      <x:c r="C49" s="173"/>
      <x:c r="D49" s="173"/>
      <x:c r="E49" s="173"/>
      <x:c r="F49" s="173"/>
      <x:c r="G49" s="173" t="s">
        <x:v>982</x:v>
      </x:c>
      <x:c r="H49" s="183"/>
    </x:row>
  </x:sheetData>
  <x:mergeCells>
    <x:mergeCell ref="B49:F49"/>
    <x:mergeCell ref="G49:H49"/>
    <x:mergeCell ref="B46:F46"/>
    <x:mergeCell ref="G46:H46"/>
    <x:mergeCell ref="B47:F47"/>
    <x:mergeCell ref="G47:H47"/>
    <x:mergeCell ref="B48:F48"/>
    <x:mergeCell ref="G48:H4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A8494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7" customWidth="1"/>
    <x:col min="3" max="3" width="26" customWidth="1"/>
    <x:col min="4" max="4" width="42" customWidth="1"/>
    <x:col min="5" max="5" width="22" customWidth="1"/>
    <x:col min="6" max="6" width="26" customWidth="1"/>
    <x:col min="7" max="7" width="34" customWidth="1"/>
    <x:col min="8" max="8" width="26" customWidth="1"/>
    <x:col min="9" max="9" width="34" customWidth="1"/>
    <x:col min="10" max="10" width="13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</x:row>
    <x:row r="2" ht="30" customHeight="1">
      <x:c r="A2" s="42"/>
      <x:c r="B2" s="3" t="s">
        <x:v>983</x:v>
      </x:c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3" ht="15.949999809265137" customHeight="1">
      <x:c r="A3" s="42"/>
      <x:c r="B3" s="4" t="s">
        <x:v>984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 ht="15.949999809265137" customHeight="1">
      <x:c r="A4" s="42"/>
      <x:c r="B4" s="4" t="s">
        <x:v>985</x:v>
      </x:c>
      <x:c r="C4" s="42"/>
      <x:c r="D4" s="42"/>
      <x:c r="E4" s="42"/>
      <x:c r="F4" s="42"/>
      <x:c r="G4" s="42"/>
      <x:c r="H4" s="42"/>
      <x:c r="I4" s="42"/>
      <x:c r="J4" s="42"/>
      <x:c r="K4" s="42"/>
      <x:c r="L4" s="42"/>
    </x:row>
    <x:row r="5" ht="9.949999809265137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</x:row>
    <x:row r="6" ht="24" customHeight="1">
      <x:c r="A6" s="42"/>
      <x:c r="B6" s="9" t="s">
        <x:v>986</x:v>
      </x:c>
      <x:c r="C6" s="10" t="s">
        <x:v>987</x:v>
      </x:c>
      <x:c r="D6" s="10" t="s">
        <x:v>988</x:v>
      </x:c>
      <x:c r="E6" s="10" t="s">
        <x:v>989</x:v>
      </x:c>
      <x:c r="F6" s="10" t="s">
        <x:v>990</x:v>
      </x:c>
      <x:c r="G6" s="10" t="s">
        <x:v>991</x:v>
      </x:c>
      <x:c r="H6" s="10" t="s">
        <x:v>992</x:v>
      </x:c>
      <x:c r="I6" s="10" t="s">
        <x:v>993</x:v>
      </x:c>
      <x:c r="J6" s="42"/>
      <x:c r="K6" s="42"/>
      <x:c r="L6" s="42"/>
    </x:row>
    <x:row r="7" ht="44.099998474121094" customHeight="1">
      <x:c r="A7" s="42"/>
      <x:c r="B7" s="138">
        <x:v>1</x:v>
      </x:c>
      <x:c r="C7" s="19" t="s">
        <x:v>994</x:v>
      </x:c>
      <x:c r="D7" s="19" t="s">
        <x:v>995</x:v>
      </x:c>
      <x:c r="E7" s="139" t="s">
        <x:v>996</x:v>
      </x:c>
      <x:c r="F7" s="33" t="s">
        <x:v>997</x:v>
      </x:c>
      <x:c r="G7" s="19" t="str">
        <x:f>"Y1-Y5 base deals: "&amp;Assumptions!D10&amp;" / "&amp;Assumptions!D11&amp;" / "&amp;Assumptions!D12&amp;" / "&amp;Assumptions!D147&amp;" / "&amp;Assumptions!D148</x:f>
        <x:v>Y1-Y5 base deals: 30 / 500 / 2000 / 15000 / 30000</x:v>
      </x:c>
      <x:c r="H7" s="33" t="s">
        <x:v>998</x:v>
      </x:c>
      <x:c r="I7" s="33" t="s">
        <x:v>999</x:v>
      </x:c>
      <x:c r="J7" s="42"/>
      <x:c r="K7" s="42"/>
      <x:c r="L7" s="42"/>
    </x:row>
    <x:row r="8" ht="44.099998474121094" customHeight="1">
      <x:c r="A8" s="42"/>
      <x:c r="B8" s="138">
        <x:v>2</x:v>
      </x:c>
      <x:c r="C8" s="19" t="s">
        <x:v>1000</x:v>
      </x:c>
      <x:c r="D8" s="19" t="str">
        <x:v>Tier A/B/C mix controls pricing, direct costs, dispute exposure and document-processing load.</x:v>
      </x:c>
      <x:c r="E8" s="139" t="s">
        <x:v>1001</x:v>
      </x:c>
      <x:c r="F8" s="33" t="s">
        <x:v>1002</x:v>
      </x:c>
      <x:c r="G8" s="19" t="str">
        <x:f>"Y1 base A/B/C: "&amp;ROUND(Assumptions!D61*100,0)&amp;"%/"&amp;ROUND(Assumptions!D62*100,0)&amp;"%/"&amp;ROUND(Assumptions!D63*100,0)&amp;"%; Y5: "&amp;ROUND(Assumptions!D152*100,0)&amp;"%/"&amp;ROUND(Assumptions!D153*100,0)&amp;"%/"&amp;ROUND(Assumptions!D154*100,0)&amp;"%"</x:f>
        <x:v>Y1 base A/B/C: 15%/45%/40%; Y5: 70%/25%/5%</x:v>
      </x:c>
      <x:c r="H8" s="33" t="str">
        <x:v>Gross margin, risk costs, operations load</x:v>
      </x:c>
      <x:c r="I8" s="33" t="s">
        <x:v>1003</x:v>
      </x:c>
      <x:c r="J8" s="42"/>
      <x:c r="K8" s="42"/>
      <x:c r="L8" s="42"/>
    </x:row>
    <x:row r="9" ht="44.099998474121094" customHeight="1">
      <x:c r="A9" s="42"/>
      <x:c r="B9" s="138">
        <x:v>3</x:v>
      </x:c>
      <x:c r="C9" s="19" t="s">
        <x:v>1004</x:v>
      </x:c>
      <x:c r="D9" s="19" t="s">
        <x:v>1005</x:v>
      </x:c>
      <x:c r="E9" s="139" t="s">
        <x:v>1006</x:v>
      </x:c>
      <x:c r="F9" s="33" t="s">
        <x:v>1007</x:v>
      </x:c>
      <x:c r="G9" s="19" t="str">
        <x:f>"Take rates A/B/C: "&amp;ROUND(Assumptions!F70*100,2)&amp;"%/"&amp;ROUND(Assumptions!F71*100,2)&amp;"%/"&amp;ROUND(Assumptions!F72*100,2)&amp;"%; min fee A: GBP "&amp;ROUND(Assumptions!F73,0)</x:f>
        <x:v>Take rates A/B/C: 0.8%/1.5%/3%; min fee A: GBP 150</x:v>
      </x:c>
      <x:c r="H9" s="33" t="s">
        <x:v>1008</x:v>
      </x:c>
      <x:c r="I9" s="33" t="s">
        <x:v>1009</x:v>
      </x:c>
      <x:c r="J9" s="42"/>
      <x:c r="K9" s="42"/>
      <x:c r="L9" s="42"/>
    </x:row>
    <x:row r="10" ht="44.099998474121094" customHeight="1">
      <x:c r="A10" s="42"/>
      <x:c r="B10" s="138">
        <x:v>4</x:v>
      </x:c>
      <x:c r="C10" s="19" t="s">
        <x:v>1010</x:v>
      </x:c>
      <x:c r="D10" s="19" t="s">
        <x:v>1011</x:v>
      </x:c>
      <x:c r="E10" s="139" t="str">
        <x:f>Assumptions!B162</x:f>
        <x:v>Tier A — Year 1 base deal value</x:v>
      </x:c>
      <x:c r="F10" s="33" t="s">
        <x:v>1012</x:v>
      </x:c>
      <x:c r="G10" s="19" t="str">
        <x:f>"A GBP "&amp;TEXT(Assumptions!F162,"#,##0")&amp;" @ "&amp;TEXT(Assumptions!F163,"0%")&amp;"; B GBP "&amp;TEXT(Assumptions!F164,"#,##0")&amp;" @ "&amp;TEXT(Assumptions!F165,"0%")&amp;"; C GBP "&amp;TEXT(Assumptions!F166,"#,##0")&amp;" @ "&amp;TEXT(Assumptions!F167,"0%")</x:f>
        <x:v>A GBP 35,000 @ 10%; B GBP 30,000 @ 8%; C GBP 30,000 @ 5%</x:v>
      </x:c>
      <x:c r="H10" s="33" t="s">
        <x:v>1013</x:v>
      </x:c>
      <x:c r="I10" s="33" t="s">
        <x:v>1014</x:v>
      </x:c>
      <x:c r="J10" s="42"/>
      <x:c r="K10" s="42"/>
      <x:c r="L10" s="42"/>
    </x:row>
    <x:row r="11" ht="44.099998474121094" customHeight="1">
      <x:c r="A11" s="42"/>
      <x:c r="B11" s="138">
        <x:v>5</x:v>
      </x:c>
      <x:c r="C11" s="19" t="s">
        <x:v>1015</x:v>
      </x:c>
      <x:c r="D11" s="19" t="s">
        <x:v>1016</x:v>
      </x:c>
      <x:c r="E11" s="139" t="s">
        <x:v>1017</x:v>
      </x:c>
      <x:c r="F11" s="33" t="s">
        <x:v>1018</x:v>
      </x:c>
      <x:c r="G11" s="19" t="str">
        <x:f>"Base partners Y2-Y5: "&amp;Assumptions!D14&amp;" / "&amp;Assumptions!D110&amp;" / "&amp;Assumptions!D155&amp;" / "&amp;Assumptions!D156&amp;"; setup GBP "&amp;ROUND(Assumptions!F122,0)</x:f>
        <x:v>Base partners Y2-Y5: 3 / 6 / 10 / 18; setup GBP 7500</x:v>
      </x:c>
      <x:c r="H11" s="33" t="s">
        <x:v>1019</x:v>
      </x:c>
      <x:c r="I11" s="33" t="s">
        <x:v>1020</x:v>
      </x:c>
      <x:c r="J11" s="42"/>
      <x:c r="K11" s="42"/>
      <x:c r="L11" s="42"/>
    </x:row>
    <x:row r="12" ht="44.099998474121094" customHeight="1">
      <x:c r="A12" s="42"/>
      <x:c r="B12" s="138">
        <x:v>6</x:v>
      </x:c>
      <x:c r="C12" s="19" t="s">
        <x:v>1021</x:v>
      </x:c>
      <x:c r="D12" s="19" t="s">
        <x:v>1022</x:v>
      </x:c>
      <x:c r="E12" s="139" t="s">
        <x:v>1023</x:v>
      </x:c>
      <x:c r="F12" s="33" t="s">
        <x:v>1024</x:v>
      </x:c>
      <x:c r="G12" s="19" t="str">
        <x:f>"Deals/customer base Y1-Y5: "&amp;Assumptions!D107&amp;" / "&amp;Assumptions!D108&amp;" / "&amp;Assumptions!D109&amp;" / "&amp;Assumptions!D157&amp;" / "&amp;Assumptions!D158</x:f>
        <x:v>Deals/customer base Y1-Y5: 3 / 4 / 6 / 8 / 10</x:v>
      </x:c>
      <x:c r="H12" s="33" t="s">
        <x:v>1025</x:v>
      </x:c>
      <x:c r="I12" s="33" t="s">
        <x:v>1026</x:v>
      </x:c>
      <x:c r="J12" s="42"/>
      <x:c r="K12" s="42"/>
      <x:c r="L12" s="42"/>
    </x:row>
    <x:row r="13" ht="44.099998474121094" customHeight="1">
      <x:c r="A13" s="42"/>
      <x:c r="B13" s="138">
        <x:v>7</x:v>
      </x:c>
      <x:c r="C13" s="19" t="s">
        <x:v>1027</x:v>
      </x:c>
      <x:c r="D13" s="19" t="s">
        <x:v>1028</x:v>
      </x:c>
      <x:c r="E13" s="139" t="s">
        <x:v>1029</x:v>
      </x:c>
      <x:c r="F13" s="33" t="s">
        <x:v>1030</x:v>
      </x:c>
      <x:c r="G13" s="19" t="str">
        <x:f>"New party share "&amp;ROUND(Assumptions!F59*100,0)&amp;"%; onboarding fee GBP "&amp;ROUND(Assumptions!F117,0)</x:f>
        <x:v>New party share 50%; onboarding fee GBP 15</x:v>
      </x:c>
      <x:c r="H13" s="33" t="s">
        <x:v>1031</x:v>
      </x:c>
      <x:c r="I13" s="33" t="s">
        <x:v>1032</x:v>
      </x:c>
      <x:c r="J13" s="42"/>
      <x:c r="K13" s="42"/>
      <x:c r="L13" s="42"/>
    </x:row>
    <x:row r="14" ht="44.099998474121094" customHeight="1">
      <x:c r="A14" s="42"/>
      <x:c r="B14" s="138">
        <x:v>8</x:v>
      </x:c>
      <x:c r="C14" s="19" t="s">
        <x:v>1033</x:v>
      </x:c>
      <x:c r="D14" s="19" t="s">
        <x:v>1034</x:v>
      </x:c>
      <x:c r="E14" s="139" t="s">
        <x:v>1035</x:v>
      </x:c>
      <x:c r="F14" s="33" t="s">
        <x:v>1036</x:v>
      </x:c>
      <x:c r="G14" s="19" t="str">
        <x:f>"Handling cost GBP "&amp;ROUND(Assumptions!F84,0)&amp;"; markup "&amp;ROUND(Assumptions!F118*100,0)&amp;"%; courier fee GBP "&amp;ROUND(Assumptions!F119,0)</x:f>
        <x:v>Handling cost GBP 150; markup 20%; courier fee GBP 75</x:v>
      </x:c>
      <x:c r="H14" s="33" t="s">
        <x:v>1037</x:v>
      </x:c>
      <x:c r="I14" s="33" t="s">
        <x:v>1038</x:v>
      </x:c>
      <x:c r="J14" s="42"/>
      <x:c r="K14" s="42"/>
      <x:c r="L14" s="42"/>
    </x:row>
    <x:row r="15" ht="44.099998474121094" customHeight="1">
      <x:c r="A15" s="42"/>
      <x:c r="B15" s="138">
        <x:v>9</x:v>
      </x:c>
      <x:c r="C15" s="19" t="s">
        <x:v>1039</x:v>
      </x:c>
      <x:c r="D15" s="19" t="s">
        <x:v>1040</x:v>
      </x:c>
      <x:c r="E15" s="139" t="s">
        <x:v>1041</x:v>
      </x:c>
      <x:c r="F15" s="33" t="s">
        <x:v>1042</x:v>
      </x:c>
      <x:c r="G15" s="19" t="str">
        <x:f>"Dispute rates A/B/C: "&amp;ROUND(Assumptions!F91*100,0)&amp;"%/"&amp;ROUND(Assumptions!F92*100,0)&amp;"%/"&amp;ROUND(Assumptions!F93*100,0)&amp;"%"</x:f>
        <x:v>Dispute rates A/B/C: 4%/10%/20%</x:v>
      </x:c>
      <x:c r="H15" s="33" t="s">
        <x:v>1043</x:v>
      </x:c>
      <x:c r="I15" s="33" t="s">
        <x:v>1044</x:v>
      </x:c>
      <x:c r="J15" s="42"/>
      <x:c r="K15" s="42"/>
      <x:c r="L15" s="42"/>
    </x:row>
    <x:row r="16" ht="44.099998474121094" customHeight="1">
      <x:c r="A16" s="42"/>
      <x:c r="B16" s="138">
        <x:v>10</x:v>
      </x:c>
      <x:c r="C16" s="19" t="s">
        <x:v>1045</x:v>
      </x:c>
      <x:c r="D16" s="19" t="s">
        <x:v>1046</x:v>
      </x:c>
      <x:c r="E16" s="139" t="s">
        <x:v>1047</x:v>
      </x:c>
      <x:c r="F16" s="33" t="s">
        <x:v>1048</x:v>
      </x:c>
      <x:c r="G16" s="19" t="str">
        <x:f>"Yr1 FTE founders/eng/ops/BD: "&amp;Assumptions!F43&amp;" / "&amp;Assumptions!F44&amp;" / "&amp;Assumptions!F45&amp;" / "&amp;Assumptions!F46&amp;"; engineer salary GBP "&amp;ROUND(Assumptions!F49,0)</x:f>
        <x:v>Yr1 FTE founders/eng/ops/BD: 4 / 2 / 2 / 1; engineer salary GBP 70000</x:v>
      </x:c>
      <x:c r="H16" s="33" t="s">
        <x:v>1049</x:v>
      </x:c>
      <x:c r="I16" s="33" t="s">
        <x:v>1050</x:v>
      </x:c>
      <x:c r="J16" s="42"/>
      <x:c r="K16" s="42"/>
      <x:c r="L16" s="42"/>
    </x:row>
    <x:row r="17" ht="44.099998474121094" customHeight="1">
      <x:c r="A17" s="42"/>
      <x:c r="B17" s="138">
        <x:v>11</x:v>
      </x:c>
      <x:c r="C17" s="19" t="s">
        <x:v>1051</x:v>
      </x:c>
      <x:c r="D17" s="19" t="s">
        <x:v>1052</x:v>
      </x:c>
      <x:c r="E17" s="139" t="s">
        <x:v>1053</x:v>
      </x:c>
      <x:c r="F17" s="33" t="s">
        <x:v>1054</x:v>
      </x:c>
      <x:c r="G17" s="19" t="str">
        <x:f>"Compliance retainer/mo GBP "&amp;ROUND(Assumptions!F38,0)&amp;"; legal retainer/mo GBP "&amp;ROUND(Assumptions!F37,0)</x:f>
        <x:v>Compliance retainer/mo GBP 1200; legal retainer/mo GBP 600</x:v>
      </x:c>
      <x:c r="H17" s="33" t="s">
        <x:v>1055</x:v>
      </x:c>
      <x:c r="I17" s="33" t="s">
        <x:v>1056</x:v>
      </x:c>
      <x:c r="J17" s="42"/>
      <x:c r="K17" s="42"/>
      <x:c r="L17" s="42"/>
    </x:row>
    <x:row r="18" ht="44.099998474121094" customHeight="1">
      <x:c r="A18" s="42"/>
      <x:c r="B18" s="138">
        <x:v>12</x:v>
      </x:c>
      <x:c r="C18" s="19" t="s">
        <x:v>1057</x:v>
      </x:c>
      <x:c r="D18" s="19" t="s">
        <x:v>1058</x:v>
      </x:c>
      <x:c r="E18" s="139" t="s">
        <x:v>1059</x:v>
      </x:c>
      <x:c r="F18" s="33" t="s">
        <x:v>1060</x:v>
      </x:c>
      <x:c r="G18" s="19" t="str">
        <x:f>"Timing case "&amp;'Launch Readiness'!$B$5&amp;"; first paid Month "&amp;'Launch Readiness'!$E$6&amp;"; VARA target Month "&amp;'Launch Readiness'!$E$14&amp;"; reserve "&amp;'Launch Readiness'!$B$6&amp;" months"</x:f>
        <x:v>Timing case 2; first paid Month 12; VARA target Month 18; reserve 3 months</x:v>
      </x:c>
      <x:c r="H18" s="33" t="s">
        <x:v>1061</x:v>
      </x:c>
      <x:c r="I18" s="33" t="s">
        <x:v>1062</x:v>
      </x:c>
      <x:c r="J18" s="42"/>
      <x:c r="K18" s="42"/>
      <x:c r="L18" s="42"/>
    </x:row>
    <x:row r="19" ht="44.099998474121094" customHeight="1">
      <x:c r="A19" s="42"/>
      <x:c r="B19" s="138">
        <x:v>13</x:v>
      </x:c>
      <x:c r="C19" s="19" t="s">
        <x:v>1063</x:v>
      </x:c>
      <x:c r="D19" s="19" t="s">
        <x:v>1064</x:v>
      </x:c>
      <x:c r="E19" s="139" t="str">
        <x:f>Assumptions!B170</x:f>
        <x:v>Annual customer churn rate</x:v>
      </x:c>
      <x:c r="F19" s="33" t="s">
        <x:v>1065</x:v>
      </x:c>
      <x:c r="G19" s="19" t="str">
        <x:f>"Annual customer churn "&amp;TEXT(Assumptions!F170,"0%")&amp;" from Year 2"</x:f>
        <x:v>Annual customer churn 10% from Year 2</x:v>
      </x:c>
      <x:c r="H19" s="33" t="s">
        <x:v>1066</x:v>
      </x:c>
      <x:c r="I19" s="33" t="s">
        <x:v>1067</x:v>
      </x:c>
      <x:c r="J19" s="42"/>
      <x:c r="K19" s="42"/>
      <x:c r="L19" s="42"/>
    </x:row>
    <x:row r="20" ht="9.949999809265137" customHeight="1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</x:row>
    <x:row r="21" ht="20.100000381469727" customHeight="1">
      <x:c r="A21" s="42"/>
      <x:c r="B21" s="5" t="s">
        <x:v>1068</x:v>
      </x:c>
      <x:c r="C21" s="5"/>
      <x:c r="D21" s="5"/>
      <x:c r="E21" s="5"/>
      <x:c r="F21" s="5"/>
      <x:c r="G21" s="5"/>
      <x:c r="H21" s="5"/>
      <x:c r="I21" s="5"/>
      <x:c r="J21" s="42"/>
      <x:c r="K21" s="42"/>
      <x:c r="L21" s="42"/>
    </x:row>
    <x:row r="22" ht="15.949999809265137" customHeight="1">
      <x:c r="A22" s="42"/>
      <x:c r="B22" s="202" t="s">
        <x:v>1069</x:v>
      </x:c>
      <x:c r="C22" s="202"/>
      <x:c r="D22" s="202"/>
      <x:c r="E22" s="202"/>
      <x:c r="F22" s="202"/>
      <x:c r="G22" s="202"/>
      <x:c r="H22" s="202"/>
      <x:c r="I22" s="202"/>
      <x:c r="J22" s="42"/>
      <x:c r="K22" s="42"/>
      <x:c r="L22" s="42"/>
    </x:row>
    <x:row r="23" ht="15.949999809265137" customHeight="1">
      <x:c r="A23" s="42"/>
      <x:c r="B23" s="202" t="s">
        <x:v>1070</x:v>
      </x:c>
      <x:c r="C23" s="202"/>
      <x:c r="D23" s="202"/>
      <x:c r="E23" s="202"/>
      <x:c r="F23" s="202"/>
      <x:c r="G23" s="202"/>
      <x:c r="H23" s="202"/>
      <x:c r="I23" s="202"/>
      <x:c r="J23" s="42"/>
      <x:c r="K23" s="42"/>
      <x:c r="L23" s="42"/>
    </x:row>
    <x:row r="24" ht="9.949999809265137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</x:row>
    <x:row r="25" ht="20.100000381469727" customHeight="1">
      <x:c r="A25" s="42"/>
      <x:c r="B25" s="179" t="s">
        <x:v>1071</x:v>
      </x:c>
      <x:c r="C25" s="179"/>
      <x:c r="D25" s="179"/>
      <x:c r="E25" s="179"/>
      <x:c r="F25" s="179"/>
      <x:c r="G25" s="179"/>
      <x:c r="H25" s="179"/>
      <x:c r="I25" s="179"/>
      <x:c r="J25" s="42"/>
      <x:c r="K25" s="42"/>
      <x:c r="L25" s="42"/>
    </x:row>
    <x:row r="26" ht="21.950000762939453" customHeight="1">
      <x:c r="A26" s="42"/>
      <x:c r="B26" s="9" t="s">
        <x:v>1072</x:v>
      </x:c>
      <x:c r="C26" s="10" t="s">
        <x:v>128</x:v>
      </x:c>
      <x:c r="D26" s="9" t="s">
        <x:v>1073</x:v>
      </x:c>
      <x:c r="E26" s="9" t="s">
        <x:v>1074</x:v>
      </x:c>
      <x:c r="F26" s="9" t="s">
        <x:v>1075</x:v>
      </x:c>
      <x:c r="G26" s="10" t="s">
        <x:v>1076</x:v>
      </x:c>
      <x:c r="H26" s="10" t="s">
        <x:v>1077</x:v>
      </x:c>
      <x:c r="I26" s="10" t="s">
        <x:v>1078</x:v>
      </x:c>
      <x:c r="J26" s="42"/>
      <x:c r="K26" s="42"/>
      <x:c r="L26" s="42"/>
    </x:row>
    <x:row r="27" ht="26.100000381469727" customHeight="1">
      <x:c r="A27" s="42"/>
      <x:c r="B27" s="18" t="s">
        <x:v>1079</x:v>
      </x:c>
      <x:c r="C27" s="12" t="s">
        <x:v>135</x:v>
      </x:c>
      <x:c r="D27" s="117">
        <x:v>25000</x:v>
      </x:c>
      <x:c r="E27" s="140">
        <x:v>0.04</x:v>
      </x:c>
      <x:c r="F27" s="56" t="n">
        <x:f t="shared" ref="F27:F35" si="0">D27*(1+E27)^4</x:f>
        <x:v>29246.464000000004</x:v>
      </x:c>
      <x:c r="G27" s="32" t="s">
        <x:v>1080</x:v>
      </x:c>
      <x:c r="H27" s="32" t="s">
        <x:v>1081</x:v>
      </x:c>
      <x:c r="I27" s="32" t="s">
        <x:v>1082</x:v>
      </x:c>
      <x:c r="J27" s="42"/>
      <x:c r="K27" s="42"/>
      <x:c r="L27" s="42"/>
    </x:row>
    <x:row r="28" ht="26.100000381469727" customHeight="1">
      <x:c r="A28" s="42"/>
      <x:c r="B28" s="18" t="s">
        <x:v>1079</x:v>
      </x:c>
      <x:c r="C28" s="12" t="s">
        <x:v>138</x:v>
      </x:c>
      <x:c r="D28" s="117">
        <x:v>35000</x:v>
      </x:c>
      <x:c r="E28" s="140">
        <x:v>0.1</x:v>
      </x:c>
      <x:c r="F28" s="56">
        <x:f t="shared" si="0"/>
        <x:v>51243.500000000015</x:v>
      </x:c>
      <x:c r="G28" s="32" t="s">
        <x:v>1083</x:v>
      </x:c>
      <x:c r="H28" s="32" t="s">
        <x:v>1081</x:v>
      </x:c>
      <x:c r="I28" s="32" t="s">
        <x:v>1082</x:v>
      </x:c>
      <x:c r="J28" s="42"/>
      <x:c r="K28" s="42"/>
      <x:c r="L28" s="42"/>
    </x:row>
    <x:row r="29" ht="26.100000381469727" customHeight="1">
      <x:c r="A29" s="42"/>
      <x:c r="B29" s="18" t="s">
        <x:v>1079</x:v>
      </x:c>
      <x:c r="C29" s="12" t="s">
        <x:v>142</x:v>
      </x:c>
      <x:c r="D29" s="117">
        <x:v>50000</x:v>
      </x:c>
      <x:c r="E29" s="140">
        <x:v>0.15</x:v>
      </x:c>
      <x:c r="F29" s="56">
        <x:f t="shared" si="0"/>
        <x:v>87450.312499999971</x:v>
      </x:c>
      <x:c r="G29" s="32" t="s">
        <x:v>1084</x:v>
      </x:c>
      <x:c r="H29" s="32" t="s">
        <x:v>1081</x:v>
      </x:c>
      <x:c r="I29" s="32" t="s">
        <x:v>1082</x:v>
      </x:c>
      <x:c r="J29" s="42"/>
      <x:c r="K29" s="42"/>
      <x:c r="L29" s="42"/>
    </x:row>
    <x:row r="30" ht="26.100000381469727" customHeight="1">
      <x:c r="A30" s="42"/>
      <x:c r="B30" s="18" t="s">
        <x:v>1085</x:v>
      </x:c>
      <x:c r="C30" s="12" t="s">
        <x:v>135</x:v>
      </x:c>
      <x:c r="D30" s="117">
        <x:v>20000</x:v>
      </x:c>
      <x:c r="E30" s="140">
        <x:v>0.03</x:v>
      </x:c>
      <x:c r="F30" s="56">
        <x:f t="shared" si="0"/>
        <x:v>22510.176199999998</x:v>
      </x:c>
      <x:c r="G30" s="32" t="s">
        <x:v>1086</x:v>
      </x:c>
      <x:c r="H30" s="32" t="s">
        <x:v>1081</x:v>
      </x:c>
      <x:c r="I30" s="32" t="s">
        <x:v>1082</x:v>
      </x:c>
      <x:c r="J30" s="42"/>
      <x:c r="K30" s="42"/>
      <x:c r="L30" s="42"/>
    </x:row>
    <x:row r="31" ht="26.100000381469727" customHeight="1">
      <x:c r="A31" s="42"/>
      <x:c r="B31" s="18" t="s">
        <x:v>1085</x:v>
      </x:c>
      <x:c r="C31" s="12" t="s">
        <x:v>138</x:v>
      </x:c>
      <x:c r="D31" s="117">
        <x:v>30000</x:v>
      </x:c>
      <x:c r="E31" s="140">
        <x:v>0.08</x:v>
      </x:c>
      <x:c r="F31" s="56">
        <x:f t="shared" si="0"/>
        <x:v>40814.668800000007</x:v>
      </x:c>
      <x:c r="G31" s="32" t="s">
        <x:v>1083</x:v>
      </x:c>
      <x:c r="H31" s="32" t="s">
        <x:v>1081</x:v>
      </x:c>
      <x:c r="I31" s="32" t="s">
        <x:v>1082</x:v>
      </x:c>
      <x:c r="J31" s="42"/>
      <x:c r="K31" s="42"/>
      <x:c r="L31" s="42"/>
    </x:row>
    <x:row r="32" ht="26.100000381469727" customHeight="1">
      <x:c r="A32" s="42"/>
      <x:c r="B32" s="18" t="s">
        <x:v>1085</x:v>
      </x:c>
      <x:c r="C32" s="12" t="s">
        <x:v>142</x:v>
      </x:c>
      <x:c r="D32" s="117">
        <x:v>45000</x:v>
      </x:c>
      <x:c r="E32" s="140">
        <x:v>0.13</x:v>
      </x:c>
      <x:c r="F32" s="56">
        <x:f t="shared" si="0"/>
        <x:v>73371.312449999969</x:v>
      </x:c>
      <x:c r="G32" s="32" t="s">
        <x:v>1087</x:v>
      </x:c>
      <x:c r="H32" s="32" t="s">
        <x:v>1081</x:v>
      </x:c>
      <x:c r="I32" s="32" t="s">
        <x:v>1082</x:v>
      </x:c>
      <x:c r="J32" s="42"/>
      <x:c r="K32" s="42"/>
      <x:c r="L32" s="42"/>
    </x:row>
    <x:row r="33" ht="26.100000381469727" customHeight="1">
      <x:c r="A33" s="42"/>
      <x:c r="B33" s="18" t="s">
        <x:v>1088</x:v>
      </x:c>
      <x:c r="C33" s="12" t="s">
        <x:v>135</x:v>
      </x:c>
      <x:c r="D33" s="117">
        <x:v>20000</x:v>
      </x:c>
      <x:c r="E33" s="140">
        <x:v>0.02</x:v>
      </x:c>
      <x:c r="F33" s="56">
        <x:f t="shared" si="0"/>
        <x:v>21648.643199999999</x:v>
      </x:c>
      <x:c r="G33" s="32" t="s">
        <x:v>1089</x:v>
      </x:c>
      <x:c r="H33" s="32" t="s">
        <x:v>1081</x:v>
      </x:c>
      <x:c r="I33" s="32" t="s">
        <x:v>1082</x:v>
      </x:c>
      <x:c r="J33" s="42"/>
      <x:c r="K33" s="42"/>
      <x:c r="L33" s="42"/>
    </x:row>
    <x:row r="34" ht="26.100000381469727" customHeight="1">
      <x:c r="A34" s="42"/>
      <x:c r="B34" s="18" t="s">
        <x:v>1088</x:v>
      </x:c>
      <x:c r="C34" s="12" t="s">
        <x:v>138</x:v>
      </x:c>
      <x:c r="D34" s="117">
        <x:v>30000</x:v>
      </x:c>
      <x:c r="E34" s="140">
        <x:v>0.05</x:v>
      </x:c>
      <x:c r="F34" s="56">
        <x:f t="shared" si="0"/>
        <x:v>36465.1875</x:v>
      </x:c>
      <x:c r="G34" s="32" t="s">
        <x:v>1083</x:v>
      </x:c>
      <x:c r="H34" s="32" t="s">
        <x:v>1081</x:v>
      </x:c>
      <x:c r="I34" s="32" t="s">
        <x:v>1082</x:v>
      </x:c>
      <x:c r="J34" s="42"/>
      <x:c r="K34" s="42"/>
      <x:c r="L34" s="42"/>
    </x:row>
    <x:row r="35" ht="26.100000381469727" customHeight="1">
      <x:c r="A35" s="42"/>
      <x:c r="B35" s="18" t="s">
        <x:v>1088</x:v>
      </x:c>
      <x:c r="C35" s="12" t="s">
        <x:v>142</x:v>
      </x:c>
      <x:c r="D35" s="117">
        <x:v>45000</x:v>
      </x:c>
      <x:c r="E35" s="140">
        <x:v>0.1</x:v>
      </x:c>
      <x:c r="F35" s="56">
        <x:f t="shared" si="0"/>
        <x:v>65884.500000000015</x:v>
      </x:c>
      <x:c r="G35" s="32" t="s">
        <x:v>1090</x:v>
      </x:c>
      <x:c r="H35" s="32" t="s">
        <x:v>1081</x:v>
      </x:c>
      <x:c r="I35" s="32" t="s">
        <x:v>1082</x:v>
      </x:c>
      <x:c r="J35" s="42"/>
      <x:c r="K35" s="42"/>
      <x:c r="L35" s="42"/>
    </x:row>
    <x:row r="36" ht="20.100000381469727" customHeight="1">
      <x:c r="A36" s="42"/>
      <x:c r="B36" s="202" t="s">
        <x:v>1091</x:v>
      </x:c>
      <x:c r="C36" s="202"/>
      <x:c r="D36" s="202"/>
      <x:c r="E36" s="202"/>
      <x:c r="F36" s="202"/>
      <x:c r="G36" s="202"/>
      <x:c r="H36" s="202"/>
      <x:c r="I36" s="202"/>
      <x:c r="J36" s="42"/>
      <x:c r="K36" s="42"/>
      <x:c r="L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</x:row>
  </x:sheetData>
  <x:mergeCells>
    <x:mergeCell ref="B22:I22"/>
    <x:mergeCell ref="B23:I23"/>
    <x:mergeCell ref="B25:I25"/>
    <x:mergeCell ref="B36:I36"/>
  </x:mergeCells>
  <x:hyperlinks>
    <x:hyperlink ref="E7" location="'Assumptions'!B11"/>
    <x:hyperlink ref="E8" location="'Assumptions'!B64"/>
    <x:hyperlink ref="E9" location="'Assumptions'!B73"/>
    <x:hyperlink ref="E10" location="'Assumptions'!B15"/>
    <x:hyperlink ref="E11" location="'Assumptions'!B17"/>
    <x:hyperlink ref="E12" location="'Assumptions'!B110"/>
    <x:hyperlink ref="E13" location="'Assumptions'!B62"/>
    <x:hyperlink ref="E14" location="'Assumptions'!B87"/>
    <x:hyperlink ref="E15" location="'Assumptions'!B94"/>
    <x:hyperlink ref="E16" location="'Assumptions'!B39"/>
    <x:hyperlink ref="E17" location="'Assumptions'!B26"/>
    <x:hyperlink ref="E18" location="'Assumptions'!B58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A8494"/>
  </x:sheetPr>
  <x:sheetViews>
    <x:sheetView showGridLines="0" workbookViewId="0"/>
  </x:sheetViews>
  <x:sheetFormatPr defaultColWidth="8.5703125" defaultRowHeight="12.75"/>
  <x:cols>
    <x:col min="1" max="1" width="2.140625" customWidth="1"/>
    <x:col min="2" max="2" width="40" customWidth="1"/>
    <x:col min="3" max="3" width="13" customWidth="1"/>
    <x:col min="4" max="4" width="82" customWidth="1"/>
    <x:col min="5" max="5" width="30" customWidth="1"/>
  </x:cols>
  <x:sheetData>
    <x:row r="2" ht="30" customHeight="1">
      <x:c r="B2" s="3" t="s">
        <x:v>1092</x:v>
      </x:c>
    </x:row>
    <x:row r="3" ht="15.949999809265137" customHeight="1">
      <x:c r="B3" s="4" t="s">
        <x:v>1093</x:v>
      </x:c>
    </x:row>
    <x:row r="4" ht="9.949999809265137" customHeight="1"/>
    <x:row r="5" ht="21.950000762939453" customHeight="1">
      <x:c r="B5" s="10" t="s">
        <x:v>1094</x:v>
      </x:c>
      <x:c r="C5" s="9" t="s">
        <x:v>1095</x:v>
      </x:c>
      <x:c r="D5" s="10" t="s">
        <x:v>1096</x:v>
      </x:c>
      <x:c r="E5" s="10" t="s">
        <x:v>1097</x:v>
      </x:c>
    </x:row>
    <x:row r="6" ht="32.099998474121094" customHeight="1">
      <x:c r="B6" s="13" t="s">
        <x:v>1098</x:v>
      </x:c>
      <x:c r="C6" s="37" t="s">
        <x:v>1099</x:v>
      </x:c>
      <x:c r="D6" s="32" t="s">
        <x:v>1100</x:v>
      </x:c>
      <x:c r="E6" s="32" t="s">
        <x:v>1101</x:v>
      </x:c>
    </x:row>
    <x:row r="7" ht="32.099998474121094" customHeight="1">
      <x:c r="B7" s="13" t="s">
        <x:v>1102</x:v>
      </x:c>
      <x:c r="C7" s="37" t="s">
        <x:v>1099</x:v>
      </x:c>
      <x:c r="D7" s="32" t="s">
        <x:v>1103</x:v>
      </x:c>
      <x:c r="E7" s="32" t="s">
        <x:v>1104</x:v>
      </x:c>
    </x:row>
    <x:row r="8" ht="32.099998474121094" customHeight="1">
      <x:c r="B8" s="13" t="s">
        <x:v>1105</x:v>
      </x:c>
      <x:c r="C8" s="38" t="s">
        <x:v>1106</x:v>
      </x:c>
      <x:c r="D8" s="32" t="s">
        <x:v>1107</x:v>
      </x:c>
      <x:c r="E8" s="32" t="s">
        <x:v>1108</x:v>
      </x:c>
    </x:row>
    <x:row r="9" ht="32.099998474121094" customHeight="1">
      <x:c r="B9" s="13" t="s">
        <x:v>1109</x:v>
      </x:c>
      <x:c r="C9" s="38" t="s">
        <x:v>1106</x:v>
      </x:c>
      <x:c r="D9" s="32" t="s">
        <x:v>1110</x:v>
      </x:c>
      <x:c r="E9" s="32" t="s">
        <x:v>1111</x:v>
      </x:c>
    </x:row>
    <x:row r="10" ht="32.099998474121094" customHeight="1">
      <x:c r="B10" s="13" t="s">
        <x:v>1112</x:v>
      </x:c>
      <x:c r="C10" s="39" t="s">
        <x:v>1113</x:v>
      </x:c>
      <x:c r="D10" s="32" t="s">
        <x:v>1114</x:v>
      </x:c>
      <x:c r="E10" s="32" t="s">
        <x:v>1115</x:v>
      </x:c>
    </x:row>
    <x:row r="11" ht="32.099998474121094" customHeight="1">
      <x:c r="B11" s="13" t="s">
        <x:v>1116</x:v>
      </x:c>
      <x:c r="C11" s="38" t="s">
        <x:v>1106</x:v>
      </x:c>
      <x:c r="D11" s="32" t="s">
        <x:v>1117</x:v>
      </x:c>
      <x:c r="E11" s="32" t="s">
        <x:v>1118</x:v>
      </x:c>
    </x:row>
    <x:row r="12" ht="32.099998474121094" customHeight="1">
      <x:c r="B12" s="13" t="s">
        <x:v>1119</x:v>
      </x:c>
      <x:c r="C12" s="39" t="s">
        <x:v>1113</x:v>
      </x:c>
      <x:c r="D12" s="32" t="s">
        <x:v>1120</x:v>
      </x:c>
      <x:c r="E12" s="32" t="s">
        <x:v>1121</x:v>
      </x:c>
    </x:row>
    <x:row r="13" ht="32.099998474121094" customHeight="1">
      <x:c r="B13" s="13" t="s">
        <x:v>1122</x:v>
      </x:c>
      <x:c r="C13" s="39" t="s">
        <x:v>1113</x:v>
      </x:c>
      <x:c r="D13" s="32" t="s">
        <x:v>1123</x:v>
      </x:c>
      <x:c r="E13" s="32" t="s">
        <x:v>1124</x:v>
      </x:c>
    </x:row>
    <x:row r="14" ht="32.099998474121094" customHeight="1">
      <x:c r="B14" s="13" t="s">
        <x:v>1125</x:v>
      </x:c>
      <x:c r="C14" s="40" t="s">
        <x:v>1126</x:v>
      </x:c>
      <x:c r="D14" s="32" t="s">
        <x:v>1127</x:v>
      </x:c>
      <x:c r="E14" s="32" t="s">
        <x:v>1128</x:v>
      </x:c>
    </x:row>
    <x:row r="15" ht="32.099998474121094" customHeight="1">
      <x:c r="B15" s="13" t="s">
        <x:v>1129</x:v>
      </x:c>
      <x:c r="C15" s="39" t="s">
        <x:v>1113</x:v>
      </x:c>
      <x:c r="D15" s="32" t="s">
        <x:v>1130</x:v>
      </x:c>
      <x:c r="E15" s="32" t="s">
        <x:v>1131</x:v>
      </x:c>
    </x:row>
    <x:row r="16" ht="9.949999809265137" customHeight="1"/>
    <x:row r="17" ht="32.099998474121094" customHeight="1">
      <x:c r="B17" s="13" t="s">
        <x:v>1132</x:v>
      </x:c>
      <x:c r="C17" s="41" t="s">
        <x:v>1133</x:v>
      </x:c>
      <x:c r="D17" s="32" t="s">
        <x:v>1134</x:v>
      </x:c>
      <x:c r="E17" s="32" t="s">
        <x:v>1135</x:v>
      </x:c>
    </x:row>
    <x:row r="18" ht="32.099998474121094" customHeight="1">
      <x:c r="B18" s="13" t="s">
        <x:v>1136</x:v>
      </x:c>
      <x:c r="C18" s="38" t="s">
        <x:v>1106</x:v>
      </x:c>
      <x:c r="D18" s="32" t="s">
        <x:v>1137</x:v>
      </x:c>
      <x:c r="E18" s="32" t="s">
        <x:v>1138</x:v>
      </x:c>
    </x:row>
    <x:row r="19" ht="32.099998474121094" customHeight="1">
      <x:c r="B19" s="13" t="s">
        <x:v>1139</x:v>
      </x:c>
      <x:c r="C19" s="39" t="s">
        <x:v>1113</x:v>
      </x:c>
      <x:c r="D19" s="32" t="s">
        <x:v>1140</x:v>
      </x:c>
      <x:c r="E19" s="32" t="s">
        <x:v>1141</x:v>
      </x:c>
    </x:row>
    <x:row r="20" ht="32.099998474121094" customHeight="1">
      <x:c r="B20" s="13" t="s">
        <x:v>1142</x:v>
      </x:c>
      <x:c r="C20" s="38" t="s">
        <x:v>1106</x:v>
      </x:c>
      <x:c r="D20" s="32" t="s">
        <x:v>1143</x:v>
      </x:c>
      <x:c r="E20" s="32" t="s">
        <x:v>1144</x:v>
      </x:c>
    </x:row>
    <x:row r="21" ht="32.099998474121094" customHeight="1">
      <x:c r="B21" s="13" t="s">
        <x:v>1145</x:v>
      </x:c>
      <x:c r="C21" s="38" t="s">
        <x:v>1106</x:v>
      </x:c>
      <x:c r="D21" s="32" t="s">
        <x:v>1146</x:v>
      </x:c>
      <x:c r="E21" s="32" t="s">
        <x:v>1147</x:v>
      </x:c>
    </x:row>
    <x:row r="22" ht="32.099998474121094" customHeight="1">
      <x:c r="B22" s="13" t="s">
        <x:v>1148</x:v>
      </x:c>
      <x:c r="C22" s="39" t="s">
        <x:v>1113</x:v>
      </x:c>
      <x:c r="D22" s="32" t="s">
        <x:v>1149</x:v>
      </x:c>
      <x:c r="E22" s="32" t="s">
        <x:v>1150</x:v>
      </x:c>
    </x:row>
    <x:row r="23" ht="32.099998474121094" customHeight="1">
      <x:c r="B23" s="13" t="s">
        <x:v>1151</x:v>
      </x:c>
      <x:c r="C23" s="38" t="s">
        <x:v>1106</x:v>
      </x:c>
      <x:c r="D23" s="32" t="s">
        <x:v>1152</x:v>
      </x:c>
      <x:c r="E23" s="32" t="s">
        <x:v>1153</x:v>
      </x:c>
    </x:row>
    <x:row r="24" ht="32.099998474121094" customHeight="1">
      <x:c r="B24" s="13" t="s">
        <x:v>1154</x:v>
      </x:c>
      <x:c r="C24" s="38" t="s">
        <x:v>1106</x:v>
      </x:c>
      <x:c r="D24" s="32" t="s">
        <x:v>1155</x:v>
      </x:c>
      <x:c r="E24" s="32" t="s">
        <x:v>1156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A8494"/>
  </x:sheetPr>
  <x:sheetViews>
    <x:sheetView showGridLines="0" workbookViewId="0"/>
  </x:sheetViews>
  <x:sheetFormatPr defaultColWidth="8.5703125" defaultRowHeight="12.75"/>
  <x:cols>
    <x:col min="1" max="1" width="44" customWidth="1"/>
    <x:col min="2" max="2" width="20" customWidth="1"/>
    <x:col min="3" max="4" width="18" customWidth="1"/>
    <x:col min="5" max="5" width="20" customWidth="1"/>
    <x:col min="6" max="6" width="9" customWidth="1"/>
    <x:col min="7" max="7" width="19" customWidth="1"/>
    <x:col min="8" max="8" width="78" customWidth="1"/>
    <x:col min="9" max="9" width="38" customWidth="1"/>
    <x:col min="10" max="10" width="34" customWidth="1"/>
    <x:col min="11" max="11" width="12" customWidth="1"/>
  </x:cols>
  <x:sheetData>
    <x:row r="2" ht="30" customHeight="1">
      <x:c r="B2" s="3" t="s">
        <x:v>1157</x:v>
      </x:c>
    </x:row>
    <x:row r="3" ht="15.949999809265137" customHeight="1">
      <x:c r="B3" s="4" t="s">
        <x:v>1158</x:v>
      </x:c>
    </x:row>
    <x:row r="4" ht="9.949999809265137" customHeight="1"/>
    <x:row r="5" ht="26.100000381469727" customHeight="1">
      <x:c r="A5" s="10" t="s">
        <x:v>1159</x:v>
      </x:c>
      <x:c r="B5" s="10" t="s">
        <x:v>165</x:v>
      </x:c>
      <x:c r="C5" s="11" t="s">
        <x:v>1160</x:v>
      </x:c>
      <x:c r="D5" s="11" t="s">
        <x:v>1161</x:v>
      </x:c>
      <x:c r="E5" s="11" t="s">
        <x:v>1162</x:v>
      </x:c>
      <x:c r="F5" s="9" t="s">
        <x:v>1163</x:v>
      </x:c>
      <x:c r="G5" s="9" t="s">
        <x:v>1164</x:v>
      </x:c>
      <x:c r="H5" s="10" t="s">
        <x:v>1165</x:v>
      </x:c>
      <x:c r="I5" s="10" t="s">
        <x:v>1166</x:v>
      </x:c>
      <x:c r="J5" s="10" t="s">
        <x:v>1167</x:v>
      </x:c>
      <x:c r="K5" s="10"/>
    </x:row>
    <x:row r="6" ht="27.950000762939453" customHeight="1">
      <x:c r="A6" s="13" t="s">
        <x:v>1168</x:v>
      </x:c>
      <x:c r="B6" s="34" t="s">
        <x:v>163</x:v>
      </x:c>
      <x:c r="C6" s="20" t="str">
        <x:f>TEXT(Assumptions!$F$70,"0.00%")&amp;" / "&amp;TEXT(Assumptions!$F$71,"0.00%")&amp;" / "&amp;TEXT(Assumptions!$F$72,"0.00%")</x:f>
        <x:v>0.80% / 1.50% / 3.00%</x:v>
      </x:c>
      <x:c r="D6" s="134" t="str">
        <x:f>TEXT(Assumptions!$F$70,"0.00%")&amp;" / "&amp;TEXT(Assumptions!$F$71,"0.00%")&amp;" / "&amp;TEXT(Assumptions!$F$72,"0.00%")</x:f>
        <x:v>0.80% / 1.50% / 3.00%</x:v>
      </x:c>
      <x:c r="E6" s="135" t="str">
        <x:f>TEXT(Assumptions!$F$70,"0.00%")&amp;" / "&amp;TEXT(Assumptions!$F$71,"0.00%")&amp;" / "&amp;TEXT(Assumptions!$F$72,"0.00%")</x:f>
        <x:v>0.80% / 1.50% / 3.00%</x:v>
      </x:c>
      <x:c r="F6" s="18" t="s">
        <x:v>863</x:v>
      </x:c>
      <x:c r="G6" s="34" t="s">
        <x:v>575</x:v>
      </x:c>
      <x:c r="H6" s="129" t="s">
        <x:v>1169</x:v>
      </x:c>
      <x:c r="I6" s="32" t="s">
        <x:v>1170</x:v>
      </x:c>
      <x:c r="J6" s="130" t="s">
        <x:v>1171</x:v>
      </x:c>
      <x:c r="K6" s="130"/>
    </x:row>
    <x:row r="7" ht="27.950000762939453" customHeight="1">
      <x:c r="A7" s="13" t="s">
        <x:v>1172</x:v>
      </x:c>
      <x:c r="B7" s="34" t="s">
        <x:v>163</x:v>
      </x:c>
      <x:c r="C7" s="13" t="s">
        <x:v>1173</x:v>
      </x:c>
      <x:c r="D7" s="136" t="s">
        <x:v>1174</x:v>
      </x:c>
      <x:c r="E7" s="137" t="s">
        <x:v>1175</x:v>
      </x:c>
      <x:c r="F7" s="18" t="s">
        <x:v>915</x:v>
      </x:c>
      <x:c r="G7" s="34" t="s">
        <x:v>575</x:v>
      </x:c>
      <x:c r="H7" s="129" t="s">
        <x:v>1176</x:v>
      </x:c>
      <x:c r="I7" s="32" t="s">
        <x:v>1170</x:v>
      </x:c>
      <x:c r="J7" s="130" t="s">
        <x:v>1171</x:v>
      </x:c>
      <x:c r="K7" s="130"/>
    </x:row>
    <x:row r="8" ht="27.950000762939453" customHeight="1">
      <x:c r="A8" s="13" t="s">
        <x:v>1177</x:v>
      </x:c>
      <x:c r="B8" s="34" t="s">
        <x:v>163</x:v>
      </x:c>
      <x:c r="C8" s="13" t="s">
        <x:v>1178</x:v>
      </x:c>
      <x:c r="D8" s="136" t="s">
        <x:v>1174</x:v>
      </x:c>
      <x:c r="E8" s="137" t="s">
        <x:v>1179</x:v>
      </x:c>
      <x:c r="F8" s="18" t="s">
        <x:v>915</x:v>
      </x:c>
      <x:c r="G8" s="34" t="s">
        <x:v>575</x:v>
      </x:c>
      <x:c r="H8" s="129" t="s">
        <x:v>1180</x:v>
      </x:c>
      <x:c r="I8" s="32" t="s">
        <x:v>1170</x:v>
      </x:c>
      <x:c r="J8" s="130" t="s">
        <x:v>1171</x:v>
      </x:c>
      <x:c r="K8" s="130"/>
    </x:row>
    <x:row r="9" ht="27.950000762939453" customHeight="1">
      <x:c r="A9" s="13" t="s">
        <x:v>320</x:v>
      </x:c>
      <x:c r="B9" s="34" t="s">
        <x:v>163</x:v>
      </x:c>
      <x:c r="C9" s="13" t="s">
        <x:v>1181</x:v>
      </x:c>
      <x:c r="D9" s="136" t="s">
        <x:v>1174</x:v>
      </x:c>
      <x:c r="E9" s="137" t="s">
        <x:v>1182</x:v>
      </x:c>
      <x:c r="F9" s="18" t="s">
        <x:v>915</x:v>
      </x:c>
      <x:c r="G9" s="34" t="s">
        <x:v>575</x:v>
      </x:c>
      <x:c r="H9" s="129" t="s">
        <x:v>1183</x:v>
      </x:c>
      <x:c r="I9" s="32" t="s">
        <x:v>1170</x:v>
      </x:c>
      <x:c r="J9" s="130" t="s">
        <x:v>1171</x:v>
      </x:c>
      <x:c r="K9" s="130"/>
    </x:row>
    <x:row r="10" ht="24" customHeight="1">
      <x:c r="A10" s="13" t="s">
        <x:v>1184</x:v>
      </x:c>
      <x:c r="B10" s="34" t="s">
        <x:v>163</x:v>
      </x:c>
      <x:c r="C10" s="17">
        <x:v>0</x:v>
      </x:c>
      <x:c r="D10" s="131">
        <x:v>500</x:v>
      </x:c>
      <x:c r="E10" s="119">
        <x:v>1500</x:v>
      </x:c>
      <x:c r="F10" s="18" t="s">
        <x:v>915</x:v>
      </x:c>
      <x:c r="G10" s="34" t="s">
        <x:v>575</x:v>
      </x:c>
      <x:c r="H10" s="129" t="s">
        <x:v>1185</x:v>
      </x:c>
      <x:c r="I10" s="32" t="s">
        <x:v>1186</x:v>
      </x:c>
      <x:c r="J10" s="130" t="s">
        <x:v>1171</x:v>
      </x:c>
      <x:c r="K10" s="130"/>
    </x:row>
    <x:row r="11" ht="24" customHeight="1">
      <x:c r="A11" s="13" t="s">
        <x:v>1187</x:v>
      </x:c>
      <x:c r="B11" s="34" t="s">
        <x:v>163</x:v>
      </x:c>
      <x:c r="C11" s="17">
        <x:v>0.2</x:v>
      </x:c>
      <x:c r="D11" s="127">
        <x:v>0.35</x:v>
      </x:c>
      <x:c r="E11" s="128">
        <x:v>0.55000000000000004</x:v>
      </x:c>
      <x:c r="F11" s="18" t="s">
        <x:v>863</x:v>
      </x:c>
      <x:c r="G11" s="34" t="s">
        <x:v>1188</x:v>
      </x:c>
      <x:c r="H11" s="129" t="s">
        <x:v>1189</x:v>
      </x:c>
      <x:c r="I11" s="32" t="s">
        <x:v>1190</x:v>
      </x:c>
      <x:c r="J11" s="130" t="s">
        <x:v>1191</x:v>
      </x:c>
      <x:c r="K11" s="130"/>
    </x:row>
    <x:row r="12" ht="24" customHeight="1">
      <x:c r="A12" s="13" t="s">
        <x:v>914</x:v>
      </x:c>
      <x:c r="B12" s="34" t="s">
        <x:v>1192</x:v>
      </x:c>
      <x:c r="C12" s="17">
        <x:v>100</x:v>
      </x:c>
      <x:c r="D12" s="131">
        <x:v>100</x:v>
      </x:c>
      <x:c r="E12" s="119">
        <x:v>100</x:v>
      </x:c>
      <x:c r="F12" s="18" t="s">
        <x:v>915</x:v>
      </x:c>
      <x:c r="G12" s="34" t="s">
        <x:v>575</x:v>
      </x:c>
      <x:c r="H12" s="129" t="s">
        <x:v>1193</x:v>
      </x:c>
      <x:c r="I12" s="32" t="s">
        <x:v>1194</x:v>
      </x:c>
      <x:c r="J12" s="130" t="s">
        <x:v>1171</x:v>
      </x:c>
      <x:c r="K12" s="130"/>
    </x:row>
    <x:row r="13" ht="24" customHeight="1">
      <x:c r="A13" s="13" t="s">
        <x:v>1195</x:v>
      </x:c>
      <x:c r="B13" s="34" t="s">
        <x:v>1196</x:v>
      </x:c>
      <x:c r="C13" s="17">
        <x:v>50</x:v>
      </x:c>
      <x:c r="D13" s="131">
        <x:v>50</x:v>
      </x:c>
      <x:c r="E13" s="119">
        <x:v>50</x:v>
      </x:c>
      <x:c r="F13" s="18" t="s">
        <x:v>915</x:v>
      </x:c>
      <x:c r="G13" s="34" t="s">
        <x:v>575</x:v>
      </x:c>
      <x:c r="H13" s="129" t="s">
        <x:v>1197</x:v>
      </x:c>
      <x:c r="I13" s="32" t="s">
        <x:v>1198</x:v>
      </x:c>
      <x:c r="J13" s="130" t="s">
        <x:v>1171</x:v>
      </x:c>
      <x:c r="K13" s="130"/>
    </x:row>
    <x:row r="14" ht="24" customHeight="1">
      <x:c r="A14" s="13" t="s">
        <x:v>919</x:v>
      </x:c>
      <x:c r="B14" s="34" t="s">
        <x:v>1196</x:v>
      </x:c>
      <x:c r="C14" s="17">
        <x:v>0</x:v>
      </x:c>
      <x:c r="D14" s="131">
        <x:v>63</x:v>
      </x:c>
      <x:c r="E14" s="119">
        <x:v>63</x:v>
      </x:c>
      <x:c r="F14" s="18" t="s">
        <x:v>915</x:v>
      </x:c>
      <x:c r="G14" s="34" t="s">
        <x:v>575</x:v>
      </x:c>
      <x:c r="H14" s="129" t="s">
        <x:v>1199</x:v>
      </x:c>
      <x:c r="I14" s="32" t="s">
        <x:v>1194</x:v>
      </x:c>
      <x:c r="J14" s="130" t="s">
        <x:v>1171</x:v>
      </x:c>
      <x:c r="K14" s="130"/>
    </x:row>
    <x:row r="15" ht="24" customHeight="1">
      <x:c r="A15" s="13" t="s">
        <x:v>1200</x:v>
      </x:c>
      <x:c r="B15" s="34" t="s">
        <x:v>1192</x:v>
      </x:c>
      <x:c r="C15" s="17">
        <x:v>375</x:v>
      </x:c>
      <x:c r="D15" s="131">
        <x:v>1500</x:v>
      </x:c>
      <x:c r="E15" s="119">
        <x:v>3000</x:v>
      </x:c>
      <x:c r="F15" s="18" t="s">
        <x:v>915</x:v>
      </x:c>
      <x:c r="G15" s="34" t="s">
        <x:v>1188</x:v>
      </x:c>
      <x:c r="H15" s="129" t="s">
        <x:v>1201</x:v>
      </x:c>
      <x:c r="I15" s="32" t="s">
        <x:v>1202</x:v>
      </x:c>
      <x:c r="J15" s="130" t="s">
        <x:v>1171</x:v>
      </x:c>
      <x:c r="K15" s="130"/>
    </x:row>
    <x:row r="16" ht="24" customHeight="1">
      <x:c r="A16" s="13" t="s">
        <x:v>1203</x:v>
      </x:c>
      <x:c r="B16" s="34" t="s">
        <x:v>1192</x:v>
      </x:c>
      <x:c r="C16" s="17">
        <x:v>200</x:v>
      </x:c>
      <x:c r="D16" s="131">
        <x:v>600</x:v>
      </x:c>
      <x:c r="E16" s="119">
        <x:v>1500</x:v>
      </x:c>
      <x:c r="F16" s="18" t="s">
        <x:v>915</x:v>
      </x:c>
      <x:c r="G16" s="34" t="s">
        <x:v>575</x:v>
      </x:c>
      <x:c r="H16" s="129" t="s">
        <x:v>1204</x:v>
      </x:c>
      <x:c r="I16" s="32"/>
      <x:c r="J16" s="130" t="s">
        <x:v>1171</x:v>
      </x:c>
      <x:c r="K16" s="130"/>
    </x:row>
    <x:row r="17" ht="24" customHeight="1">
      <x:c r="A17" s="13" t="s">
        <x:v>1205</x:v>
      </x:c>
      <x:c r="B17" s="34" t="s">
        <x:v>1192</x:v>
      </x:c>
      <x:c r="C17" s="17">
        <x:v>300</x:v>
      </x:c>
      <x:c r="D17" s="131">
        <x:v>900</x:v>
      </x:c>
      <x:c r="E17" s="119">
        <x:v>2500</x:v>
      </x:c>
      <x:c r="F17" s="18" t="s">
        <x:v>915</x:v>
      </x:c>
      <x:c r="G17" s="34" t="s">
        <x:v>575</x:v>
      </x:c>
      <x:c r="H17" s="129" t="s">
        <x:v>1206</x:v>
      </x:c>
      <x:c r="I17" s="32"/>
      <x:c r="J17" s="130" t="s">
        <x:v>1171</x:v>
      </x:c>
      <x:c r="K17" s="130"/>
    </x:row>
    <x:row r="18" ht="24" customHeight="1">
      <x:c r="A18" s="13" t="s">
        <x:v>1207</x:v>
      </x:c>
      <x:c r="B18" s="34" t="s">
        <x:v>1196</x:v>
      </x:c>
      <x:c r="C18" s="17">
        <x:v>3000</x:v>
      </x:c>
      <x:c r="D18" s="131">
        <x:v>8000</x:v>
      </x:c>
      <x:c r="E18" s="119">
        <x:v>18000</x:v>
      </x:c>
      <x:c r="F18" s="18" t="s">
        <x:v>915</x:v>
      </x:c>
      <x:c r="G18" s="34" t="s">
        <x:v>575</x:v>
      </x:c>
      <x:c r="H18" s="129" t="s">
        <x:v>1208</x:v>
      </x:c>
      <x:c r="I18" s="32" t="s">
        <x:v>1209</x:v>
      </x:c>
      <x:c r="J18" s="130" t="s">
        <x:v>1171</x:v>
      </x:c>
      <x:c r="K18" s="130"/>
    </x:row>
    <x:row r="19" ht="24" customHeight="1">
      <x:c r="A19" s="13" t="s">
        <x:v>1210</x:v>
      </x:c>
      <x:c r="B19" s="34" t="s">
        <x:v>1196</x:v>
      </x:c>
      <x:c r="C19" s="17">
        <x:v>8000</x:v>
      </x:c>
      <x:c r="D19" s="131">
        <x:v>25000</x:v>
      </x:c>
      <x:c r="E19" s="119">
        <x:v>60000</x:v>
      </x:c>
      <x:c r="F19" s="18" t="s">
        <x:v>915</x:v>
      </x:c>
      <x:c r="G19" s="34" t="s">
        <x:v>575</x:v>
      </x:c>
      <x:c r="H19" s="129" t="s">
        <x:v>1211</x:v>
      </x:c>
      <x:c r="I19" s="32" t="s">
        <x:v>1212</x:v>
      </x:c>
      <x:c r="J19" s="130" t="s">
        <x:v>1171</x:v>
      </x:c>
      <x:c r="K19" s="130"/>
    </x:row>
    <x:row r="20" ht="24" customHeight="1">
      <x:c r="A20" s="13" t="s">
        <x:v>937</x:v>
      </x:c>
      <x:c r="B20" s="34" t="s">
        <x:v>1196</x:v>
      </x:c>
      <x:c r="C20" s="17">
        <x:v>2000</x:v>
      </x:c>
      <x:c r="D20" s="131">
        <x:v>6000</x:v>
      </x:c>
      <x:c r="E20" s="119">
        <x:v>15000</x:v>
      </x:c>
      <x:c r="F20" s="18" t="s">
        <x:v>915</x:v>
      </x:c>
      <x:c r="G20" s="34" t="s">
        <x:v>575</x:v>
      </x:c>
      <x:c r="H20" s="129" t="s">
        <x:v>1213</x:v>
      </x:c>
      <x:c r="I20" s="32" t="s">
        <x:v>1214</x:v>
      </x:c>
      <x:c r="J20" s="130" t="s">
        <x:v>1171</x:v>
      </x:c>
      <x:c r="K20" s="130"/>
    </x:row>
    <x:row r="21" ht="24" customHeight="1">
      <x:c r="A21" s="13" t="s">
        <x:v>1215</x:v>
      </x:c>
      <x:c r="B21" s="34" t="s">
        <x:v>1196</x:v>
      </x:c>
      <x:c r="C21" s="17">
        <x:v>1000</x:v>
      </x:c>
      <x:c r="D21" s="131">
        <x:v>3000</x:v>
      </x:c>
      <x:c r="E21" s="119">
        <x:v>8000</x:v>
      </x:c>
      <x:c r="F21" s="18" t="s">
        <x:v>915</x:v>
      </x:c>
      <x:c r="G21" s="34" t="s">
        <x:v>575</x:v>
      </x:c>
      <x:c r="H21" s="129" t="s">
        <x:v>1216</x:v>
      </x:c>
      <x:c r="I21" s="32" t="s">
        <x:v>1217</x:v>
      </x:c>
      <x:c r="J21" s="130" t="s">
        <x:v>1171</x:v>
      </x:c>
      <x:c r="K21" s="130"/>
    </x:row>
    <x:row r="22" ht="24" customHeight="1">
      <x:c r="A22" s="13" t="s">
        <x:v>941</x:v>
      </x:c>
      <x:c r="B22" s="34" t="s">
        <x:v>1196</x:v>
      </x:c>
      <x:c r="C22" s="17">
        <x:v>52</x:v>
      </x:c>
      <x:c r="D22" s="131">
        <x:v>60</x:v>
      </x:c>
      <x:c r="E22" s="119">
        <x:v>60</x:v>
      </x:c>
      <x:c r="F22" s="18" t="s">
        <x:v>915</x:v>
      </x:c>
      <x:c r="G22" s="34" t="s">
        <x:v>575</x:v>
      </x:c>
      <x:c r="H22" s="129" t="s">
        <x:v>1218</x:v>
      </x:c>
      <x:c r="I22" s="32" t="s">
        <x:v>1219</x:v>
      </x:c>
      <x:c r="J22" s="130" t="s">
        <x:v>1171</x:v>
      </x:c>
      <x:c r="K22" s="130"/>
    </x:row>
    <x:row r="23" ht="24" customHeight="1">
      <x:c r="A23" s="13" t="s">
        <x:v>1220</x:v>
      </x:c>
      <x:c r="B23" s="34" t="s">
        <x:v>1192</x:v>
      </x:c>
      <x:c r="C23" s="17">
        <x:v>12000</x:v>
      </x:c>
      <x:c r="D23" s="131">
        <x:v>30000</x:v>
      </x:c>
      <x:c r="E23" s="119">
        <x:v>60000</x:v>
      </x:c>
      <x:c r="F23" s="18" t="s">
        <x:v>915</x:v>
      </x:c>
      <x:c r="G23" s="34" t="s">
        <x:v>1188</x:v>
      </x:c>
      <x:c r="H23" s="129" t="s">
        <x:v>982</x:v>
      </x:c>
      <x:c r="I23" s="32" t="s">
        <x:v>1221</x:v>
      </x:c>
      <x:c r="J23" s="130" t="s">
        <x:v>1171</x:v>
      </x:c>
      <x:c r="K23" s="130"/>
    </x:row>
    <x:row r="24" ht="24" customHeight="1">
      <x:c r="A24" s="13" t="s">
        <x:v>1222</x:v>
      </x:c>
      <x:c r="B24" s="34" t="s">
        <x:v>1192</x:v>
      </x:c>
      <x:c r="C24" s="17">
        <x:v>3000</x:v>
      </x:c>
      <x:c r="D24" s="131">
        <x:v>7000</x:v>
      </x:c>
      <x:c r="E24" s="119">
        <x:v>15000</x:v>
      </x:c>
      <x:c r="F24" s="18" t="s">
        <x:v>915</x:v>
      </x:c>
      <x:c r="G24" s="34" t="s">
        <x:v>575</x:v>
      </x:c>
      <x:c r="H24" s="129" t="s">
        <x:v>1223</x:v>
      </x:c>
      <x:c r="I24" s="32"/>
      <x:c r="J24" s="130" t="s">
        <x:v>1171</x:v>
      </x:c>
      <x:c r="K24" s="130"/>
    </x:row>
    <x:row r="25" ht="24" customHeight="1">
      <x:c r="A25" s="13" t="s">
        <x:v>1224</x:v>
      </x:c>
      <x:c r="B25" s="34" t="s">
        <x:v>1192</x:v>
      </x:c>
      <x:c r="C25" s="17">
        <x:v>15000</x:v>
      </x:c>
      <x:c r="D25" s="131">
        <x:v>40000</x:v>
      </x:c>
      <x:c r="E25" s="119">
        <x:v>90000</x:v>
      </x:c>
      <x:c r="F25" s="18" t="s">
        <x:v>915</x:v>
      </x:c>
      <x:c r="G25" s="34" t="s">
        <x:v>575</x:v>
      </x:c>
      <x:c r="H25" s="129" t="s">
        <x:v>1225</x:v>
      </x:c>
      <x:c r="I25" s="32"/>
      <x:c r="J25" s="130" t="s">
        <x:v>1171</x:v>
      </x:c>
      <x:c r="K25" s="130"/>
    </x:row>
    <x:row r="26" ht="24" customHeight="1">
      <x:c r="A26" s="13" t="s">
        <x:v>1226</x:v>
      </x:c>
      <x:c r="B26" s="34" t="s">
        <x:v>1192</x:v>
      </x:c>
      <x:c r="C26" s="17">
        <x:v>20000</x:v>
      </x:c>
      <x:c r="D26" s="131">
        <x:v>50000</x:v>
      </x:c>
      <x:c r="E26" s="119">
        <x:v>110000</x:v>
      </x:c>
      <x:c r="F26" s="18" t="s">
        <x:v>915</x:v>
      </x:c>
      <x:c r="G26" s="34" t="s">
        <x:v>575</x:v>
      </x:c>
      <x:c r="H26" s="129" t="s">
        <x:v>1227</x:v>
      </x:c>
      <x:c r="I26" s="32"/>
      <x:c r="J26" s="130" t="s">
        <x:v>1171</x:v>
      </x:c>
      <x:c r="K26" s="130"/>
    </x:row>
    <x:row r="27" ht="24" customHeight="1">
      <x:c r="A27" s="13" t="s">
        <x:v>1228</x:v>
      </x:c>
      <x:c r="B27" s="34" t="s">
        <x:v>1192</x:v>
      </x:c>
      <x:c r="C27" s="17">
        <x:v>3000</x:v>
      </x:c>
      <x:c r="D27" s="131">
        <x:v>9000</x:v>
      </x:c>
      <x:c r="E27" s="119">
        <x:v>20000</x:v>
      </x:c>
      <x:c r="F27" s="18" t="s">
        <x:v>915</x:v>
      </x:c>
      <x:c r="G27" s="34" t="s">
        <x:v>575</x:v>
      </x:c>
      <x:c r="H27" s="129"/>
      <x:c r="I27" s="32"/>
      <x:c r="J27" s="130" t="s">
        <x:v>1171</x:v>
      </x:c>
      <x:c r="K27" s="130"/>
    </x:row>
    <x:row r="28" ht="24" customHeight="1">
      <x:c r="A28" s="13" t="s">
        <x:v>1229</x:v>
      </x:c>
      <x:c r="B28" s="34" t="s">
        <x:v>1192</x:v>
      </x:c>
      <x:c r="C28" s="17">
        <x:v>1500</x:v>
      </x:c>
      <x:c r="D28" s="131">
        <x:v>5000</x:v>
      </x:c>
      <x:c r="E28" s="119">
        <x:v>12000</x:v>
      </x:c>
      <x:c r="F28" s="18" t="s">
        <x:v>915</x:v>
      </x:c>
      <x:c r="G28" s="34" t="s">
        <x:v>575</x:v>
      </x:c>
      <x:c r="H28" s="129"/>
      <x:c r="I28" s="32"/>
      <x:c r="J28" s="130" t="s">
        <x:v>1171</x:v>
      </x:c>
      <x:c r="K28" s="130"/>
    </x:row>
    <x:row r="29" ht="24" customHeight="1">
      <x:c r="A29" s="13" t="s">
        <x:v>1230</x:v>
      </x:c>
      <x:c r="B29" s="34" t="s">
        <x:v>1192</x:v>
      </x:c>
      <x:c r="C29" s="17">
        <x:v>1100</x:v>
      </x:c>
      <x:c r="D29" s="131">
        <x:v>4300</x:v>
      </x:c>
      <x:c r="E29" s="119">
        <x:v>10800</x:v>
      </x:c>
      <x:c r="F29" s="18" t="s">
        <x:v>915</x:v>
      </x:c>
      <x:c r="G29" s="34" t="s">
        <x:v>1231</x:v>
      </x:c>
      <x:c r="H29" s="129" t="s">
        <x:v>1232</x:v>
      </x:c>
      <x:c r="I29" s="32"/>
      <x:c r="J29" s="130" t="s">
        <x:v>1171</x:v>
      </x:c>
      <x:c r="K29" s="130"/>
    </x:row>
    <x:row r="30" ht="24" customHeight="1">
      <x:c r="A30" s="13" t="s">
        <x:v>1233</x:v>
      </x:c>
      <x:c r="B30" s="34" t="s">
        <x:v>1234</x:v>
      </x:c>
      <x:c r="C30" s="17">
        <x:v>1000</x:v>
      </x:c>
      <x:c r="D30" s="131">
        <x:v>5000</x:v>
      </x:c>
      <x:c r="E30" s="119">
        <x:v>15000</x:v>
      </x:c>
      <x:c r="F30" s="18" t="s">
        <x:v>915</x:v>
      </x:c>
      <x:c r="G30" s="34" t="s">
        <x:v>575</x:v>
      </x:c>
      <x:c r="H30" s="129" t="s">
        <x:v>1235</x:v>
      </x:c>
      <x:c r="I30" s="32"/>
      <x:c r="J30" s="130" t="s">
        <x:v>1171</x:v>
      </x:c>
      <x:c r="K30" s="130"/>
    </x:row>
    <x:row r="31" ht="24" customHeight="1">
      <x:c r="A31" s="13" t="s">
        <x:v>1236</x:v>
      </x:c>
      <x:c r="B31" s="34" t="s">
        <x:v>1237</x:v>
      </x:c>
      <x:c r="C31" s="17">
        <x:v>0.01</x:v>
      </x:c>
      <x:c r="D31" s="132">
        <x:v>0.03</x:v>
      </x:c>
      <x:c r="E31" s="133">
        <x:v>0.08</x:v>
      </x:c>
      <x:c r="F31" s="18" t="s">
        <x:v>1238</x:v>
      </x:c>
      <x:c r="G31" s="34" t="s">
        <x:v>1239</x:v>
      </x:c>
      <x:c r="H31" s="129" t="s">
        <x:v>1240</x:v>
      </x:c>
      <x:c r="I31" s="32" t="s">
        <x:v>1241</x:v>
      </x:c>
      <x:c r="J31" s="130" t="s">
        <x:v>1171</x:v>
      </x:c>
      <x:c r="K31" s="130"/>
    </x:row>
    <x:row r="32" ht="24" customHeight="1">
      <x:c r="A32" s="13" t="s">
        <x:v>1242</x:v>
      </x:c>
      <x:c r="B32" s="34" t="s">
        <x:v>1237</x:v>
      </x:c>
      <x:c r="C32" s="17">
        <x:v>1.5E-3</x:v>
      </x:c>
      <x:c r="D32" s="132">
        <x:v>0.01</x:v>
      </x:c>
      <x:c r="E32" s="133">
        <x:v>0.05</x:v>
      </x:c>
      <x:c r="F32" s="18" t="s">
        <x:v>1238</x:v>
      </x:c>
      <x:c r="G32" s="34" t="s">
        <x:v>1239</x:v>
      </x:c>
      <x:c r="H32" s="129" t="s">
        <x:v>1243</x:v>
      </x:c>
      <x:c r="I32" s="32" t="s">
        <x:v>1244</x:v>
      </x:c>
      <x:c r="J32" s="130" t="s">
        <x:v>1171</x:v>
      </x:c>
      <x:c r="K32" s="130"/>
    </x:row>
    <x:row r="33" ht="24" customHeight="1">
      <x:c r="A33" s="13" t="s">
        <x:v>1245</x:v>
      </x:c>
      <x:c r="B33" s="34" t="s">
        <x:v>1237</x:v>
      </x:c>
      <x:c r="C33" s="17">
        <x:v>2</x:v>
      </x:c>
      <x:c r="D33" s="131">
        <x:v>3.5</x:v>
      </x:c>
      <x:c r="E33" s="119">
        <x:v>6</x:v>
      </x:c>
      <x:c r="F33" s="18" t="s">
        <x:v>1238</x:v>
      </x:c>
      <x:c r="G33" s="34" t="s">
        <x:v>1239</x:v>
      </x:c>
      <x:c r="H33" s="129" t="s">
        <x:v>1246</x:v>
      </x:c>
      <x:c r="I33" s="32" t="s">
        <x:v>1247</x:v>
      </x:c>
      <x:c r="J33" s="130" t="s">
        <x:v>1171</x:v>
      </x:c>
      <x:c r="K33" s="130"/>
    </x:row>
    <x:row r="34" ht="24" customHeight="1">
      <x:c r="A34" s="13" t="s">
        <x:v>1248</x:v>
      </x:c>
      <x:c r="B34" s="34" t="s">
        <x:v>1237</x:v>
      </x:c>
      <x:c r="C34" s="17">
        <x:v>0.3</x:v>
      </x:c>
      <x:c r="D34" s="132">
        <x:v>1.35</x:v>
      </x:c>
      <x:c r="E34" s="119">
        <x:v>5</x:v>
      </x:c>
      <x:c r="F34" s="18" t="s">
        <x:v>1238</x:v>
      </x:c>
      <x:c r="G34" s="34" t="s">
        <x:v>1239</x:v>
      </x:c>
      <x:c r="H34" s="129" t="s">
        <x:v>1249</x:v>
      </x:c>
      <x:c r="I34" s="32" t="s">
        <x:v>1250</x:v>
      </x:c>
      <x:c r="J34" s="130" t="s">
        <x:v>1171</x:v>
      </x:c>
      <x:c r="K34" s="130"/>
    </x:row>
    <x:row r="35" ht="24" customHeight="1">
      <x:c r="A35" s="13" t="s">
        <x:v>1251</x:v>
      </x:c>
      <x:c r="B35" s="34" t="s">
        <x:v>1237</x:v>
      </x:c>
      <x:c r="C35" s="17">
        <x:v>0.5</x:v>
      </x:c>
      <x:c r="D35" s="132">
        <x:v>4</x:v>
      </x:c>
      <x:c r="E35" s="119">
        <x:v>12</x:v>
      </x:c>
      <x:c r="F35" s="18" t="s">
        <x:v>915</x:v>
      </x:c>
      <x:c r="G35" s="34" t="s">
        <x:v>575</x:v>
      </x:c>
      <x:c r="H35" s="129" t="s">
        <x:v>1252</x:v>
      </x:c>
      <x:c r="I35" s="32" t="s">
        <x:v>1253</x:v>
      </x:c>
      <x:c r="J35" s="130" t="s">
        <x:v>1171</x:v>
      </x:c>
      <x:c r="K35" s="130"/>
    </x:row>
    <x:row r="36" ht="24" customHeight="1">
      <x:c r="A36" s="13" t="s">
        <x:v>1254</x:v>
      </x:c>
      <x:c r="B36" s="34" t="s">
        <x:v>1237</x:v>
      </x:c>
      <x:c r="C36" s="17">
        <x:v>0.05</x:v>
      </x:c>
      <x:c r="D36" s="132">
        <x:v>0.2</x:v>
      </x:c>
      <x:c r="E36" s="133">
        <x:v>0.8</x:v>
      </x:c>
      <x:c r="F36" s="18" t="s">
        <x:v>1238</x:v>
      </x:c>
      <x:c r="G36" s="34" t="s">
        <x:v>1255</x:v>
      </x:c>
      <x:c r="H36" s="129" t="s">
        <x:v>1256</x:v>
      </x:c>
      <x:c r="I36" s="32" t="s">
        <x:v>1257</x:v>
      </x:c>
      <x:c r="J36" s="130" t="s">
        <x:v>1171</x:v>
      </x:c>
      <x:c r="K36" s="130"/>
    </x:row>
    <x:row r="37" ht="24" customHeight="1">
      <x:c r="A37" s="13" t="s">
        <x:v>1258</x:v>
      </x:c>
      <x:c r="B37" s="34" t="s">
        <x:v>1237</x:v>
      </x:c>
      <x:c r="C37" s="17">
        <x:v>2E-3</x:v>
      </x:c>
      <x:c r="D37" s="132">
        <x:v>0.01</x:v>
      </x:c>
      <x:c r="E37" s="133">
        <x:v>0.03</x:v>
      </x:c>
      <x:c r="F37" s="18" t="s">
        <x:v>1238</x:v>
      </x:c>
      <x:c r="G37" s="34" t="s">
        <x:v>1239</x:v>
      </x:c>
      <x:c r="H37" s="129" t="s">
        <x:v>1259</x:v>
      </x:c>
      <x:c r="I37" s="32"/>
      <x:c r="J37" s="130" t="s">
        <x:v>1171</x:v>
      </x:c>
      <x:c r="K37" s="130"/>
    </x:row>
    <x:row r="38" ht="24" customHeight="1">
      <x:c r="A38" s="13" t="s">
        <x:v>1260</x:v>
      </x:c>
      <x:c r="B38" s="34" t="s">
        <x:v>1237</x:v>
      </x:c>
      <x:c r="C38" s="17">
        <x:v>0.01</x:v>
      </x:c>
      <x:c r="D38" s="132">
        <x:v>0.03</x:v>
      </x:c>
      <x:c r="E38" s="133">
        <x:v>0.08</x:v>
      </x:c>
      <x:c r="F38" s="18" t="s">
        <x:v>1238</x:v>
      </x:c>
      <x:c r="G38" s="34" t="s">
        <x:v>1239</x:v>
      </x:c>
      <x:c r="H38" s="129" t="s">
        <x:v>1261</x:v>
      </x:c>
      <x:c r="I38" s="32"/>
      <x:c r="J38" s="130" t="s">
        <x:v>1171</x:v>
      </x:c>
      <x:c r="K38" s="130"/>
    </x:row>
    <x:row r="39" ht="24" customHeight="1">
      <x:c r="A39" s="13" t="s">
        <x:v>372</x:v>
      </x:c>
      <x:c r="B39" s="34" t="s">
        <x:v>1237</x:v>
      </x:c>
      <x:c r="C39" s="17">
        <x:v>1</x:v>
      </x:c>
      <x:c r="D39" s="131">
        <x:v>3</x:v>
      </x:c>
      <x:c r="E39" s="119">
        <x:v>8</x:v>
      </x:c>
      <x:c r="F39" s="18" t="s">
        <x:v>915</x:v>
      </x:c>
      <x:c r="G39" s="34" t="s">
        <x:v>575</x:v>
      </x:c>
      <x:c r="H39" s="129" t="s">
        <x:v>1262</x:v>
      </x:c>
      <x:c r="I39" s="32"/>
      <x:c r="J39" s="130" t="s">
        <x:v>1171</x:v>
      </x:c>
      <x:c r="K39" s="130"/>
    </x:row>
    <x:row r="40" ht="24" customHeight="1">
      <x:c r="A40" s="13" t="s">
        <x:v>549</x:v>
      </x:c>
      <x:c r="B40" s="34" t="s">
        <x:v>1237</x:v>
      </x:c>
      <x:c r="C40" s="17">
        <x:v>20</x:v>
      </x:c>
      <x:c r="D40" s="131">
        <x:v>60</x:v>
      </x:c>
      <x:c r="E40" s="119">
        <x:v>150</x:v>
      </x:c>
      <x:c r="F40" s="18" t="s">
        <x:v>915</x:v>
      </x:c>
      <x:c r="G40" s="34" t="s">
        <x:v>575</x:v>
      </x:c>
      <x:c r="H40" s="129" t="s">
        <x:v>1263</x:v>
      </x:c>
      <x:c r="I40" s="32" t="s">
        <x:v>1264</x:v>
      </x:c>
      <x:c r="J40" s="130" t="s">
        <x:v>1171</x:v>
      </x:c>
      <x:c r="K40" s="130"/>
    </x:row>
    <x:row r="41" ht="24" customHeight="1">
      <x:c r="A41" s="13" t="s">
        <x:v>402</x:v>
      </x:c>
      <x:c r="B41" s="34" t="s">
        <x:v>1265</x:v>
      </x:c>
      <x:c r="C41" s="17">
        <x:v>50</x:v>
      </x:c>
      <x:c r="D41" s="131">
        <x:v>250</x:v>
      </x:c>
      <x:c r="E41" s="119">
        <x:v>900</x:v>
      </x:c>
      <x:c r="F41" s="18" t="s">
        <x:v>915</x:v>
      </x:c>
      <x:c r="G41" s="34" t="s">
        <x:v>1239</x:v>
      </x:c>
      <x:c r="H41" s="129" t="s">
        <x:v>1266</x:v>
      </x:c>
      <x:c r="I41" s="32" t="s">
        <x:v>1267</x:v>
      </x:c>
      <x:c r="J41" s="130" t="s">
        <x:v>1171</x:v>
      </x:c>
      <x:c r="K41" s="130"/>
    </x:row>
    <x:row r="42" ht="24" customHeight="1">
      <x:c r="A42" s="13" t="s">
        <x:v>404</x:v>
      </x:c>
      <x:c r="B42" s="34" t="s">
        <x:v>1265</x:v>
      </x:c>
      <x:c r="C42" s="17">
        <x:v>20</x:v>
      </x:c>
      <x:c r="D42" s="131">
        <x:v>120</x:v>
      </x:c>
      <x:c r="E42" s="119">
        <x:v>500</x:v>
      </x:c>
      <x:c r="F42" s="18" t="s">
        <x:v>915</x:v>
      </x:c>
      <x:c r="G42" s="34" t="s">
        <x:v>1231</x:v>
      </x:c>
      <x:c r="H42" s="129" t="s">
        <x:v>1268</x:v>
      </x:c>
      <x:c r="I42" s="32"/>
      <x:c r="J42" s="130" t="s">
        <x:v>1171</x:v>
      </x:c>
      <x:c r="K42" s="130"/>
    </x:row>
    <x:row r="43" ht="24" customHeight="1">
      <x:c r="A43" s="13" t="s">
        <x:v>1269</x:v>
      </x:c>
      <x:c r="B43" s="34" t="s">
        <x:v>1265</x:v>
      </x:c>
      <x:c r="C43" s="17">
        <x:v>30</x:v>
      </x:c>
      <x:c r="D43" s="131">
        <x:v>150</x:v>
      </x:c>
      <x:c r="E43" s="119">
        <x:v>500</x:v>
      </x:c>
      <x:c r="F43" s="18" t="s">
        <x:v>915</x:v>
      </x:c>
      <x:c r="G43" s="34" t="s">
        <x:v>1231</x:v>
      </x:c>
      <x:c r="H43" s="129" t="s">
        <x:v>1270</x:v>
      </x:c>
      <x:c r="I43" s="32"/>
      <x:c r="J43" s="130" t="s">
        <x:v>1171</x:v>
      </x:c>
      <x:c r="K43" s="130"/>
    </x:row>
    <x:row r="44" ht="24" customHeight="1">
      <x:c r="A44" s="13" t="s">
        <x:v>406</x:v>
      </x:c>
      <x:c r="B44" s="34" t="s">
        <x:v>1265</x:v>
      </x:c>
      <x:c r="C44" s="17">
        <x:v>20</x:v>
      </x:c>
      <x:c r="D44" s="131">
        <x:v>60</x:v>
      </x:c>
      <x:c r="E44" s="119">
        <x:v>200</x:v>
      </x:c>
      <x:c r="F44" s="18" t="s">
        <x:v>915</x:v>
      </x:c>
      <x:c r="G44" s="34" t="s">
        <x:v>1239</x:v>
      </x:c>
      <x:c r="H44" s="129" t="s">
        <x:v>1271</x:v>
      </x:c>
      <x:c r="I44" s="32"/>
      <x:c r="J44" s="130" t="s">
        <x:v>1171</x:v>
      </x:c>
      <x:c r="K44" s="130"/>
    </x:row>
    <x:row r="45" ht="24" customHeight="1">
      <x:c r="A45" s="13" t="s">
        <x:v>1272</x:v>
      </x:c>
      <x:c r="B45" s="34" t="s">
        <x:v>1265</x:v>
      </x:c>
      <x:c r="C45" s="17">
        <x:v>30</x:v>
      </x:c>
      <x:c r="D45" s="131">
        <x:v>90</x:v>
      </x:c>
      <x:c r="E45" s="119">
        <x:v>250</x:v>
      </x:c>
      <x:c r="F45" s="18" t="s">
        <x:v>915</x:v>
      </x:c>
      <x:c r="G45" s="34" t="s">
        <x:v>1239</x:v>
      </x:c>
      <x:c r="H45" s="129" t="s">
        <x:v>1273</x:v>
      </x:c>
      <x:c r="I45" s="32"/>
      <x:c r="J45" s="130" t="s">
        <x:v>1171</x:v>
      </x:c>
      <x:c r="K45" s="130"/>
    </x:row>
    <x:row r="46" ht="24" customHeight="1">
      <x:c r="A46" s="13" t="s">
        <x:v>409</x:v>
      </x:c>
      <x:c r="B46" s="34" t="s">
        <x:v>1265</x:v>
      </x:c>
      <x:c r="C46" s="17">
        <x:v>0</x:v>
      </x:c>
      <x:c r="D46" s="131">
        <x:v>80</x:v>
      </x:c>
      <x:c r="E46" s="119">
        <x:v>300</x:v>
      </x:c>
      <x:c r="F46" s="18" t="s">
        <x:v>915</x:v>
      </x:c>
      <x:c r="G46" s="34" t="s">
        <x:v>1231</x:v>
      </x:c>
      <x:c r="H46" s="129" t="s">
        <x:v>1274</x:v>
      </x:c>
      <x:c r="I46" s="32"/>
      <x:c r="J46" s="130" t="s">
        <x:v>1171</x:v>
      </x:c>
      <x:c r="K46" s="130"/>
    </x:row>
    <x:row r="47" ht="24" customHeight="1">
      <x:c r="A47" s="13" t="s">
        <x:v>411</x:v>
      </x:c>
      <x:c r="B47" s="34" t="s">
        <x:v>1265</x:v>
      </x:c>
      <x:c r="C47" s="17">
        <x:v>150</x:v>
      </x:c>
      <x:c r="D47" s="131">
        <x:v>350</x:v>
      </x:c>
      <x:c r="E47" s="119">
        <x:v>800</x:v>
      </x:c>
      <x:c r="F47" s="18" t="s">
        <x:v>915</x:v>
      </x:c>
      <x:c r="G47" s="34" t="s">
        <x:v>575</x:v>
      </x:c>
      <x:c r="H47" s="129" t="s">
        <x:v>1275</x:v>
      </x:c>
      <x:c r="I47" s="32"/>
      <x:c r="J47" s="130" t="s">
        <x:v>1171</x:v>
      </x:c>
      <x:c r="K47" s="130"/>
    </x:row>
    <x:row r="48" ht="24" customHeight="1">
      <x:c r="A48" s="13" t="s">
        <x:v>1276</x:v>
      </x:c>
      <x:c r="B48" s="34" t="s">
        <x:v>1265</x:v>
      </x:c>
      <x:c r="C48" s="17">
        <x:v>0</x:v>
      </x:c>
      <x:c r="D48" s="131">
        <x:v>600</x:v>
      </x:c>
      <x:c r="E48" s="119">
        <x:v>2000</x:v>
      </x:c>
      <x:c r="F48" s="18" t="s">
        <x:v>915</x:v>
      </x:c>
      <x:c r="G48" s="34" t="s">
        <x:v>575</x:v>
      </x:c>
      <x:c r="H48" s="129" t="s">
        <x:v>1277</x:v>
      </x:c>
      <x:c r="I48" s="32"/>
      <x:c r="J48" s="130" t="s">
        <x:v>1171</x:v>
      </x:c>
      <x:c r="K48" s="130"/>
    </x:row>
    <x:row r="49" ht="24" customHeight="1">
      <x:c r="A49" s="13" t="s">
        <x:v>610</x:v>
      </x:c>
      <x:c r="B49" s="34" t="s">
        <x:v>1196</x:v>
      </x:c>
      <x:c r="C49" s="17">
        <x:v>0</x:v>
      </x:c>
      <x:c r="D49" s="131">
        <x:v>1200</x:v>
      </x:c>
      <x:c r="E49" s="119">
        <x:v>4000</x:v>
      </x:c>
      <x:c r="F49" s="18" t="s">
        <x:v>915</x:v>
      </x:c>
      <x:c r="G49" s="34" t="s">
        <x:v>1278</x:v>
      </x:c>
      <x:c r="H49" s="129" t="s">
        <x:v>1279</x:v>
      </x:c>
      <x:c r="I49" s="32"/>
      <x:c r="J49" s="130" t="s">
        <x:v>1171</x:v>
      </x:c>
      <x:c r="K49" s="130"/>
    </x:row>
    <x:row r="50" ht="24" customHeight="1">
      <x:c r="A50" s="13" t="s">
        <x:v>1280</x:v>
      </x:c>
      <x:c r="B50" s="34" t="s">
        <x:v>1234</x:v>
      </x:c>
      <x:c r="C50" s="17">
        <x:v>200</x:v>
      </x:c>
      <x:c r="D50" s="131">
        <x:v>1500</x:v>
      </x:c>
      <x:c r="E50" s="119">
        <x:v>6000</x:v>
      </x:c>
      <x:c r="F50" s="18" t="s">
        <x:v>915</x:v>
      </x:c>
      <x:c r="G50" s="34" t="s">
        <x:v>575</x:v>
      </x:c>
      <x:c r="H50" s="129"/>
      <x:c r="I50" s="32"/>
      <x:c r="J50" s="130" t="s">
        <x:v>1171</x:v>
      </x:c>
      <x:c r="K50" s="130"/>
    </x:row>
    <x:row r="51" ht="24" customHeight="1">
      <x:c r="A51" s="13" t="s">
        <x:v>415</x:v>
      </x:c>
      <x:c r="B51" s="34" t="s">
        <x:v>1265</x:v>
      </x:c>
      <x:c r="C51" s="17">
        <x:v>0</x:v>
      </x:c>
      <x:c r="D51" s="131">
        <x:v>400</x:v>
      </x:c>
      <x:c r="E51" s="119">
        <x:v>1500</x:v>
      </x:c>
      <x:c r="F51" s="18" t="s">
        <x:v>915</x:v>
      </x:c>
      <x:c r="G51" s="34" t="s">
        <x:v>575</x:v>
      </x:c>
      <x:c r="H51" s="129"/>
      <x:c r="I51" s="32"/>
      <x:c r="J51" s="130" t="s">
        <x:v>1171</x:v>
      </x:c>
      <x:c r="K51" s="130"/>
    </x:row>
    <x:row r="52" ht="24" customHeight="1">
      <x:c r="A52" s="13" t="s">
        <x:v>1281</x:v>
      </x:c>
      <x:c r="B52" s="34" t="s">
        <x:v>1265</x:v>
      </x:c>
      <x:c r="C52" s="17">
        <x:v>250</x:v>
      </x:c>
      <x:c r="D52" s="131">
        <x:v>700</x:v>
      </x:c>
      <x:c r="E52" s="119">
        <x:v>2000</x:v>
      </x:c>
      <x:c r="F52" s="18" t="s">
        <x:v>915</x:v>
      </x:c>
      <x:c r="G52" s="34" t="s">
        <x:v>1278</x:v>
      </x:c>
      <x:c r="H52" s="129" t="s">
        <x:v>1282</x:v>
      </x:c>
      <x:c r="I52" s="32" t="s">
        <x:v>1283</x:v>
      </x:c>
      <x:c r="J52" s="130" t="s">
        <x:v>1171</x:v>
      </x:c>
      <x:c r="K52" s="130"/>
    </x:row>
    <x:row r="53" ht="24" customHeight="1">
      <x:c r="A53" s="13" t="s">
        <x:v>625</x:v>
      </x:c>
      <x:c r="B53" s="34" t="s">
        <x:v>1284</x:v>
      </x:c>
      <x:c r="C53" s="17">
        <x:v>30000</x:v>
      </x:c>
      <x:c r="D53" s="131">
        <x:v>45000</x:v>
      </x:c>
      <x:c r="E53" s="119">
        <x:v>65000</x:v>
      </x:c>
      <x:c r="F53" s="18" t="s">
        <x:v>915</x:v>
      </x:c>
      <x:c r="G53" s="34" t="s">
        <x:v>1188</x:v>
      </x:c>
      <x:c r="H53" s="129" t="s">
        <x:v>1285</x:v>
      </x:c>
      <x:c r="I53" s="32"/>
      <x:c r="J53" s="130" t="s">
        <x:v>1171</x:v>
      </x:c>
      <x:c r="K53" s="130"/>
    </x:row>
    <x:row r="54" ht="24" customHeight="1">
      <x:c r="A54" s="13" t="s">
        <x:v>1286</x:v>
      </x:c>
      <x:c r="B54" s="34" t="s">
        <x:v>1284</x:v>
      </x:c>
      <x:c r="C54" s="17">
        <x:v>50000</x:v>
      </x:c>
      <x:c r="D54" s="131">
        <x:v>70000</x:v>
      </x:c>
      <x:c r="E54" s="119">
        <x:v>95000</x:v>
      </x:c>
      <x:c r="F54" s="18" t="s">
        <x:v>915</x:v>
      </x:c>
      <x:c r="G54" s="34" t="s">
        <x:v>1188</x:v>
      </x:c>
      <x:c r="H54" s="129" t="s">
        <x:v>1287</x:v>
      </x:c>
      <x:c r="I54" s="32"/>
      <x:c r="J54" s="130" t="s">
        <x:v>1171</x:v>
      </x:c>
      <x:c r="K54" s="130"/>
    </x:row>
    <x:row r="55" ht="24" customHeight="1">
      <x:c r="A55" s="13" t="s">
        <x:v>630</x:v>
      </x:c>
      <x:c r="B55" s="34" t="s">
        <x:v>1284</x:v>
      </x:c>
      <x:c r="C55" s="17">
        <x:v>45000</x:v>
      </x:c>
      <x:c r="D55" s="131">
        <x:v>60000</x:v>
      </x:c>
      <x:c r="E55" s="119">
        <x:v>85000</x:v>
      </x:c>
      <x:c r="F55" s="18" t="s">
        <x:v>915</x:v>
      </x:c>
      <x:c r="G55" s="34" t="s">
        <x:v>1188</x:v>
      </x:c>
      <x:c r="H55" s="129" t="s">
        <x:v>1288</x:v>
      </x:c>
      <x:c r="I55" s="32" t="s">
        <x:v>1289</x:v>
      </x:c>
      <x:c r="J55" s="130" t="s">
        <x:v>1171</x:v>
      </x:c>
      <x:c r="K55" s="130"/>
    </x:row>
    <x:row r="56" ht="24" customHeight="1">
      <x:c r="A56" s="13" t="s">
        <x:v>632</x:v>
      </x:c>
      <x:c r="B56" s="34" t="s">
        <x:v>1284</x:v>
      </x:c>
      <x:c r="C56" s="17">
        <x:v>35000</x:v>
      </x:c>
      <x:c r="D56" s="131">
        <x:v>50000</x:v>
      </x:c>
      <x:c r="E56" s="119">
        <x:v>70000</x:v>
      </x:c>
      <x:c r="F56" s="18" t="s">
        <x:v>915</x:v>
      </x:c>
      <x:c r="G56" s="34" t="s">
        <x:v>1188</x:v>
      </x:c>
      <x:c r="H56" s="129" t="s">
        <x:v>907</x:v>
      </x:c>
      <x:c r="I56" s="32"/>
      <x:c r="J56" s="130" t="s">
        <x:v>1171</x:v>
      </x:c>
      <x:c r="K56" s="130"/>
    </x:row>
    <x:row r="57" ht="24" customHeight="1">
      <x:c r="A57" s="13" t="s">
        <x:v>393</x:v>
      </x:c>
      <x:c r="B57" s="34" t="s">
        <x:v>1284</x:v>
      </x:c>
      <x:c r="C57" s="17">
        <x:v>0.15</x:v>
      </x:c>
      <x:c r="D57" s="127">
        <x:v>0.15</x:v>
      </x:c>
      <x:c r="E57" s="128">
        <x:v>0.15</x:v>
      </x:c>
      <x:c r="F57" s="18" t="s">
        <x:v>863</x:v>
      </x:c>
      <x:c r="G57" s="34" t="s">
        <x:v>1255</x:v>
      </x:c>
      <x:c r="H57" s="129" t="s">
        <x:v>903</x:v>
      </x:c>
      <x:c r="I57" s="32" t="s">
        <x:v>1290</x:v>
      </x:c>
      <x:c r="J57" s="130" t="s">
        <x:v>1171</x:v>
      </x:c>
      <x:c r="K57" s="130"/>
    </x:row>
    <x:row r="58" ht="24" customHeight="1">
      <x:c r="A58" s="13" t="s">
        <x:v>395</x:v>
      </x:c>
      <x:c r="B58" s="34" t="s">
        <x:v>1284</x:v>
      </x:c>
      <x:c r="C58" s="17">
        <x:v>0.03</x:v>
      </x:c>
      <x:c r="D58" s="127">
        <x:v>0.04</x:v>
      </x:c>
      <x:c r="E58" s="128">
        <x:v>0.05</x:v>
      </x:c>
      <x:c r="F58" s="18" t="s">
        <x:v>863</x:v>
      </x:c>
      <x:c r="G58" s="34" t="s">
        <x:v>1255</x:v>
      </x:c>
      <x:c r="H58" s="129" t="s">
        <x:v>905</x:v>
      </x:c>
      <x:c r="I58" s="32" t="s">
        <x:v>1291</x:v>
      </x:c>
      <x:c r="J58" s="130" t="s">
        <x:v>1171</x:v>
      </x:c>
      <x:c r="K58" s="130"/>
    </x:row>
    <x:row r="59" ht="24" customHeight="1">
      <x:c r="A59" s="13" t="s">
        <x:v>1292</x:v>
      </x:c>
      <x:c r="B59" s="34" t="s">
        <x:v>1284</x:v>
      </x:c>
      <x:c r="C59" s="17">
        <x:v>600</x:v>
      </x:c>
      <x:c r="D59" s="131">
        <x:v>900</x:v>
      </x:c>
      <x:c r="E59" s="119">
        <x:v>1400</x:v>
      </x:c>
      <x:c r="F59" s="18" t="s">
        <x:v>915</x:v>
      </x:c>
      <x:c r="G59" s="34" t="s">
        <x:v>1278</x:v>
      </x:c>
      <x:c r="H59" s="129" t="s">
        <x:v>1293</x:v>
      </x:c>
      <x:c r="I59" s="32"/>
      <x:c r="J59" s="130" t="s">
        <x:v>1294</x:v>
      </x:c>
      <x:c r="K59" s="130"/>
    </x:row>
    <x:row r="60" ht="24" customHeight="1">
      <x:c r="A60" s="13" t="s">
        <x:v>1295</x:v>
      </x:c>
      <x:c r="B60" s="34" t="s">
        <x:v>1284</x:v>
      </x:c>
      <x:c r="C60" s="17">
        <x:v>400</x:v>
      </x:c>
      <x:c r="D60" s="131">
        <x:v>600</x:v>
      </x:c>
      <x:c r="E60" s="119">
        <x:v>850</x:v>
      </x:c>
      <x:c r="F60" s="18" t="s">
        <x:v>915</x:v>
      </x:c>
      <x:c r="G60" s="34" t="s">
        <x:v>1188</x:v>
      </x:c>
      <x:c r="H60" s="129" t="s">
        <x:v>1296</x:v>
      </x:c>
      <x:c r="I60" s="32"/>
      <x:c r="J60" s="130" t="s">
        <x:v>1294</x:v>
      </x:c>
      <x:c r="K60" s="130"/>
    </x:row>
    <x:row r="61" ht="24" customHeight="1">
      <x:c r="A61" s="13" t="s">
        <x:v>1297</x:v>
      </x:c>
      <x:c r="B61" s="34" t="s">
        <x:v>1284</x:v>
      </x:c>
      <x:c r="C61" s="17">
        <x:v>600</x:v>
      </x:c>
      <x:c r="D61" s="131">
        <x:v>900</x:v>
      </x:c>
      <x:c r="E61" s="119">
        <x:v>1500</x:v>
      </x:c>
      <x:c r="F61" s="18" t="s">
        <x:v>915</x:v>
      </x:c>
      <x:c r="G61" s="34" t="s">
        <x:v>1278</x:v>
      </x:c>
      <x:c r="H61" s="129" t="s">
        <x:v>1298</x:v>
      </x:c>
      <x:c r="I61" s="32"/>
      <x:c r="J61" s="130" t="s">
        <x:v>1294</x:v>
      </x:c>
      <x:c r="K61" s="130"/>
    </x:row>
    <x:row r="62" ht="24" customHeight="1">
      <x:c r="A62" s="13" t="s">
        <x:v>1299</x:v>
      </x:c>
      <x:c r="B62" s="34" t="s">
        <x:v>1284</x:v>
      </x:c>
      <x:c r="C62" s="17">
        <x:v>350</x:v>
      </x:c>
      <x:c r="D62" s="131">
        <x:v>500</x:v>
      </x:c>
      <x:c r="E62" s="119">
        <x:v>750</x:v>
      </x:c>
      <x:c r="F62" s="18" t="s">
        <x:v>915</x:v>
      </x:c>
      <x:c r="G62" s="34" t="s">
        <x:v>1188</x:v>
      </x:c>
      <x:c r="H62" s="129"/>
      <x:c r="I62" s="32"/>
      <x:c r="J62" s="130" t="s">
        <x:v>1294</x:v>
      </x:c>
      <x:c r="K62" s="130"/>
    </x:row>
    <x:row r="63" ht="24" customHeight="1">
      <x:c r="A63" s="13" t="s">
        <x:v>1300</x:v>
      </x:c>
      <x:c r="B63" s="34" t="s">
        <x:v>1301</x:v>
      </x:c>
      <x:c r="C63" s="17">
        <x:v>400000</x:v>
      </x:c>
      <x:c r="D63" s="131">
        <x:v>1000000</x:v>
      </x:c>
      <x:c r="E63" s="119">
        <x:v>2000000</x:v>
      </x:c>
      <x:c r="F63" s="18" t="s">
        <x:v>915</x:v>
      </x:c>
      <x:c r="G63" s="34" t="s">
        <x:v>1188</x:v>
      </x:c>
      <x:c r="H63" s="129" t="s">
        <x:v>1302</x:v>
      </x:c>
      <x:c r="I63" s="32" t="s">
        <x:v>1303</x:v>
      </x:c>
      <x:c r="J63" s="130" t="s">
        <x:v>1171</x:v>
      </x:c>
      <x:c r="K63" s="130"/>
    </x:row>
    <x:row r="64" ht="24" customHeight="1">
      <x:c r="A64" s="13" t="s">
        <x:v>1304</x:v>
      </x:c>
      <x:c r="B64" s="34" t="s">
        <x:v>1301</x:v>
      </x:c>
      <x:c r="C64" s="17">
        <x:v>2000000</x:v>
      </x:c>
      <x:c r="D64" s="131">
        <x:v>2800000</x:v>
      </x:c>
      <x:c r="E64" s="119">
        <x:v>4000000</x:v>
      </x:c>
      <x:c r="F64" s="18" t="s">
        <x:v>915</x:v>
      </x:c>
      <x:c r="G64" s="34" t="s">
        <x:v>1188</x:v>
      </x:c>
      <x:c r="H64" s="129" t="s">
        <x:v>1305</x:v>
      </x:c>
      <x:c r="I64" s="32" t="s">
        <x:v>1306</x:v>
      </x:c>
      <x:c r="J64" s="130" t="s">
        <x:v>1171</x:v>
      </x:c>
      <x:c r="K64" s="130"/>
    </x:row>
    <x:row r="65" ht="24" customHeight="1">
      <x:c r="A65" s="13" t="s">
        <x:v>1307</x:v>
      </x:c>
      <x:c r="B65" s="34" t="s">
        <x:v>1301</x:v>
      </x:c>
      <x:c r="C65" s="17">
        <x:v>2000000</x:v>
      </x:c>
      <x:c r="D65" s="131">
        <x:v>3700000</x:v>
      </x:c>
      <x:c r="E65" s="119">
        <x:v>6000000</x:v>
      </x:c>
      <x:c r="F65" s="18" t="s">
        <x:v>1238</x:v>
      </x:c>
      <x:c r="G65" s="34" t="s">
        <x:v>1188</x:v>
      </x:c>
      <x:c r="H65" s="129" t="s">
        <x:v>1308</x:v>
      </x:c>
      <x:c r="I65" s="32" t="s">
        <x:v>1309</x:v>
      </x:c>
      <x:c r="J65" s="130" t="s">
        <x:v>1171</x:v>
      </x:c>
      <x:c r="K65" s="130"/>
    </x:row>
    <x:row r="66" ht="24" customHeight="1">
      <x:c r="A66" s="13" t="s">
        <x:v>1310</x:v>
      </x:c>
      <x:c r="B66" s="34" t="s">
        <x:v>1301</x:v>
      </x:c>
      <x:c r="C66" s="17">
        <x:v>0.1</x:v>
      </x:c>
      <x:c r="D66" s="127">
        <x:v>0.15</x:v>
      </x:c>
      <x:c r="E66" s="128">
        <x:v>0.2</x:v>
      </x:c>
      <x:c r="F66" s="18" t="s">
        <x:v>863</x:v>
      </x:c>
      <x:c r="G66" s="34" t="s">
        <x:v>1188</x:v>
      </x:c>
      <x:c r="H66" s="129" t="s">
        <x:v>1311</x:v>
      </x:c>
      <x:c r="I66" s="32"/>
      <x:c r="J66" s="130" t="s">
        <x:v>1171</x:v>
      </x:c>
      <x:c r="K66" s="130"/>
    </x:row>
    <x:row r="67" ht="9.949999809265137" customHeight="1">
      <x:c r="A67" s="13" t="s">
        <x:v>1312</x:v>
      </x:c>
      <x:c r="B67" s="34" t="s">
        <x:v>1301</x:v>
      </x:c>
      <x:c r="C67" s="17">
        <x:v>12</x:v>
      </x:c>
      <x:c r="D67" s="131">
        <x:v>18</x:v>
      </x:c>
      <x:c r="E67" s="119">
        <x:v>24</x:v>
      </x:c>
      <x:c r="F67" s="18" t="s">
        <x:v>1313</x:v>
      </x:c>
      <x:c r="G67" s="34" t="s">
        <x:v>1278</x:v>
      </x:c>
      <x:c r="H67" s="129" t="s">
        <x:v>1314</x:v>
      </x:c>
      <x:c r="I67" s="32" t="s">
        <x:v>1315</x:v>
      </x:c>
      <x:c r="J67" s="130" t="s">
        <x:v>1171</x:v>
      </x:c>
      <x:c r="K67" s="130"/>
    </x:row>
    <x:row r="68" ht="26.100000381469727" customHeight="1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</x:row>
    <x:row r="69" ht="24" customHeight="1">
      <x:c r="A69" s="13" t="s">
        <x:v>1316</x:v>
      </x:c>
      <x:c r="B69" s="34" t="s">
        <x:v>1317</x:v>
      </x:c>
      <x:c r="C69" s="13" t="s">
        <x:v>1318</x:v>
      </x:c>
      <x:c r="D69" s="28" t="s">
        <x:v>1319</x:v>
      </x:c>
      <x:c r="E69" s="13" t="s">
        <x:v>1320</x:v>
      </x:c>
      <x:c r="F69" s="18" t="s">
        <x:v>1321</x:v>
      </x:c>
      <x:c r="G69" s="34" t="s">
        <x:v>575</x:v>
      </x:c>
      <x:c r="H69" s="129" t="s">
        <x:v>1322</x:v>
      </x:c>
      <x:c r="I69" s="32" t="s">
        <x:v>1323</x:v>
      </x:c>
      <x:c r="J69" s="130" t="s">
        <x:v>1191</x:v>
      </x:c>
    </x:row>
    <x:row r="70" ht="24" customHeight="1">
      <x:c r="A70" s="13" t="s">
        <x:v>1324</x:v>
      </x:c>
      <x:c r="B70" s="34" t="s">
        <x:v>163</x:v>
      </x:c>
      <x:c r="C70" s="20" t="str">
        <x:f>TEXT(Assumptions!$F$70,"0.00%")&amp;" / GBP"&amp;TEXT(Assumptions!$F$73,"0")</x:f>
        <x:v>0.80% / GBP150</x:v>
      </x:c>
      <x:c r="D70" s="28" t="str">
        <x:f>TEXT(Assumptions!$F$70,"0.00%")&amp;" / GBP"&amp;TEXT(Assumptions!$F$73,"0")</x:f>
        <x:v>0.80% / GBP150</x:v>
      </x:c>
      <x:c r="E70" s="20" t="str">
        <x:f>TEXT(Assumptions!$F$70,"0.00%")&amp;" / GBP"&amp;TEXT(Assumptions!$F$73,"0")</x:f>
        <x:v>0.80% / GBP150</x:v>
      </x:c>
      <x:c r="F70" s="18" t="s">
        <x:v>1325</x:v>
      </x:c>
      <x:c r="G70" s="34" t="s">
        <x:v>575</x:v>
      </x:c>
      <x:c r="H70" s="129" t="s">
        <x:v>1326</x:v>
      </x:c>
      <x:c r="I70" s="32" t="s">
        <x:v>1327</x:v>
      </x:c>
      <x:c r="J70" s="130" t="s">
        <x:v>1171</x:v>
      </x:c>
    </x:row>
    <x:row r="71" ht="24" customHeight="1">
      <x:c r="A71" s="13" t="s">
        <x:v>1328</x:v>
      </x:c>
      <x:c r="B71" s="34" t="s">
        <x:v>163</x:v>
      </x:c>
      <x:c r="C71" s="20" t="str">
        <x:f>TEXT(Assumptions!$F$71,"0.00%")&amp;" / GBP"&amp;TEXT(Assumptions!$F$74,"0")</x:f>
        <x:v>1.50% / GBP250</x:v>
      </x:c>
      <x:c r="D71" s="28" t="str">
        <x:f>TEXT(Assumptions!$F$71,"0.00%")&amp;" / GBP"&amp;TEXT(Assumptions!$F$74,"0")</x:f>
        <x:v>1.50% / GBP250</x:v>
      </x:c>
      <x:c r="E71" s="20" t="str">
        <x:f>TEXT(Assumptions!$F$71,"0.00%")&amp;" / GBP"&amp;TEXT(Assumptions!$F$74,"0")</x:f>
        <x:v>1.50% / GBP250</x:v>
      </x:c>
      <x:c r="F71" s="18" t="s">
        <x:v>1325</x:v>
      </x:c>
      <x:c r="G71" s="34" t="s">
        <x:v>575</x:v>
      </x:c>
      <x:c r="H71" s="129" t="s">
        <x:v>1329</x:v>
      </x:c>
      <x:c r="I71" s="32" t="s">
        <x:v>1327</x:v>
      </x:c>
      <x:c r="J71" s="130" t="s">
        <x:v>1171</x:v>
      </x:c>
    </x:row>
    <x:row r="72" ht="24" customHeight="1">
      <x:c r="A72" s="13" t="s">
        <x:v>1330</x:v>
      </x:c>
      <x:c r="B72" s="34" t="s">
        <x:v>163</x:v>
      </x:c>
      <x:c r="C72" s="20" t="str">
        <x:f>TEXT(Assumptions!$F$72,"0.00%")&amp;" / GBP"&amp;TEXT(Assumptions!$F$75,"0")</x:f>
        <x:v>3.00% / GBP500</x:v>
      </x:c>
      <x:c r="D72" s="28" t="str">
        <x:f>TEXT(Assumptions!$F$72,"0.00%")&amp;" / GBP"&amp;TEXT(Assumptions!$F$75,"0")</x:f>
        <x:v>3.00% / GBP500</x:v>
      </x:c>
      <x:c r="E72" s="20" t="str">
        <x:f>TEXT(Assumptions!$F$72,"0.00%")&amp;" / GBP"&amp;TEXT(Assumptions!$F$75,"0")</x:f>
        <x:v>3.00% / GBP500</x:v>
      </x:c>
      <x:c r="F72" s="18" t="s">
        <x:v>1325</x:v>
      </x:c>
      <x:c r="G72" s="34" t="s">
        <x:v>575</x:v>
      </x:c>
      <x:c r="H72" s="129" t="s">
        <x:v>1331</x:v>
      </x:c>
      <x:c r="I72" s="32" t="s">
        <x:v>1327</x:v>
      </x:c>
      <x:c r="J72" s="130" t="s">
        <x:v>1171</x:v>
      </x:c>
    </x:row>
    <x:row r="73" ht="24" customHeight="1">
      <x:c r="A73" s="13" t="s">
        <x:v>696</x:v>
      </x:c>
      <x:c r="B73" s="34" t="s">
        <x:v>1237</x:v>
      </x:c>
      <x:c r="C73" s="17">
        <x:v>1</x:v>
      </x:c>
      <x:c r="D73" s="27">
        <x:v>3</x:v>
      </x:c>
      <x:c r="E73" s="17">
        <x:v>8</x:v>
      </x:c>
      <x:c r="F73" s="18" t="s">
        <x:v>680</x:v>
      </x:c>
      <x:c r="G73" s="34" t="s">
        <x:v>1332</x:v>
      </x:c>
      <x:c r="H73" s="129" t="s">
        <x:v>1333</x:v>
      </x:c>
      <x:c r="I73" s="32" t="s">
        <x:v>1334</x:v>
      </x:c>
      <x:c r="J73" s="130" t="s">
        <x:v>1171</x:v>
      </x:c>
    </x:row>
    <x:row r="74" ht="24" customHeight="1">
      <x:c r="A74" s="13" t="s">
        <x:v>698</x:v>
      </x:c>
      <x:c r="B74" s="34" t="s">
        <x:v>1237</x:v>
      </x:c>
      <x:c r="C74" s="17">
        <x:v>3</x:v>
      </x:c>
      <x:c r="D74" s="27">
        <x:v>10</x:v>
      </x:c>
      <x:c r="E74" s="17">
        <x:v>25</x:v>
      </x:c>
      <x:c r="F74" s="18" t="s">
        <x:v>680</x:v>
      </x:c>
      <x:c r="G74" s="34" t="s">
        <x:v>1332</x:v>
      </x:c>
      <x:c r="H74" s="129" t="s">
        <x:v>1335</x:v>
      </x:c>
      <x:c r="I74" s="32" t="s">
        <x:v>1334</x:v>
      </x:c>
      <x:c r="J74" s="130" t="s">
        <x:v>1171</x:v>
      </x:c>
    </x:row>
    <x:row r="75" ht="24" customHeight="1">
      <x:c r="A75" s="13" t="s">
        <x:v>700</x:v>
      </x:c>
      <x:c r="B75" s="34" t="s">
        <x:v>1237</x:v>
      </x:c>
      <x:c r="C75" s="17">
        <x:v>50</x:v>
      </x:c>
      <x:c r="D75" s="27">
        <x:v>150</x:v>
      </x:c>
      <x:c r="E75" s="17">
        <x:v>400</x:v>
      </x:c>
      <x:c r="F75" s="18" t="s">
        <x:v>680</x:v>
      </x:c>
      <x:c r="G75" s="34" t="s">
        <x:v>1332</x:v>
      </x:c>
      <x:c r="H75" s="129" t="s">
        <x:v>1336</x:v>
      </x:c>
      <x:c r="I75" s="32" t="s">
        <x:v>1334</x:v>
      </x:c>
      <x:c r="J75" s="130" t="s">
        <x:v>1171</x:v>
      </x:c>
    </x:row>
    <x:row r="76" ht="24" customHeight="1">
      <x:c r="A76" s="13" t="s">
        <x:v>702</x:v>
      </x:c>
      <x:c r="B76" s="34" t="s">
        <x:v>1237</x:v>
      </x:c>
      <x:c r="C76" s="17">
        <x:v>1</x:v>
      </x:c>
      <x:c r="D76" s="27">
        <x:v>3</x:v>
      </x:c>
      <x:c r="E76" s="17">
        <x:v>8</x:v>
      </x:c>
      <x:c r="F76" s="18" t="s">
        <x:v>680</x:v>
      </x:c>
      <x:c r="G76" s="34" t="s">
        <x:v>575</x:v>
      </x:c>
      <x:c r="H76" s="129" t="s">
        <x:v>1337</x:v>
      </x:c>
      <x:c r="I76" s="32" t="s">
        <x:v>1334</x:v>
      </x:c>
      <x:c r="J76" s="130" t="s">
        <x:v>1171</x:v>
      </x:c>
    </x:row>
    <x:row r="77" ht="24" customHeight="1">
      <x:c r="A77" s="13" t="s">
        <x:v>704</x:v>
      </x:c>
      <x:c r="B77" s="34" t="s">
        <x:v>1237</x:v>
      </x:c>
      <x:c r="C77" s="17">
        <x:v>8</x:v>
      </x:c>
      <x:c r="D77" s="27">
        <x:v>20</x:v>
      </x:c>
      <x:c r="E77" s="17">
        <x:v>50</x:v>
      </x:c>
      <x:c r="F77" s="18" t="s">
        <x:v>680</x:v>
      </x:c>
      <x:c r="G77" s="34" t="s">
        <x:v>575</x:v>
      </x:c>
      <x:c r="H77" s="129" t="s">
        <x:v>1338</x:v>
      </x:c>
      <x:c r="I77" s="32" t="s">
        <x:v>1334</x:v>
      </x:c>
      <x:c r="J77" s="130" t="s">
        <x:v>1171</x:v>
      </x:c>
    </x:row>
    <x:row r="78" ht="24" customHeight="1">
      <x:c r="A78" s="13" t="s">
        <x:v>706</x:v>
      </x:c>
      <x:c r="B78" s="34" t="s">
        <x:v>1237</x:v>
      </x:c>
      <x:c r="C78" s="17">
        <x:v>40</x:v>
      </x:c>
      <x:c r="D78" s="27">
        <x:v>120</x:v>
      </x:c>
      <x:c r="E78" s="17">
        <x:v>250</x:v>
      </x:c>
      <x:c r="F78" s="18" t="s">
        <x:v>680</x:v>
      </x:c>
      <x:c r="G78" s="34" t="s">
        <x:v>575</x:v>
      </x:c>
      <x:c r="H78" s="129" t="s">
        <x:v>1339</x:v>
      </x:c>
      <x:c r="I78" s="32" t="s">
        <x:v>1334</x:v>
      </x:c>
      <x:c r="J78" s="130" t="s">
        <x:v>1171</x:v>
      </x:c>
    </x:row>
    <x:row r="79" ht="24" customHeight="1">
      <x:c r="A79" s="13" t="s">
        <x:v>714</x:v>
      </x:c>
      <x:c r="B79" s="34" t="s">
        <x:v>1340</x:v>
      </x:c>
      <x:c r="C79" s="13" t="s">
        <x:v>1341</x:v>
      </x:c>
      <x:c r="D79" s="28" t="s">
        <x:v>1342</x:v>
      </x:c>
      <x:c r="E79" s="13" t="s">
        <x:v>1343</x:v>
      </x:c>
      <x:c r="F79" s="18" t="s">
        <x:v>654</x:v>
      </x:c>
      <x:c r="G79" s="34" t="s">
        <x:v>575</x:v>
      </x:c>
      <x:c r="H79" s="129" t="s">
        <x:v>1344</x:v>
      </x:c>
      <x:c r="I79" s="32" t="s">
        <x:v>1334</x:v>
      </x:c>
      <x:c r="J79" s="130" t="s">
        <x:v>1171</x:v>
      </x:c>
    </x:row>
    <x:row r="80" ht="24" customHeight="1">
      <x:c r="A80" s="13" t="s">
        <x:v>716</x:v>
      </x:c>
      <x:c r="B80" s="34" t="s">
        <x:v>1340</x:v>
      </x:c>
      <x:c r="C80" s="13" t="s">
        <x:v>1345</x:v>
      </x:c>
      <x:c r="D80" s="28" t="s">
        <x:v>1346</x:v>
      </x:c>
      <x:c r="E80" s="13" t="s">
        <x:v>1347</x:v>
      </x:c>
      <x:c r="F80" s="18" t="s">
        <x:v>654</x:v>
      </x:c>
      <x:c r="G80" s="34" t="s">
        <x:v>575</x:v>
      </x:c>
      <x:c r="H80" s="129" t="s">
        <x:v>717</x:v>
      </x:c>
      <x:c r="I80" s="32" t="s">
        <x:v>1334</x:v>
      </x:c>
      <x:c r="J80" s="130" t="s">
        <x:v>1171</x:v>
      </x:c>
    </x:row>
    <x:row r="81" ht="24" customHeight="1">
      <x:c r="A81" s="13" t="s">
        <x:v>718</x:v>
      </x:c>
      <x:c r="B81" s="34" t="s">
        <x:v>1340</x:v>
      </x:c>
      <x:c r="C81" s="13" t="s">
        <x:v>1348</x:v>
      </x:c>
      <x:c r="D81" s="28" t="s">
        <x:v>1349</x:v>
      </x:c>
      <x:c r="E81" s="13" t="s">
        <x:v>1350</x:v>
      </x:c>
      <x:c r="F81" s="18" t="s">
        <x:v>654</x:v>
      </x:c>
      <x:c r="G81" s="34" t="s">
        <x:v>575</x:v>
      </x:c>
      <x:c r="H81" s="129" t="s">
        <x:v>719</x:v>
      </x:c>
      <x:c r="I81" s="32" t="s">
        <x:v>1334</x:v>
      </x:c>
      <x:c r="J81" s="130" t="s">
        <x:v>1171</x:v>
      </x:c>
    </x:row>
    <x:row r="82" ht="3" customHeight="1">
      <x:c r="A82"/>
      <x:c r="B82"/>
      <x:c r="C82"/>
      <x:c r="D82"/>
      <x:c r="E82"/>
      <x:c r="F82"/>
      <x:c r="G82"/>
      <x:c r="H82"/>
      <x:c r="I82"/>
      <x:c r="J82"/>
    </x:row>
    <x:row r="83" ht="3" customHeight="1">
      <x:c r="A83"/>
      <x:c r="B83"/>
      <x:c r="C83"/>
      <x:c r="D83"/>
      <x:c r="E83"/>
      <x:c r="F83"/>
      <x:c r="G83"/>
      <x:c r="H83"/>
      <x:c r="I83"/>
      <x:c r="J83"/>
    </x:row>
    <x:row r="84" ht="3" customHeight="1">
      <x:c r="A84"/>
      <x:c r="B84"/>
      <x:c r="C84"/>
      <x:c r="D84"/>
      <x:c r="E84"/>
      <x:c r="F84"/>
      <x:c r="G84"/>
      <x:c r="H84"/>
      <x:c r="I84"/>
      <x:c r="J84"/>
    </x:row>
    <x:row r="85" ht="24" customHeight="1">
      <x:c r="A85" s="13" t="s">
        <x:v>1351</x:v>
      </x:c>
      <x:c r="B85" s="34" t="s">
        <x:v>1237</x:v>
      </x:c>
      <x:c r="C85" s="13" t="s">
        <x:v>1352</x:v>
      </x:c>
      <x:c r="D85" s="28" t="s">
        <x:v>1353</x:v>
      </x:c>
      <x:c r="E85" s="13" t="s">
        <x:v>1354</x:v>
      </x:c>
      <x:c r="F85" s="18" t="s">
        <x:v>725</x:v>
      </x:c>
      <x:c r="G85" s="34" t="s">
        <x:v>575</x:v>
      </x:c>
      <x:c r="H85" s="129" t="s">
        <x:v>1355</x:v>
      </x:c>
      <x:c r="I85" s="32" t="s">
        <x:v>1334</x:v>
      </x:c>
      <x:c r="J85" s="130" t="s">
        <x:v>1171</x:v>
      </x:c>
    </x:row>
    <x:row r="86" ht="3" customHeight="1">
      <x:c r="A86"/>
      <x:c r="B86"/>
      <x:c r="C86"/>
      <x:c r="D86"/>
      <x:c r="E86"/>
      <x:c r="F86"/>
      <x:c r="G86"/>
      <x:c r="H86"/>
      <x:c r="I86"/>
      <x:c r="J8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A33A3A"/>
  </x:sheetPr>
  <x:sheetViews>
    <x:sheetView showGridLines="0" workbookViewId="0"/>
  </x:sheetViews>
  <x:sheetFormatPr defaultColWidth="8.5703125" defaultRowHeight="12.75"/>
  <x:cols>
    <x:col min="1" max="1" width="42" customWidth="1"/>
    <x:col min="2" max="3" width="18" customWidth="1"/>
    <x:col min="4" max="5" width="14" customWidth="1"/>
    <x:col min="6" max="6" width="11" customWidth="1"/>
    <x:col min="7" max="7" width="74" customWidth="1"/>
  </x:cols>
  <x:sheetData>
    <x:row r="1" ht="27.950000762939453" customHeight="1">
      <x:c r="A1" s="197" t="s">
        <x:v>1356</x:v>
      </x:c>
      <x:c r="B1" s="199"/>
      <x:c r="C1" s="199"/>
      <x:c r="D1" s="199"/>
      <x:c r="E1" s="199"/>
      <x:c r="F1" s="199"/>
      <x:c r="G1" s="199"/>
    </x:row>
    <x:row r="2" ht="20.100000381469727" customHeight="1">
      <x:c r="A2" s="180" t="s">
        <x:v>1357</x:v>
      </x:c>
      <x:c r="B2" s="180"/>
      <x:c r="C2" s="180"/>
      <x:c r="D2" s="180"/>
      <x:c r="E2" s="180"/>
      <x:c r="F2" s="180"/>
      <x:c r="G2" s="180"/>
    </x:row>
    <x:row r="3" ht="9.949999809265137" customHeight="1">
      <x:c r="A3" s="42"/>
      <x:c r="B3" s="42"/>
      <x:c r="C3" s="42"/>
      <x:c r="D3" s="42"/>
      <x:c r="E3" s="42"/>
      <x:c r="F3" s="42"/>
      <x:c r="G3" s="42"/>
    </x:row>
    <x:row r="4" ht="30" customHeight="1">
      <x:c r="A4" s="14" t="s">
        <x:v>1358</x:v>
      </x:c>
      <x:c r="B4" s="36" t="str">
        <x:f>IF(COUNTIF(F7:F43,"FAIL")&gt;0,"FAIL","PASS")</x:f>
        <x:v>FAIL</x:v>
      </x:c>
      <x:c r="C4" s="42"/>
      <x:c r="D4" s="42"/>
      <x:c r="E4" s="42"/>
      <x:c r="F4" s="42"/>
      <x:c r="G4" s="42"/>
    </x:row>
    <x:row r="5" ht="12" customHeight="1">
      <x:c r="A5" s="42"/>
      <x:c r="B5" s="42"/>
      <x:c r="C5" s="42"/>
      <x:c r="D5" s="42"/>
      <x:c r="E5" s="42"/>
      <x:c r="F5" s="42"/>
      <x:c r="G5" s="42"/>
    </x:row>
    <x:row r="6" ht="21.950000762939453" customHeight="1">
      <x:c r="A6" s="10" t="s">
        <x:v>1359</x:v>
      </x:c>
      <x:c r="B6" s="11" t="s">
        <x:v>1360</x:v>
      </x:c>
      <x:c r="C6" s="11" t="s">
        <x:v>1361</x:v>
      </x:c>
      <x:c r="D6" s="11" t="s">
        <x:v>1362</x:v>
      </x:c>
      <x:c r="E6" s="11" t="s">
        <x:v>1363</x:v>
      </x:c>
      <x:c r="F6" s="9" t="s">
        <x:v>1364</x:v>
      </x:c>
      <x:c r="G6" s="10" t="s">
        <x:v>1365</x:v>
      </x:c>
    </x:row>
    <x:row r="7" ht="21.950000762939453" customHeight="1">
      <x:c r="A7" s="13" t="s">
        <x:v>1366</x:v>
      </x:c>
      <x:c r="B7" s="143" t="n">
        <x:f>Assumptions!$C$4</x:f>
        <x:v>2</x:v>
      </x:c>
      <x:c r="C7" s="141" t="n">
        <x:f>2</x:f>
        <x:v>2</x:v>
      </x:c>
      <x:c r="D7" s="141" t="n">
        <x:f t="shared" ref="D7:D14" si="0">B7-C7</x:f>
        <x:v>0</x:v>
      </x:c>
      <x:c r="E7" s="141" t="n">
        <x:f>0</x:f>
        <x:v>0</x:v>
      </x:c>
      <x:c r="F7" s="35" t="str">
        <x:f t="shared" ref="F7:F20" si="1">IF(ABS(D7)&lt;=E7,"PASS","FAIL")</x:f>
        <x:v>PASS</x:v>
      </x:c>
      <x:c r="G7" s="32" t="s">
        <x:v>1367</x:v>
      </x:c>
    </x:row>
    <x:row r="8" ht="21.950000762939453" customHeight="1">
      <x:c r="A8" s="13" t="s">
        <x:v>1368</x:v>
      </x:c>
      <x:c r="B8" s="143" t="n">
        <x:f>'Launch Readiness'!$B$5</x:f>
        <x:v>2</x:v>
      </x:c>
      <x:c r="C8" s="141" t="n">
        <x:f>2</x:f>
        <x:v>2</x:v>
      </x:c>
      <x:c r="D8" s="141">
        <x:f t="shared" si="0"/>
        <x:v>0</x:v>
      </x:c>
      <x:c r="E8" s="141" t="n">
        <x:f>0</x:f>
        <x:v>0</x:v>
      </x:c>
      <x:c r="F8" s="35" t="str">
        <x:f t="shared" si="1"/>
        <x:v>PASS</x:v>
      </x:c>
      <x:c r="G8" s="32" t="s">
        <x:v>1369</x:v>
      </x:c>
    </x:row>
    <x:row r="9" ht="21.950000762939453" customHeight="1">
      <x:c r="A9" s="13" t="s">
        <x:v>1370</x:v>
      </x:c>
      <x:c r="B9" s="144" t="n">
        <x:f>ROUND('P&amp;L 5yr'!$C$60,0)</x:f>
        <x:v>1112021</x:v>
      </x:c>
      <x:c r="C9" s="144" t="n">
        <x:f>ROUND('P&amp;L 5yr'!$C$42+'P&amp;L 5yr'!$C$56+'P&amp;L 5yr'!$C$58,0)</x:f>
        <x:v>1112021</x:v>
      </x:c>
      <x:c r="D9" s="142">
        <x:f t="shared" si="0"/>
        <x:v>0</x:v>
      </x:c>
      <x:c r="E9" s="142" t="n">
        <x:f>1</x:f>
        <x:v>1</x:v>
      </x:c>
      <x:c r="F9" s="35" t="str">
        <x:f t="shared" si="1"/>
        <x:v>PASS</x:v>
      </x:c>
      <x:c r="G9" s="32" t="s">
        <x:v>1371</x:v>
      </x:c>
    </x:row>
    <x:row r="10" ht="21.950000762939453" customHeight="1">
      <x:c r="A10" s="13" t="s">
        <x:v>1372</x:v>
      </x:c>
      <x:c r="B10" s="144" t="n">
        <x:f>ROUND('P&amp;L 5yr'!$G$63,0)</x:f>
        <x:v>14396953</x:v>
      </x:c>
      <x:c r="C10" s="144" t="n">
        <x:f>ROUND(SUM('P&amp;L 5yr'!$C$62:$G$62),0)</x:f>
        <x:v>14396953</x:v>
      </x:c>
      <x:c r="D10" s="142">
        <x:f t="shared" si="0"/>
        <x:v>0</x:v>
      </x:c>
      <x:c r="E10" s="142" t="n">
        <x:f>1</x:f>
        <x:v>1</x:v>
      </x:c>
      <x:c r="F10" s="35" t="str">
        <x:f t="shared" si="1"/>
        <x:v>PASS</x:v>
      </x:c>
      <x:c r="G10" s="32" t="s">
        <x:v>1373</x:v>
      </x:c>
    </x:row>
    <x:row r="11" ht="21.950000762939453" customHeight="1">
      <x:c r="A11" s="13" t="s">
        <x:v>1374</x:v>
      </x:c>
      <x:c r="B11" s="144" t="n">
        <x:f>ROUND('Cash Flow Statement'!$BI$35,0)</x:f>
        <x:v>16107484</x:v>
      </x:c>
      <x:c r="C11" s="144" t="n">
        <x:f>ROUND('Cash Flow Statement'!$BI$33+'Cash Flow Statement'!$BI$34,0)</x:f>
        <x:v>16107484</x:v>
      </x:c>
      <x:c r="D11" s="142">
        <x:f t="shared" si="0"/>
        <x:v>0</x:v>
      </x:c>
      <x:c r="E11" s="142" t="n">
        <x:f>1</x:f>
        <x:v>1</x:v>
      </x:c>
      <x:c r="F11" s="35" t="str">
        <x:f t="shared" si="1"/>
        <x:v>PASS</x:v>
      </x:c>
      <x:c r="G11" s="32" t="s">
        <x:v>1375</x:v>
      </x:c>
    </x:row>
    <x:row r="12" ht="21.950000762939453" customHeight="1">
      <x:c r="A12" s="13" t="s">
        <x:v>1376</x:v>
      </x:c>
      <x:c r="B12" s="144" t="n">
        <x:f>ROUND(MAX('Cash Flow Statement'!$B$34:$BI$34),0)</x:f>
        <x:v>319095</x:v>
      </x:c>
      <x:c r="C12" s="144" t="n">
        <x:f>ROUND('Launch Readiness'!$E$10+'Launch Readiness'!$E$17,0)</x:f>
        <x:v>319095</x:v>
      </x:c>
      <x:c r="D12" s="142">
        <x:f t="shared" si="0"/>
        <x:v>0</x:v>
      </x:c>
      <x:c r="E12" s="142" t="n">
        <x:f>1</x:f>
        <x:v>1</x:v>
      </x:c>
      <x:c r="F12" s="35" t="str">
        <x:f t="shared" si="1"/>
        <x:v>PASS</x:v>
      </x:c>
      <x:c r="G12" s="32" t="s">
        <x:v>1377</x:v>
      </x:c>
    </x:row>
    <x:row r="13" ht="21.950000762939453" customHeight="1">
      <x:c r="A13" s="13" t="s">
        <x:v>1378</x:v>
      </x:c>
      <x:c r="B13" s="144" t="n">
        <x:f>ROUND('Launch Readiness'!$E$12,0)</x:f>
        <x:v>2840935</x:v>
      </x:c>
      <x:c r="C13" s="144" t="n">
        <x:f>ROUND(MAX('P&amp;L 5yr'!$C$66:$G$66)+'Launch Readiness'!$E$10,0)</x:f>
        <x:v>2840935</x:v>
      </x:c>
      <x:c r="D13" s="142">
        <x:f t="shared" si="0"/>
        <x:v>0</x:v>
      </x:c>
      <x:c r="E13" s="142" t="n">
        <x:f>1</x:f>
        <x:v>1</x:v>
      </x:c>
      <x:c r="F13" s="35" t="str">
        <x:f t="shared" si="1"/>
        <x:v>PASS</x:v>
      </x:c>
      <x:c r="G13" s="32" t="s">
        <x:v>1379</x:v>
      </x:c>
    </x:row>
    <x:row r="14" ht="21.950000762939453" customHeight="1">
      <x:c r="A14" s="13" t="s">
        <x:v>1380</x:v>
      </x:c>
      <x:c r="B14" s="144" t="n">
        <x:f>ROUND(SUM('Cash Flow Statement'!$B$12:INDEX('Cash Flow Statement'!$B$12:$BI$12,1,MAX(1,'Launch Readiness'!$E$11-1))),0)</x:f>
        <x:v>0</x:v>
      </x:c>
      <x:c r="C14" s="142" t="n">
        <x:f>0</x:f>
        <x:v>0</x:v>
      </x:c>
      <x:c r="D14" s="142">
        <x:f t="shared" si="0"/>
        <x:v>0</x:v>
      </x:c>
      <x:c r="E14" s="142" t="n">
        <x:f>1</x:f>
        <x:v>1</x:v>
      </x:c>
      <x:c r="F14" s="35" t="str">
        <x:f t="shared" si="1"/>
        <x:v>PASS</x:v>
      </x:c>
      <x:c r="G14" s="32" t="s">
        <x:v>1381</x:v>
      </x:c>
    </x:row>
    <x:row r="15" ht="21.950000762939453" customHeight="1">
      <x:c r="A15" s="13" t="s">
        <x:v>1382</x:v>
      </x:c>
      <x:c r="B15" s="144" t="n">
        <x:f>ROUND(MIN('Cash Flow Statement'!$B$33:$BI$33),0)</x:f>
        <x:v>191027</x:v>
      </x:c>
      <x:c r="C15" s="142" t="n">
        <x:f>0</x:f>
        <x:v>0</x:v>
      </x:c>
      <x:c r="D15" s="142" t="n">
        <x:f>MIN(0,B15)-C15</x:f>
        <x:v>0</x:v>
      </x:c>
      <x:c r="E15" s="142" t="n">
        <x:f>1</x:f>
        <x:v>1</x:v>
      </x:c>
      <x:c r="F15" s="35" t="str">
        <x:f t="shared" si="1"/>
        <x:v>PASS</x:v>
      </x:c>
      <x:c r="G15" s="32" t="s">
        <x:v>1383</x:v>
      </x:c>
    </x:row>
    <x:row r="16" ht="21.950000762939453" customHeight="1">
      <x:c r="A16" s="13" t="s">
        <x:v>1384</x:v>
      </x:c>
      <x:c r="B16" s="143" t="n">
        <x:f>IF(SUM(IF(ISERROR(Dashboard!$C$10),1,0),IF(ISERROR(Dashboard!$G$10),1,0),IF(ISERROR(Dashboard!$K$10),1,0),IF(ISERROR(Dashboard!$O$10),1,0),IF(ISERROR(Dashboard!$T$11),1,0),IF(ISERROR(Dashboard!$U$11),1,0),IF(ISERROR(Dashboard!$T$15),1,0),IF(ISERROR(Dashboard!$U$15),1,0),IF(ISERROR(Dashboard!$T$19),1,0),IF(ISERROR(Dashboard!$U$19),1,0))&gt;0,1,0)</x:f>
        <x:v>0</x:v>
      </x:c>
      <x:c r="C16" s="141" t="n">
        <x:f>0</x:f>
        <x:v>0</x:v>
      </x:c>
      <x:c r="D16" s="141" t="n">
        <x:f t="shared" ref="D16:D29" si="2">B16-C16</x:f>
        <x:v>0</x:v>
      </x:c>
      <x:c r="E16" s="141" t="n">
        <x:f>0</x:f>
        <x:v>0</x:v>
      </x:c>
      <x:c r="F16" s="35" t="str">
        <x:f t="shared" si="1"/>
        <x:v>PASS</x:v>
      </x:c>
      <x:c r="G16" s="32" t="s">
        <x:v>1385</x:v>
      </x:c>
    </x:row>
    <x:row r="17" ht="21.950000762939453" customHeight="1">
      <x:c r="A17" s="13" t="s">
        <x:v>1386</x:v>
      </x:c>
      <x:c r="B17" s="143" t="n">
        <x:f>ROUND(SUM('Cash Flow Statement'!$B$12:$BI$12),0)</x:f>
        <x:v>27084150</x:v>
      </x:c>
      <x:c r="C17" s="143" t="n">
        <x:f>ROUND(SUM('P&amp;L 5yr'!$C$18:$G$18)-INDEX('P&amp;L 5yr'!$C$18:$G$18,1,5)/MAX(1,INDEX('Launch Readiness'!$B$26:$F$26,1,5))*'Launch Readiness'!$B$7,0)</x:f>
        <x:v>27084157</x:v>
      </x:c>
      <x:c r="D17" s="141">
        <x:f t="shared" si="2"/>
        <x:v>-7</x:v>
      </x:c>
      <x:c r="E17" s="141" t="n">
        <x:f>100</x:f>
        <x:v>100</x:v>
      </x:c>
      <x:c r="F17" s="35" t="str">
        <x:f t="shared" si="1"/>
        <x:v>PASS</x:v>
      </x:c>
      <x:c r="G17" s="32" t="s">
        <x:v>1387</x:v>
      </x:c>
    </x:row>
    <x:row r="18" ht="21.950000762939453" customHeight="1">
      <x:c r="A18" s="13" t="s">
        <x:v>1388</x:v>
      </x:c>
      <x:c r="B18" s="143" t="n">
        <x:f>ROUND(SUM('P&amp;L 5yr'!$C$58:$G$58)-'Startup 6mo'!$F$44,0)</x:f>
        <x:v>102546</x:v>
      </x:c>
      <x:c r="C18" s="143" t="n">
        <x:f>ROUND('Launch Readiness'!$E$8+'Launch Readiness'!$E$15,0)</x:f>
        <x:v>102546</x:v>
      </x:c>
      <x:c r="D18" s="141">
        <x:f t="shared" si="2"/>
        <x:v>0</x:v>
      </x:c>
      <x:c r="E18" s="141" t="n">
        <x:f>2</x:f>
        <x:v>2</x:v>
      </x:c>
      <x:c r="F18" s="35" t="str">
        <x:f t="shared" si="1"/>
        <x:v>PASS</x:v>
      </x:c>
      <x:c r="G18" s="32" t="s">
        <x:v>1389</x:v>
      </x:c>
    </x:row>
    <x:row r="19" ht="21.950000762939453" customHeight="1">
      <x:c r="A19" s="13" t="s">
        <x:v>1390</x:v>
      </x:c>
      <x:c r="B19" s="143" t="n">
        <x:f>ROUND(CHOOSE(Assumptions!$C$4,SUM('Scenario Engine'!$B$30:$F$30),SUM('Scenario Engine'!$H$30:$L$30),SUM('Scenario Engine'!$N$30:$R$30)),0)</x:f>
        <x:v>28570208</x:v>
      </x:c>
      <x:c r="C19" s="143" t="n">
        <x:f>ROUND(SUM('P&amp;L 5yr'!$C$18:$G$18),0)</x:f>
        <x:v>28570208</x:v>
      </x:c>
      <x:c r="D19" s="141">
        <x:f t="shared" si="2"/>
        <x:v>0</x:v>
      </x:c>
      <x:c r="E19" s="141" t="n">
        <x:f>5</x:f>
        <x:v>5</x:v>
      </x:c>
      <x:c r="F19" s="35" t="str">
        <x:f t="shared" si="1"/>
        <x:v>PASS</x:v>
      </x:c>
      <x:c r="G19" s="32" t="s">
        <x:v>1391</x:v>
      </x:c>
    </x:row>
    <x:row r="20" ht="21.950000762939453" customHeight="1">
      <x:c r="A20" s="13" t="s">
        <x:v>1392</x:v>
      </x:c>
      <x:c r="B20" s="143" t="n">
        <x:f>ROUND(CHOOSE(Assumptions!$C$4,SUM('Scenario Engine'!$B$47:$F$47),SUM('Scenario Engine'!$H$47:$L$47),SUM('Scenario Engine'!$N$47:$R$47)),0)</x:f>
        <x:v>6207463</x:v>
      </x:c>
      <x:c r="C20" s="143" t="n">
        <x:f>ROUND(SUM('P&amp;L 5yr'!$C$29:$G$29),0)</x:f>
        <x:v>6207463</x:v>
      </x:c>
      <x:c r="D20" s="141">
        <x:f t="shared" si="2"/>
        <x:v>0</x:v>
      </x:c>
      <x:c r="E20" s="141" t="n">
        <x:f>5</x:f>
        <x:v>5</x:v>
      </x:c>
      <x:c r="F20" s="35" t="str">
        <x:f t="shared" si="1"/>
        <x:v>PASS</x:v>
      </x:c>
      <x:c r="G20" s="32" t="s">
        <x:v>1393</x:v>
      </x:c>
    </x:row>
    <x:row r="21" ht="21.950000762939453" customHeight="1">
      <x:c r="A21" s="13" t="s">
        <x:v>1394</x:v>
      </x:c>
      <x:c r="B21" s="143" t="n">
        <x:f>COUNT(Assumptions!$F$162:$F$167)</x:f>
        <x:v>6</x:v>
      </x:c>
      <x:c r="C21" s="141" t="n">
        <x:f>6</x:f>
        <x:v>6</x:v>
      </x:c>
      <x:c r="D21" s="141">
        <x:f t="shared" si="2"/>
        <x:v>0</x:v>
      </x:c>
      <x:c r="E21" s="141">
        <x:v>0</x:v>
      </x:c>
      <x:c r="F21" s="35" t="str">
        <x:f t="shared" ref="F21:F29" si="3">IF(ABS(D21)&lt;=E21,"PASS","FAIL")</x:f>
        <x:v>PASS</x:v>
      </x:c>
      <x:c r="G21" s="32" t="s">
        <x:v>1395</x:v>
      </x:c>
    </x:row>
    <x:row r="22" ht="21.950000762939453" customHeight="1">
      <x:c r="A22" s="13" t="s">
        <x:v>1396</x:v>
      </x:c>
      <x:c r="B22" s="143" t="n">
        <x:f>ROUND(SUM(ABS('Tier Economics'!E9-'P&amp;L 5yr'!C9),ABS('Tier Economics'!I9-'P&amp;L 5yr'!D9),ABS('Tier Economics'!M9-'P&amp;L 5yr'!E9),ABS('Tier Economics'!Q9-'P&amp;L 5yr'!F9),ABS('Tier Economics'!U9-'P&amp;L 5yr'!G9)),2)</x:f>
        <x:v>0</x:v>
      </x:c>
      <x:c r="C22" s="141" t="n">
        <x:f>0</x:f>
        <x:v>0</x:v>
      </x:c>
      <x:c r="D22" s="141">
        <x:f t="shared" si="2"/>
        <x:v>0</x:v>
      </x:c>
      <x:c r="E22" s="141">
        <x:v>0.01</x:v>
      </x:c>
      <x:c r="F22" s="35" t="str">
        <x:f t="shared" si="3"/>
        <x:v>PASS</x:v>
      </x:c>
      <x:c r="G22" s="32" t="s">
        <x:v>1397</x:v>
      </x:c>
    </x:row>
    <x:row r="23" ht="21.950000762939453" customHeight="1">
      <x:c r="A23" s="13" t="s">
        <x:v>1398</x:v>
      </x:c>
      <x:c r="B23" s="143" t="n">
        <x:f>ROUND(SUM(ABS('P&amp;L 5yr'!C8-IF('P&amp;L 5yr'!C7=0,0,'P&amp;L 5yr'!C9/'P&amp;L 5yr'!C7)),ABS('P&amp;L 5yr'!D8-IF('P&amp;L 5yr'!D7=0,0,'P&amp;L 5yr'!D9/'P&amp;L 5yr'!D7)),ABS('P&amp;L 5yr'!E8-IF('P&amp;L 5yr'!E7=0,0,'P&amp;L 5yr'!E9/'P&amp;L 5yr'!E7)),ABS('P&amp;L 5yr'!F8-IF('P&amp;L 5yr'!F7=0,0,'P&amp;L 5yr'!F9/'P&amp;L 5yr'!F7)),ABS('P&amp;L 5yr'!G8-IF('P&amp;L 5yr'!G7=0,0,'P&amp;L 5yr'!G9/'P&amp;L 5yr'!G7))),6)</x:f>
        <x:v>0</x:v>
      </x:c>
      <x:c r="C23" s="141" t="n">
        <x:f>0</x:f>
        <x:v>0</x:v>
      </x:c>
      <x:c r="D23" s="141">
        <x:f t="shared" si="2"/>
        <x:v>0</x:v>
      </x:c>
      <x:c r="E23" s="141">
        <x:v>9.9999999999999995E-7</x:v>
      </x:c>
      <x:c r="F23" s="35" t="str">
        <x:f t="shared" si="3"/>
        <x:v>PASS</x:v>
      </x:c>
      <x:c r="G23" s="32" t="s">
        <x:v>1399</x:v>
      </x:c>
    </x:row>
    <x:row r="24" ht="21.950000762939453" customHeight="1">
      <x:c r="A24" s="13" t="s">
        <x:v>1400</x:v>
      </x:c>
      <x:c r="B24" s="143" t="n">
        <x:f>ROUND(SUM('P&amp;L 5yr'!C14:G14),2)</x:f>
        <x:v>23464812.1</x:v>
      </x:c>
      <x:c r="C24" s="143" t="n">
        <x:f>ROUND(SUM('Tier Economics'!E12,'Tier Economics'!I12,'Tier Economics'!M12,'Tier Economics'!Q12,'Tier Economics'!U12),2)</x:f>
        <x:v>23464812.1</x:v>
      </x:c>
      <x:c r="D24" s="141">
        <x:f t="shared" si="2"/>
        <x:v>0</x:v>
      </x:c>
      <x:c r="E24" s="141">
        <x:v>1</x:v>
      </x:c>
      <x:c r="F24" s="35" t="str">
        <x:f t="shared" si="3"/>
        <x:v>PASS</x:v>
      </x:c>
      <x:c r="G24" s="32" t="s">
        <x:v>1401</x:v>
      </x:c>
    </x:row>
    <x:row r="25" ht="21.950000762939453" customHeight="1">
      <x:c r="A25" s="13" t="s">
        <x:v>1402</x:v>
      </x:c>
      <x:c r="B25" s="143" t="n">
        <x:f>ROUND(CHOOSE(Assumptions!$C$4,SUM('Scenario Engine'!B10:F10),SUM('Scenario Engine'!H10:L10),SUM('Scenario Engine'!N10:R10)),2)</x:f>
        <x:v>2172385175.25</x:v>
      </x:c>
      <x:c r="C25" s="143" t="n">
        <x:f>ROUND(SUM('P&amp;L 5yr'!C9:G9),2)</x:f>
        <x:v>2172385175.25</x:v>
      </x:c>
      <x:c r="D25" s="141">
        <x:f t="shared" si="2"/>
        <x:v>0</x:v>
      </x:c>
      <x:c r="E25" s="141">
        <x:v>5</x:v>
      </x:c>
      <x:c r="F25" s="35" t="str">
        <x:f t="shared" si="3"/>
        <x:v>PASS</x:v>
      </x:c>
      <x:c r="G25" s="32" t="s">
        <x:v>1403</x:v>
      </x:c>
    </x:row>
    <x:row r="26" ht="21.950000762939453" customHeight="1">
      <x:c r="A26" s="13" t="s">
        <x:v>1404</x:v>
      </x:c>
      <x:c r="B26" s="143" t="n">
        <x:f>IF(AND(Assumptions!$F$170&gt;=0,Assumptions!$F$170&lt;=0.3),0,1)</x:f>
        <x:v>0</x:v>
      </x:c>
      <x:c r="C26" s="141" t="n">
        <x:f>0</x:f>
        <x:v>0</x:v>
      </x:c>
      <x:c r="D26" s="141">
        <x:f t="shared" si="2"/>
        <x:v>0</x:v>
      </x:c>
      <x:c r="E26" s="141">
        <x:v>0</x:v>
      </x:c>
      <x:c r="F26" s="35" t="str">
        <x:f t="shared" si="3"/>
        <x:v>PASS</x:v>
      </x:c>
      <x:c r="G26" s="32" t="s">
        <x:v>1405</x:v>
      </x:c>
    </x:row>
    <x:row r="27" ht="21.950000762939453" customHeight="1">
      <x:c r="A27" s="13" t="s">
        <x:v>1406</x:v>
      </x:c>
      <x:c r="B27" s="143" t="n">
        <x:f>ROUND(SUM(ABS('P&amp;L 5yr'!C85),ABS('P&amp;L 5yr'!D85),ABS('P&amp;L 5yr'!E85),ABS('P&amp;L 5yr'!F85),ABS('P&amp;L 5yr'!G85)),6)</x:f>
        <x:v>0</x:v>
      </x:c>
      <x:c r="C27" s="141" t="n">
        <x:f>0</x:f>
        <x:v>0</x:v>
      </x:c>
      <x:c r="D27" s="141">
        <x:f t="shared" si="2"/>
        <x:v>0</x:v>
      </x:c>
      <x:c r="E27" s="141">
        <x:v>9.9999999999999995E-7</x:v>
      </x:c>
      <x:c r="F27" s="35" t="str">
        <x:f t="shared" si="3"/>
        <x:v>PASS</x:v>
      </x:c>
      <x:c r="G27" s="32" t="s">
        <x:v>1407</x:v>
      </x:c>
    </x:row>
    <x:row r="28" ht="21.950000762939453" customHeight="1">
      <x:c r="A28" s="13" t="s">
        <x:v>1408</x:v>
      </x:c>
      <x:c r="B28" s="143" t="n">
        <x:f>ROUND(SUM(ABS('Client Funds Memo'!B10),ABS('Client Funds Memo'!C10),ABS('Client Funds Memo'!D10),ABS('Client Funds Memo'!E10),ABS('Client Funds Memo'!F10)),2)</x:f>
        <x:v>0</x:v>
      </x:c>
      <x:c r="C28" s="141" t="n">
        <x:f>0</x:f>
        <x:v>0</x:v>
      </x:c>
      <x:c r="D28" s="141">
        <x:f t="shared" si="2"/>
        <x:v>0</x:v>
      </x:c>
      <x:c r="E28" s="141">
        <x:v>0.01</x:v>
      </x:c>
      <x:c r="F28" s="35" t="str">
        <x:f t="shared" si="3"/>
        <x:v>PASS</x:v>
      </x:c>
      <x:c r="G28" s="32" t="s">
        <x:v>1409</x:v>
      </x:c>
    </x:row>
    <x:row r="29" ht="21.950000762939453" customHeight="1">
      <x:c r="A29" s="13" t="s">
        <x:v>1410</x:v>
      </x:c>
      <x:c r="B29" s="143" t="n">
        <x:f>ROUND(SUM(ABS('Client Funds Memo'!B11),ABS('Client Funds Memo'!C11),ABS('Client Funds Memo'!D11),ABS('Client Funds Memo'!E11),ABS('Client Funds Memo'!F11))+ABS(SUM('Cash Flow Statement'!B18:BI18)),2)</x:f>
        <x:v>0</x:v>
      </x:c>
      <x:c r="C29" s="141" t="n">
        <x:f>0</x:f>
        <x:v>0</x:v>
      </x:c>
      <x:c r="D29" s="141">
        <x:f t="shared" si="2"/>
        <x:v>0</x:v>
      </x:c>
      <x:c r="E29" s="141">
        <x:v>0.01</x:v>
      </x:c>
      <x:c r="F29" s="35" t="str">
        <x:f t="shared" si="3"/>
        <x:v>PASS</x:v>
      </x:c>
      <x:c r="G29" s="32" t="s">
        <x:v>1411</x:v>
      </x:c>
    </x:row>
    <x:row r="30" ht="21.950000762939453" customHeight="1">
      <x:c r="A30" s="13" t="s">
        <x:v>1412</x:v>
      </x:c>
      <x:c r="B30" s="143" t="n">
        <x:f>'Launch Readiness'!$E$6</x:f>
        <x:v>12</x:v>
      </x:c>
      <x:c r="C30" s="141" t="n">
        <x:f>12</x:f>
        <x:v>12</x:v>
      </x:c>
      <x:c r="D30" s="141" t="n">
        <x:f t="shared" ref="D30:D38" si="4">B30-C30</x:f>
        <x:v>0</x:v>
      </x:c>
      <x:c r="E30" s="141">
        <x:v>0</x:v>
      </x:c>
      <x:c r="F30" s="35" t="str">
        <x:f t="shared" ref="F30:F38" si="5">IF(ABS(D30)&lt;=E30,"PASS","FAIL")</x:f>
        <x:v>PASS</x:v>
      </x:c>
      <x:c r="G30" s="32" t="s">
        <x:v>1413</x:v>
      </x:c>
    </x:row>
    <x:row r="31" ht="21.950000762939453" customHeight="1">
      <x:c r="A31" s="13" t="s">
        <x:v>1414</x:v>
      </x:c>
      <x:c r="B31" s="143" t="n">
        <x:f>'Launch Readiness'!$E$11</x:f>
        <x:v>13</x:v>
      </x:c>
      <x:c r="C31" s="141" t="n">
        <x:f>13</x:f>
        <x:v>13</x:v>
      </x:c>
      <x:c r="D31" s="141">
        <x:f t="shared" si="4"/>
        <x:v>0</x:v>
      </x:c>
      <x:c r="E31" s="141">
        <x:v>0</x:v>
      </x:c>
      <x:c r="F31" s="35" t="str">
        <x:f t="shared" si="5"/>
        <x:v>PASS</x:v>
      </x:c>
      <x:c r="G31" s="32" t="s">
        <x:v>1415</x:v>
      </x:c>
    </x:row>
    <x:row r="32" ht="21.950000762939453" customHeight="1">
      <x:c r="A32" s="13" t="s">
        <x:v>1416</x:v>
      </x:c>
      <x:c r="B32" s="143" t="n">
        <x:f>'Launch Readiness'!$E$14</x:f>
        <x:v>18</x:v>
      </x:c>
      <x:c r="C32" s="141" t="n">
        <x:f>30</x:f>
        <x:v>30</x:v>
      </x:c>
      <x:c r="D32" s="141">
        <x:f t="shared" si="4"/>
        <x:v>0</x:v>
      </x:c>
      <x:c r="E32" s="141">
        <x:v>0</x:v>
      </x:c>
      <x:c r="F32" s="35" t="str">
        <x:f t="shared" si="5"/>
        <x:v>PASS</x:v>
      </x:c>
      <x:c r="G32" s="32" t="s">
        <x:v>1417</x:v>
      </x:c>
    </x:row>
    <x:row r="33" ht="21.950000762939453" customHeight="1">
      <x:c r="A33" s="13" t="s">
        <x:v>1418</x:v>
      </x:c>
      <x:c r="B33" s="143" t="n">
        <x:f>'Launch Readiness'!$E$6</x:f>
        <x:v>12</x:v>
      </x:c>
      <x:c r="C33" s="143" t="n">
        <x:f>MAX('Launch Readiness'!$C$50:$C$55)+1</x:f>
        <x:v>12</x:v>
      </x:c>
      <x:c r="D33" s="141">
        <x:f t="shared" si="4"/>
        <x:v>0</x:v>
      </x:c>
      <x:c r="E33" s="141">
        <x:v>0</x:v>
      </x:c>
      <x:c r="F33" s="35" t="str">
        <x:f t="shared" si="5"/>
        <x:v>PASS</x:v>
      </x:c>
      <x:c r="G33" s="32" t="s">
        <x:v>1419</x:v>
      </x:c>
    </x:row>
    <x:row r="34" ht="21.950000762939453" customHeight="1">
      <x:c r="A34" s="13" t="s">
        <x:v>1420</x:v>
      </x:c>
      <x:c r="B34" s="143" t="n">
        <x:f>ROUND(SUM(ABS('Launch Readiness'!D38-MAX(0,MIN(12,12-'Launch Readiness'!B38+1))/12),ABS('Launch Readiness'!D39-MAX(0,MIN(12,12-'Launch Readiness'!B39+1))/12),ABS('Launch Readiness'!D40-MAX(0,MIN(12,12-'Launch Readiness'!B40+1))/12),ABS('Launch Readiness'!D41-MAX(0,MIN(12,12-'Launch Readiness'!B41+1))/12)),6)</x:f>
        <x:v>0</x:v>
      </x:c>
      <x:c r="C34" s="141" t="n">
        <x:f>0</x:f>
        <x:v>0</x:v>
      </x:c>
      <x:c r="D34" s="141">
        <x:f t="shared" si="4"/>
        <x:v>0</x:v>
      </x:c>
      <x:c r="E34" s="141">
        <x:v>9.9999999999999995E-7</x:v>
      </x:c>
      <x:c r="F34" s="35" t="str">
        <x:f t="shared" si="5"/>
        <x:v>PASS</x:v>
      </x:c>
      <x:c r="G34" s="32" t="s">
        <x:v>1421</x:v>
      </x:c>
    </x:row>
    <x:row r="35" ht="21.950000762939453" customHeight="1">
      <x:c r="A35" s="13" t="s">
        <x:v>1422</x:v>
      </x:c>
      <x:c r="B35" s="143" t="n">
        <x:f>ROUND(SUM(ABS(Assumptions!$F$70-0.008),ABS(Assumptions!$F$71-0.015),ABS(Assumptions!$F$72-0.03)),6)</x:f>
        <x:v>0</x:v>
      </x:c>
      <x:c r="C35" s="141" t="n">
        <x:f>0</x:f>
        <x:v>0</x:v>
      </x:c>
      <x:c r="D35" s="141">
        <x:f t="shared" si="4"/>
        <x:v>0</x:v>
      </x:c>
      <x:c r="E35" s="141">
        <x:v>9.9999999999999995E-7</x:v>
      </x:c>
      <x:c r="F35" s="35" t="str">
        <x:f t="shared" si="5"/>
        <x:v>PASS</x:v>
      </x:c>
      <x:c r="G35" s="32" t="s">
        <x:v>1423</x:v>
      </x:c>
    </x:row>
    <x:row r="36" ht="21.950000762939453" customHeight="1">
      <x:c r="A36" s="13" t="s">
        <x:v>1424</x:v>
      </x:c>
      <x:c r="B36" s="143" t="n">
        <x:f>ROUND(SUM(Dashboard!$L$58:$L$62),0)</x:f>
        <x:v>2840935</x:v>
      </x:c>
      <x:c r="C36" s="143" t="n">
        <x:f>ROUND('Launch Readiness'!$E$12,0)</x:f>
        <x:v>2840935</x:v>
      </x:c>
      <x:c r="D36" s="141">
        <x:f t="shared" si="4"/>
        <x:v>0</x:v>
      </x:c>
      <x:c r="E36" s="141">
        <x:v>1</x:v>
      </x:c>
      <x:c r="F36" s="35" t="str">
        <x:f t="shared" si="5"/>
        <x:v>PASS</x:v>
      </x:c>
      <x:c r="G36" s="32" t="s">
        <x:v>1425</x:v>
      </x:c>
    </x:row>
    <x:row r="37" ht="21.950000762939453" customHeight="1">
      <x:c r="A37" s="13" t="s">
        <x:v>1426</x:v>
      </x:c>
      <x:c r="B37" s="143" t="n">
        <x:f>ROUND(SUM(Dashboard!$M$58:$M$62),6)</x:f>
        <x:v>1</x:v>
      </x:c>
      <x:c r="C37" s="141" t="n">
        <x:f>1</x:f>
        <x:v>1</x:v>
      </x:c>
      <x:c r="D37" s="141">
        <x:f t="shared" si="4"/>
        <x:v>0</x:v>
      </x:c>
      <x:c r="E37" s="141">
        <x:v>9.9999999999999995E-7</x:v>
      </x:c>
      <x:c r="F37" s="35" t="str">
        <x:f t="shared" si="5"/>
        <x:v>PASS</x:v>
      </x:c>
      <x:c r="G37" s="32" t="s">
        <x:v>1427</x:v>
      </x:c>
    </x:row>
    <x:row r="38" ht="21.950000762939453" customHeight="1">
      <x:c r="A38" s="13" t="s">
        <x:v>1428</x:v>
      </x:c>
      <x:c r="B38" s="143" t="n">
        <x:f>ROUND('Launch Readiness'!$E$12-MAX('P&amp;L 5yr'!$C$66:$G$66)-'Launch Readiness'!$E$10,0)</x:f>
        <x:v>0</x:v>
      </x:c>
      <x:c r="C38" s="141" t="n">
        <x:f>0</x:f>
        <x:v>0</x:v>
      </x:c>
      <x:c r="D38" s="141">
        <x:f t="shared" si="4"/>
        <x:v>0</x:v>
      </x:c>
      <x:c r="E38" s="141">
        <x:v>1</x:v>
      </x:c>
      <x:c r="F38" s="35" t="str">
        <x:f t="shared" si="5"/>
        <x:v>PASS</x:v>
      </x:c>
      <x:c r="G38" s="32" t="s">
        <x:v>1429</x:v>
      </x:c>
    </x:row>
    <x:row r="39" ht="21.950000762939453" customHeight="1">
      <x:c r="A39" s="13" t="s">
        <x:v>1430</x:v>
      </x:c>
      <x:c r="B39" s="143" t="n">
        <x:f>ROUND(SUM('Cash Flow Statement'!B19:BI19)-SUM('Cash Flow Statement'!B14:BI14)-SUM('Cash Flow Statement'!B15:BI18),0)</x:f>
        <x:v>-7453</x:v>
      </x:c>
      <x:c r="C39" s="141">
        <x:v>0</x:v>
      </x:c>
      <x:c r="D39" s="141" t="n">
        <x:f>B39-C39</x:f>
        <x:v>-7453</x:v>
      </x:c>
      <x:c r="E39" s="141">
        <x:v>100</x:v>
      </x:c>
      <x:c r="F39" s="35" t="str">
        <x:f>IF(ABS(D39)&lt;=E39,"PASS","FAIL")</x:f>
        <x:v>FAIL</x:v>
      </x:c>
      <x:c r="G39" s="32" t="s">
        <x:v>1431</x:v>
      </x:c>
    </x:row>
    <x:row r="40" ht="21.950000762939453" customHeight="1">
      <x:c r="A40" s="13" t="s">
        <x:v>1432</x:v>
      </x:c>
      <x:c r="B40" s="143" t="n">
        <x:f>ROUND(SUM(ABS('Launch Readiness'!B31-0),ABS('Launch Readiness'!C31-0),ABS('Launch Readiness'!D31-7),ABS('Launch Readiness'!E31-12),ABS('Launch Readiness'!F31-12)),0)</x:f>
        <x:v>12</x:v>
      </x:c>
      <x:c r="C40" s="141">
        <x:v>0</x:v>
      </x:c>
      <x:c r="D40" s="141" t="n">
        <x:f>B40-C40</x:f>
        <x:v>12</x:v>
      </x:c>
      <x:c r="E40" s="141">
        <x:v>0</x:v>
      </x:c>
      <x:c r="F40" s="35" t="str">
        <x:f>IF(ABS(D40)&lt;=E40,"PASS","FAIL")</x:f>
        <x:v>FAIL</x:v>
      </x:c>
      <x:c r="G40" s="32" t="s">
        <x:v>1433</x:v>
      </x:c>
    </x:row>
    <x:row r="41" ht="21.950000762939453" customHeight="1">
      <x:c r="A41" s="13" t="s">
        <x:v>1434</x:v>
      </x:c>
      <x:c r="B41" s="143" t="n">
        <x:f>ROUND('Launch Readiness'!$E$12,0)</x:f>
        <x:v>2840935</x:v>
      </x:c>
      <x:c r="C41" s="143" t="n">
        <x:f>ROUND(CHOOSE(Assumptions!$C$4,MAX('Scenario Engine'!$B$60:$F$60),MAX('Scenario Engine'!$H$60:$L$60),MAX('Scenario Engine'!$N$60:$R$60))+'Launch Readiness'!$E$10,0)</x:f>
        <x:v>2840935</x:v>
      </x:c>
      <x:c r="D41" s="141" t="n">
        <x:f>B41-C41</x:f>
        <x:v>0</x:v>
      </x:c>
      <x:c r="E41" s="141">
        <x:v>1</x:v>
      </x:c>
      <x:c r="F41" s="35" t="str">
        <x:f>IF(ABS(D41)&lt;=E41,"PASS","FAIL")</x:f>
        <x:v>PASS</x:v>
      </x:c>
      <x:c r="G41" s="32" t="s">
        <x:v>1435</x:v>
      </x:c>
    </x:row>
    <x:row r="42" ht="21.950000762939453" customHeight="1">
      <x:c r="A42" s="13" t="s">
        <x:v>1436</x:v>
      </x:c>
      <x:c r="B42" s="143" t="n">
        <x:f>IF(AND(MIN(Assumptions!$F$176:$F$180)&gt;=0,MAX(Assumptions!$F$176:$F$180)&lt;=1,Assumptions!$F$181&gt;=0),0,1)</x:f>
        <x:v>0</x:v>
      </x:c>
      <x:c r="C42" s="141">
        <x:v>0</x:v>
      </x:c>
      <x:c r="D42" s="141" t="n">
        <x:f>B42-C42</x:f>
        <x:v>0</x:v>
      </x:c>
      <x:c r="E42" s="141">
        <x:v>0</x:v>
      </x:c>
      <x:c r="F42" s="35" t="str">
        <x:f>IF(ABS(D42)&lt;=E42,"PASS","FAIL")</x:f>
        <x:v>PASS</x:v>
      </x:c>
      <x:c r="G42" s="32" t="s">
        <x:v>1437</x:v>
      </x:c>
    </x:row>
    <x:row r="43" ht="21.950000762939453" customHeight="1">
      <x:c r="A43" s="13" t="s">
        <x:v>1438</x:v>
      </x:c>
      <x:c r="B43" s="143" t="n">
        <x:f>ROUND(MAX('P&amp;L 5yr'!$C$64:$G$64)+3*(INDEX('P&amp;L 5yr'!$C$42:$G$42,1,MIN(5,ROUNDUP('Launch Readiness'!$E$6/12,0)))+INDEX('P&amp;L 5yr'!$C$56:$G$56,1,MIN(5,ROUNDUP('Launch Readiness'!$E$6/12,0))))/12+'Launch Readiness'!$E$10,0)</x:f>
        <x:v>2840935</x:v>
      </x:c>
      <x:c r="C43" s="143" t="n">
        <x:f>ROUND('Launch Readiness'!$E$12,0)</x:f>
        <x:v>2840935</x:v>
      </x:c>
      <x:c r="D43" s="141" t="n">
        <x:f>B43-C43</x:f>
        <x:v>0</x:v>
      </x:c>
      <x:c r="E43" s="141">
        <x:v>1</x:v>
      </x:c>
      <x:c r="F43" s="35" t="str">
        <x:f>IF(ABS(D43)&lt;=E43,"PASS","FAIL")</x:f>
        <x:v>PASS</x:v>
      </x:c>
      <x:c r="G43" s="32" t="s">
        <x:v>1439</x:v>
      </x:c>
    </x:row>
  </x:sheetData>
  <x:mergeCells>
    <x:mergeCell ref="A1:G1"/>
    <x:mergeCell ref="A2:G2"/>
  </x:mergeCells>
  <x:conditionalFormatting sqref="B4:B4">
    <x:cfRule type="expression" dxfId="3" priority="3">
      <x:formula>B4="FAIL"</x:formula>
    </x:cfRule>
    <x:cfRule type="expression" dxfId="2" priority="4">
      <x:formula>B4="PASS"</x:formula>
    </x:cfRule>
  </x:conditionalFormatting>
  <x:conditionalFormatting sqref="F7:F43">
    <x:cfRule type="expression" dxfId="1" priority="1">
      <x:formula>F7="FAIL"</x:formula>
    </x:cfRule>
    <x:cfRule type="expression" dxfId="0" priority="2">
      <x:formula>F7="PASS"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A33A3A"/>
  </x:sheetPr>
  <x:sheetViews>
    <x:sheetView showGridLines="0" workbookViewId="0"/>
  </x:sheetViews>
  <x:sheetFormatPr defaultRowHeight="12.75"/>
  <x:cols>
    <x:col min="1" max="1" width="46" customWidth="1"/>
    <x:col min="2" max="6" width="16" customWidth="1"/>
    <x:col min="7" max="7" width="22" customWidth="1"/>
    <x:col min="8" max="8" width="60" customWidth="1"/>
  </x:cols>
  <x:sheetData>
    <x:row r="1" ht="27.950000762939453" customHeight="1">
      <x:c r="A1" s="197" t="s">
        <x:v>1440</x:v>
      </x:c>
      <x:c r="B1" s="199"/>
      <x:c r="C1" s="199"/>
      <x:c r="D1" s="199"/>
      <x:c r="E1" s="199"/>
      <x:c r="F1" s="199"/>
      <x:c r="G1" s="199"/>
      <x:c r="H1" s="199"/>
    </x:row>
    <x:row r="2" ht="18" customHeight="1">
      <x:c r="A2" s="180" t="s">
        <x:v>1441</x:v>
      </x:c>
      <x:c r="B2" s="180"/>
      <x:c r="C2" s="180"/>
      <x:c r="D2" s="180"/>
      <x:c r="E2" s="180"/>
      <x:c r="F2" s="180"/>
      <x:c r="G2" s="180"/>
      <x:c r="H2" s="180"/>
    </x:row>
    <x:row r="3" ht="9.949999809265137" customHeight="1">
      <x:c r="A3" s="42"/>
      <x:c r="B3" s="42"/>
      <x:c r="C3" s="42"/>
      <x:c r="D3" s="42"/>
      <x:c r="E3" s="42"/>
      <x:c r="F3" s="42"/>
      <x:c r="G3" s="42"/>
      <x:c r="H3" s="42"/>
    </x:row>
    <x:row r="4" ht="20.100000381469727" customHeight="1">
      <x:c r="A4" s="179" t="s">
        <x:v>1442</x:v>
      </x:c>
      <x:c r="B4" s="179"/>
      <x:c r="C4" s="179"/>
      <x:c r="D4" s="179"/>
      <x:c r="E4" s="179"/>
      <x:c r="F4" s="179"/>
      <x:c r="G4" s="179"/>
      <x:c r="H4" s="179"/>
    </x:row>
    <x:row r="5" ht="21.950000762939453" customHeight="1">
      <x:c r="A5" s="10" t="s">
        <x:v>67</x:v>
      </x:c>
      <x:c r="B5" s="9" t="s">
        <x:v>203</x:v>
      </x:c>
      <x:c r="C5" s="9" t="s">
        <x:v>204</x:v>
      </x:c>
      <x:c r="D5" s="9" t="s">
        <x:v>205</x:v>
      </x:c>
      <x:c r="E5" s="9" t="s">
        <x:v>206</x:v>
      </x:c>
      <x:c r="F5" s="9" t="s">
        <x:v>207</x:v>
      </x:c>
      <x:c r="G5" s="9" t="s">
        <x:v>564</x:v>
      </x:c>
      <x:c r="H5" s="10" t="s">
        <x:v>1443</x:v>
      </x:c>
    </x:row>
    <x:row r="6" ht="17.100000381469727" customHeight="1">
      <x:c r="A6" s="12" t="s">
        <x:v>1444</x:v>
      </x:c>
      <x:c r="B6" s="67" t="n">
        <x:f>'P&amp;L 5yr'!C9</x:f>
        <x:v>92250</x:v>
      </x:c>
      <x:c r="C6" s="67" t="n">
        <x:f>'P&amp;L 5yr'!D9</x:f>
        <x:v>17002500</x:v>
      </x:c>
      <x:c r="D6" s="67" t="n">
        <x:f>'P&amp;L 5yr'!E9</x:f>
        <x:v>76031100</x:v>
      </x:c>
      <x:c r="E6" s="67" t="n">
        <x:f>'P&amp;L 5yr'!F9</x:f>
        <x:v>642338028.0000001</x:v>
      </x:c>
      <x:c r="F6" s="67" t="n">
        <x:f>'P&amp;L 5yr'!G9</x:f>
        <x:v>1436921297.2500002</x:v>
      </x:c>
      <x:c r="G6" s="31" t="s">
        <x:v>1445</x:v>
      </x:c>
      <x:c r="H6" s="32" t="s">
        <x:v>1446</x:v>
      </x:c>
    </x:row>
    <x:row r="7" ht="17.100000381469727" customHeight="1">
      <x:c r="A7" s="12" t="s">
        <x:v>859</x:v>
      </x:c>
      <x:c r="B7" s="91" t="n">
        <x:f>Assumptions!$F$171</x:f>
        <x:v>14</x:v>
      </x:c>
      <x:c r="C7" s="91" t="n">
        <x:f>Assumptions!$F$171</x:f>
        <x:v>14</x:v>
      </x:c>
      <x:c r="D7" s="91" t="n">
        <x:f>Assumptions!$F$171</x:f>
        <x:v>14</x:v>
      </x:c>
      <x:c r="E7" s="91" t="n">
        <x:f>Assumptions!$F$171</x:f>
        <x:v>14</x:v>
      </x:c>
      <x:c r="F7" s="91" t="n">
        <x:f>Assumptions!$F$171</x:f>
        <x:v>14</x:v>
      </x:c>
      <x:c r="G7" s="31" t="s">
        <x:v>860</x:v>
      </x:c>
      <x:c r="H7" s="32" t="s">
        <x:v>1447</x:v>
      </x:c>
    </x:row>
    <x:row r="8" ht="17.100000381469727" customHeight="1">
      <x:c r="A8" s="12" t="s">
        <x:v>1448</x:v>
      </x:c>
      <x:c r="B8" s="56" t="n">
        <x:f>B6/365*B7</x:f>
        <x:v>3538.356164383562</x:v>
      </x:c>
      <x:c r="C8" s="56" t="n">
        <x:f>C6/365*C7</x:f>
        <x:v>652150.6849315069</x:v>
      </x:c>
      <x:c r="D8" s="56" t="n">
        <x:f>D6/365*D7</x:f>
        <x:v>2916261.3698630137</x:v>
      </x:c>
      <x:c r="E8" s="56" t="n">
        <x:f>E6/365*E7</x:f>
        <x:v>24637622.991780825</x:v>
      </x:c>
      <x:c r="F8" s="56" t="n">
        <x:f>F6/365*F7</x:f>
        <x:v>55114789.48356165</x:v>
      </x:c>
      <x:c r="G8" s="31" t="s">
        <x:v>1449</x:v>
      </x:c>
      <x:c r="H8" s="32" t="s">
        <x:v>1450</x:v>
      </x:c>
    </x:row>
    <x:row r="9" ht="17.100000381469727" customHeight="1">
      <x:c r="A9" s="12" t="s">
        <x:v>1451</x:v>
      </x:c>
      <x:c r="B9" s="56" t="n">
        <x:f>-B8</x:f>
        <x:v>-3538.356164383562</x:v>
      </x:c>
      <x:c r="C9" s="56" t="n">
        <x:f>-C8</x:f>
        <x:v>-652150.6849315069</x:v>
      </x:c>
      <x:c r="D9" s="56" t="n">
        <x:f>-D8</x:f>
        <x:v>-2916261.3698630137</x:v>
      </x:c>
      <x:c r="E9" s="56" t="n">
        <x:f>-E8</x:f>
        <x:v>-24637622.991780825</x:v>
      </x:c>
      <x:c r="F9" s="56" t="n">
        <x:f>-F8</x:f>
        <x:v>-55114789.48356165</x:v>
      </x:c>
      <x:c r="G9" s="31" t="s">
        <x:v>1449</x:v>
      </x:c>
      <x:c r="H9" s="32" t="s">
        <x:v>1452</x:v>
      </x:c>
    </x:row>
    <x:row r="10" ht="17.100000381469727" customHeight="1">
      <x:c r="A10" s="24" t="s">
        <x:v>1453</x:v>
      </x:c>
      <x:c r="B10" s="92" t="n">
        <x:f>B8+B9</x:f>
        <x:v>0</x:v>
      </x:c>
      <x:c r="C10" s="92" t="n">
        <x:f>C8+C9</x:f>
        <x:v>0</x:v>
      </x:c>
      <x:c r="D10" s="92" t="n">
        <x:f>D8+D9</x:f>
        <x:v>0</x:v>
      </x:c>
      <x:c r="E10" s="92" t="n">
        <x:f>E8+E9</x:f>
        <x:v>0</x:v>
      </x:c>
      <x:c r="F10" s="92" t="n">
        <x:f>F8+F9</x:f>
        <x:v>0</x:v>
      </x:c>
      <x:c r="G10" s="145" t="s">
        <x:v>1449</x:v>
      </x:c>
      <x:c r="H10" s="93" t="s">
        <x:v>1454</x:v>
      </x:c>
    </x:row>
    <x:row r="11" ht="17.100000381469727" customHeight="1">
      <x:c r="A11" s="12" t="s">
        <x:v>1455</x:v>
      </x:c>
      <x:c r="B11" s="67" t="n">
        <x:f>B8*Assumptions!$F$172</x:f>
        <x:v>0</x:v>
      </x:c>
      <x:c r="C11" s="67" t="n">
        <x:f>C8*Assumptions!$F$172</x:f>
        <x:v>0</x:v>
      </x:c>
      <x:c r="D11" s="67" t="n">
        <x:f>D8*Assumptions!$F$172</x:f>
        <x:v>0</x:v>
      </x:c>
      <x:c r="E11" s="67" t="n">
        <x:f>E8*Assumptions!$F$172</x:f>
        <x:v>0</x:v>
      </x:c>
      <x:c r="F11" s="67" t="n">
        <x:f>F8*Assumptions!$F$172</x:f>
        <x:v>0</x:v>
      </x:c>
      <x:c r="G11" s="31" t="s">
        <x:v>1449</x:v>
      </x:c>
      <x:c r="H11" s="32" t="s">
        <x:v>1456</x:v>
      </x:c>
    </x:row>
    <x:row r="12" ht="17.100000381469727" customHeight="1">
      <x:c r="A12" s="12" t="s">
        <x:v>1457</x:v>
      </x:c>
      <x:c r="B12" s="67" t="n">
        <x:f>B8*Assumptions!$F$173</x:f>
        <x:v>0</x:v>
      </x:c>
      <x:c r="C12" s="67" t="n">
        <x:f>C8*Assumptions!$F$173</x:f>
        <x:v>0</x:v>
      </x:c>
      <x:c r="D12" s="67" t="n">
        <x:f>D8*Assumptions!$F$173</x:f>
        <x:v>0</x:v>
      </x:c>
      <x:c r="E12" s="67" t="n">
        <x:f>E8*Assumptions!$F$173</x:f>
        <x:v>0</x:v>
      </x:c>
      <x:c r="F12" s="67" t="n">
        <x:f>F8*Assumptions!$F$173</x:f>
        <x:v>0</x:v>
      </x:c>
      <x:c r="G12" s="31" t="s">
        <x:v>1445</x:v>
      </x:c>
      <x:c r="H12" s="32" t="s">
        <x:v>1458</x:v>
      </x:c>
    </x:row>
    <x:row r="13" ht="9.949999809265137" customHeight="1">
      <x:c r="A13" s="42"/>
      <x:c r="B13" s="42"/>
      <x:c r="C13" s="42"/>
      <x:c r="D13" s="42"/>
      <x:c r="E13" s="42"/>
      <x:c r="F13" s="42"/>
      <x:c r="G13" s="42"/>
      <x:c r="H13" s="42"/>
    </x:row>
    <x:row r="14" ht="20.100000381469727" customHeight="1">
      <x:c r="A14" s="179" t="s">
        <x:v>1459</x:v>
      </x:c>
      <x:c r="B14" s="179"/>
      <x:c r="C14" s="179"/>
      <x:c r="D14" s="179"/>
      <x:c r="E14" s="179"/>
      <x:c r="F14" s="179"/>
      <x:c r="G14" s="179"/>
      <x:c r="H14" s="179"/>
    </x:row>
    <x:row r="15" ht="15.949999809265137" customHeight="1">
      <x:c r="A15" s="183" t="s">
        <x:v>1460</x:v>
      </x:c>
      <x:c r="B15" s="183"/>
      <x:c r="C15" s="183"/>
      <x:c r="D15" s="183"/>
      <x:c r="E15" s="183"/>
      <x:c r="F15" s="183"/>
      <x:c r="G15" s="183"/>
      <x:c r="H15" s="183"/>
    </x:row>
    <x:row r="16" ht="15.949999809265137" customHeight="1">
      <x:c r="A16" s="183" t="s">
        <x:v>1461</x:v>
      </x:c>
      <x:c r="B16" s="183"/>
      <x:c r="C16" s="183"/>
      <x:c r="D16" s="183"/>
      <x:c r="E16" s="183"/>
      <x:c r="F16" s="183"/>
      <x:c r="G16" s="183"/>
      <x:c r="H16" s="183"/>
    </x:row>
    <x:row r="17" ht="15.949999809265137" customHeight="1">
      <x:c r="A17" s="183" t="s">
        <x:v>1462</x:v>
      </x:c>
      <x:c r="B17" s="183"/>
      <x:c r="C17" s="183"/>
      <x:c r="D17" s="183"/>
      <x:c r="E17" s="183"/>
      <x:c r="F17" s="183"/>
      <x:c r="G17" s="183"/>
      <x:c r="H17" s="183"/>
    </x:row>
    <x:row r="18" ht="15.949999809265137" customHeight="1">
      <x:c r="A18" s="183" t="s">
        <x:v>1463</x:v>
      </x:c>
      <x:c r="B18" s="183"/>
      <x:c r="C18" s="183"/>
      <x:c r="D18" s="183"/>
      <x:c r="E18" s="183"/>
      <x:c r="F18" s="183"/>
      <x:c r="G18" s="183"/>
      <x:c r="H18" s="183"/>
    </x:row>
    <x:row r="19" ht="9.949999809265137" customHeight="1">
      <x:c r="A19" s="42"/>
      <x:c r="B19" s="42"/>
      <x:c r="C19" s="42"/>
      <x:c r="D19" s="42"/>
      <x:c r="E19" s="42"/>
      <x:c r="F19" s="42"/>
      <x:c r="G19" s="42"/>
      <x:c r="H19" s="42"/>
    </x:row>
    <x:row r="20" ht="20.100000381469727" customHeight="1">
      <x:c r="A20" s="179" t="s">
        <x:v>1464</x:v>
      </x:c>
      <x:c r="B20" s="179"/>
      <x:c r="C20" s="179"/>
      <x:c r="D20" s="179"/>
      <x:c r="E20" s="179"/>
      <x:c r="F20" s="179"/>
      <x:c r="G20" s="179"/>
      <x:c r="H20" s="179"/>
    </x:row>
    <x:row r="21" ht="17.100000381469727" customHeight="1">
      <x:c r="A21" s="12" t="s">
        <x:v>1465</x:v>
      </x:c>
      <x:c r="B21" s="56" t="n">
        <x:f t="shared" ref="B21:F22" si="0">B10</x:f>
        <x:v>0</x:v>
      </x:c>
      <x:c r="C21" s="56">
        <x:f t="shared" si="0"/>
        <x:v>0</x:v>
      </x:c>
      <x:c r="D21" s="56">
        <x:f t="shared" si="0"/>
        <x:v>0</x:v>
      </x:c>
      <x:c r="E21" s="56">
        <x:f t="shared" si="0"/>
        <x:v>0</x:v>
      </x:c>
      <x:c r="F21" s="56">
        <x:f t="shared" si="0"/>
        <x:v>0</x:v>
      </x:c>
      <x:c r="G21" s="31" t="s">
        <x:v>1466</x:v>
      </x:c>
      <x:c r="H21" s="32" t="s">
        <x:v>1467</x:v>
      </x:c>
    </x:row>
    <x:row r="22" ht="17.100000381469727" customHeight="1">
      <x:c r="A22" s="12" t="s">
        <x:v>1468</x:v>
      </x:c>
      <x:c r="B22" s="56">
        <x:f t="shared" si="0"/>
        <x:v>0</x:v>
      </x:c>
      <x:c r="C22" s="56">
        <x:f t="shared" si="0"/>
        <x:v>0</x:v>
      </x:c>
      <x:c r="D22" s="56">
        <x:f t="shared" si="0"/>
        <x:v>0</x:v>
      </x:c>
      <x:c r="E22" s="56">
        <x:f t="shared" si="0"/>
        <x:v>0</x:v>
      </x:c>
      <x:c r="F22" s="56">
        <x:f t="shared" si="0"/>
        <x:v>0</x:v>
      </x:c>
      <x:c r="G22" s="31" t="s">
        <x:v>1466</x:v>
      </x:c>
      <x:c r="H22" s="32" t="s">
        <x:v>1469</x:v>
      </x:c>
    </x:row>
    <x:row r="23" ht="9.949999809265137" customHeight="1"/>
    <x:row r="24" ht="20.100000381469727" customHeight="1">
      <x:c r="A24" s="5" t="s">
        <x:v>1470</x:v>
      </x:c>
      <x:c r="B24" s="5"/>
      <x:c r="C24" s="5"/>
      <x:c r="D24" s="5"/>
      <x:c r="E24" s="5"/>
      <x:c r="F24" s="5"/>
      <x:c r="G24" s="5"/>
      <x:c r="H24" s="5"/>
    </x:row>
    <x:row r="25" ht="21.950000762939453" customHeight="1">
      <x:c r="A25" s="10" t="s">
        <x:v>1471</x:v>
      </x:c>
      <x:c r="B25" s="9" t="s">
        <x:v>1472</x:v>
      </x:c>
      <x:c r="C25" s="9" t="s">
        <x:v>1473</x:v>
      </x:c>
      <x:c r="D25" s="9" t="s">
        <x:v>1365</x:v>
      </x:c>
    </x:row>
    <x:row r="26" ht="21.950000762939453" customHeight="1">
      <x:c r="A26" s="119">
        <x:v>14</x:v>
      </x:c>
      <x:c r="B26" s="97" t="str">
        <x:f>"£"&amp;ROUND(('P&amp;L 5yr'!$G$9/365*A26)/1000000,1)&amp;"m"</x:f>
        <x:v>£55.1m</x:v>
      </x:c>
      <x:c r="C26" s="97" t="str">
        <x:f>IF(ABS('P&amp;L 5yr'!$G$9/365*A26-$F$8)&lt;1,"—","+£"&amp;ROUND(('P&amp;L 5yr'!$G$9/365*A26-$F$8)/1000000,1)&amp;"m")</x:f>
        <x:v>—</x:v>
      </x:c>
      <x:c r="D26" s="20" t="str">
        <x:f>IF(A26=Assumptions!$F$171,"Current planning case","Sensitivity only")</x:f>
        <x:v>Current planning case</x:v>
      </x:c>
    </x:row>
    <x:row r="27" ht="21.950000762939453" customHeight="1">
      <x:c r="A27" s="119">
        <x:v>30</x:v>
      </x:c>
      <x:c r="B27" s="97" t="str">
        <x:f>"£"&amp;ROUND(('P&amp;L 5yr'!$G$9/365*A27)/1000000,1)&amp;"m"</x:f>
        <x:v>£118.1m</x:v>
      </x:c>
      <x:c r="C27" s="97" t="str">
        <x:f>IF(ABS('P&amp;L 5yr'!$G$9/365*A27-$F$8)&lt;1,"—","+£"&amp;ROUND(('P&amp;L 5yr'!$G$9/365*A27-$F$8)/1000000,1)&amp;"m")</x:f>
        <x:v>+£63m</x:v>
      </x:c>
      <x:c r="D27" s="20" t="str">
        <x:f>IF(A27=Assumptions!$F$171,"Current planning case","Sensitivity only")</x:f>
        <x:v>Sensitivity only</x:v>
      </x:c>
    </x:row>
    <x:row r="28" ht="21.950000762939453" customHeight="1">
      <x:c r="A28" s="119">
        <x:v>60</x:v>
      </x:c>
      <x:c r="B28" s="97" t="str">
        <x:f>"£"&amp;ROUND(('P&amp;L 5yr'!$G$9/365*A28)/1000000,1)&amp;"m"</x:f>
        <x:v>£236.2m</x:v>
      </x:c>
      <x:c r="C28" s="97" t="str">
        <x:f>IF(ABS('P&amp;L 5yr'!$G$9/365*A28-$F$8)&lt;1,"—","+£"&amp;ROUND(('P&amp;L 5yr'!$G$9/365*A28-$F$8)/1000000,1)&amp;"m")</x:f>
        <x:v>+£181.1m</x:v>
      </x:c>
      <x:c r="D28" s="20" t="str">
        <x:f>IF(A28=Assumptions!$F$171,"Current planning case","Sensitivity only")</x:f>
        <x:v>Sensitivity only</x:v>
      </x:c>
    </x:row>
    <x:row r="29" ht="21.950000762939453" customHeight="1">
      <x:c r="A29" s="119">
        <x:v>90</x:v>
      </x:c>
      <x:c r="B29" s="97" t="str">
        <x:f>"£"&amp;ROUND(('P&amp;L 5yr'!$G$9/365*A29)/1000000,1)&amp;"m"</x:f>
        <x:v>£354.3m</x:v>
      </x:c>
      <x:c r="C29" s="97" t="str">
        <x:f>IF(ABS('P&amp;L 5yr'!$G$9/365*A29-$F$8)&lt;1,"—","+£"&amp;ROUND(('P&amp;L 5yr'!$G$9/365*A29-$F$8)/1000000,1)&amp;"m")</x:f>
        <x:v>+£299.2m</x:v>
      </x:c>
      <x:c r="D29" s="20" t="str">
        <x:f>IF(A29=Assumptions!$F$171,"Current planning case","Sensitivity only")</x:f>
        <x:v>Sensitivity only</x:v>
      </x:c>
    </x:row>
    <x:row r="30" ht="9.949999809265137" customHeight="1"/>
    <x:row r="31" ht="21.950000762939453" customHeight="1">
      <x:c r="A31" s="202" t="s">
        <x:v>1474</x:v>
      </x:c>
      <x:c r="B31" s="183"/>
      <x:c r="C31" s="183"/>
      <x:c r="D31" s="183"/>
      <x:c r="E31" s="183"/>
      <x:c r="F31" s="183"/>
      <x:c r="G31" s="183"/>
      <x:c r="H31" s="183"/>
    </x:row>
  </x:sheetData>
  <x:mergeCells>
    <x:mergeCell ref="A31:H31"/>
    <x:mergeCell ref="A16:H16"/>
    <x:mergeCell ref="A17:H17"/>
    <x:mergeCell ref="A18:H18"/>
    <x:mergeCell ref="A20:H20"/>
    <x:mergeCell ref="A1:H1"/>
    <x:mergeCell ref="A2:H2"/>
    <x:mergeCell ref="A4:H4"/>
    <x:mergeCell ref="A14:H14"/>
    <x:mergeCell ref="A15:H15"/>
  </x:mergeCells>
  <x:pageMargins left="0.7" right="0.7" top="0.75" bottom="0.75" header="0.3" footer="0.3"/>
</x:worksheet>
</file>